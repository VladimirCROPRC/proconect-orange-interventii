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rtenerii\TEDAL\"/>
    </mc:Choice>
  </mc:AlternateContent>
  <xr:revisionPtr revIDLastSave="0" documentId="13_ncr:1_{E6DC340A-7D09-4784-8307-FD670910D8EB}" xr6:coauthVersionLast="47" xr6:coauthVersionMax="47" xr10:uidLastSave="{00000000-0000-0000-0000-000000000000}"/>
  <bookViews>
    <workbookView xWindow="38280" yWindow="-8070" windowWidth="38640" windowHeight="15720" activeTab="1" xr2:uid="{00000000-000D-0000-FFFF-FFFF00000000}"/>
  </bookViews>
  <sheets>
    <sheet name="Centralizator FO Proconect" sheetId="3" r:id="rId1"/>
    <sheet name="Anexa 3" sheetId="1" r:id="rId2"/>
  </sheets>
  <externalReferences>
    <externalReference r:id="rId3"/>
  </externalReferences>
  <definedNames>
    <definedName name="_xlnm._FilterDatabase" localSheetId="1" hidden="1">'Anexa 3'!$A$2:$F$165</definedName>
    <definedName name="_xlnm._FilterDatabase" localSheetId="0" hidden="1">'Centralizator FO Proconect'!$A$1:$L$25</definedName>
    <definedName name="DENUMIRE">#REF!</definedName>
    <definedName name="Domain">[1]Liste!$B$2:$B$5</definedName>
    <definedName name="_xlnm.Print_Area" localSheetId="0">'Centralizator FO Proconect'!$A$1:$K$30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3" l="1"/>
  <c r="K18" i="3"/>
  <c r="J18" i="3"/>
  <c r="J11" i="3" l="1"/>
  <c r="G11" i="3"/>
  <c r="J10" i="3" l="1"/>
  <c r="K10" i="3" s="1"/>
  <c r="J4" i="3"/>
  <c r="K4" i="3" s="1"/>
  <c r="J5" i="3"/>
  <c r="K5" i="3" s="1"/>
  <c r="J6" i="3"/>
  <c r="K6" i="3" s="1"/>
  <c r="J7" i="3"/>
  <c r="K7" i="3" s="1"/>
  <c r="J8" i="3"/>
  <c r="K8" i="3" s="1"/>
  <c r="J9" i="3"/>
  <c r="K9" i="3" s="1"/>
  <c r="K11" i="3"/>
  <c r="J12" i="3"/>
  <c r="K12" i="3" s="1"/>
  <c r="J13" i="3"/>
  <c r="K13" i="3" s="1"/>
  <c r="J14" i="3"/>
  <c r="K14" i="3" s="1"/>
  <c r="K15" i="3"/>
  <c r="J16" i="3"/>
  <c r="K16" i="3" s="1"/>
  <c r="J17" i="3"/>
  <c r="K17" i="3" s="1"/>
  <c r="J22" i="3"/>
  <c r="K22" i="3" s="1"/>
  <c r="J23" i="3"/>
  <c r="K23" i="3" s="1"/>
  <c r="F31" i="1" l="1"/>
  <c r="J3" i="3" l="1"/>
  <c r="K3" i="3" s="1"/>
  <c r="K2" i="3" s="1"/>
  <c r="F19" i="1"/>
  <c r="F20" i="1"/>
  <c r="F21" i="1"/>
  <c r="F22" i="1"/>
  <c r="F23" i="1"/>
  <c r="F24" i="1"/>
  <c r="F25" i="1"/>
  <c r="F26" i="1"/>
  <c r="F27" i="1"/>
  <c r="F28" i="1"/>
  <c r="F29" i="1"/>
  <c r="F30" i="1"/>
  <c r="K25" i="3" l="1"/>
  <c r="F6" i="1"/>
  <c r="F8" i="1" l="1"/>
  <c r="F4" i="1" l="1"/>
  <c r="F5" i="1"/>
  <c r="F7" i="1"/>
  <c r="F9" i="1"/>
  <c r="F10" i="1"/>
  <c r="F11" i="1"/>
  <c r="F12" i="1"/>
  <c r="F13" i="1"/>
  <c r="F14" i="1"/>
  <c r="F15" i="1"/>
  <c r="F16" i="1"/>
  <c r="F17" i="1"/>
  <c r="F18" i="1"/>
  <c r="F32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3" i="1"/>
</calcChain>
</file>

<file path=xl/sharedStrings.xml><?xml version="1.0" encoding="utf-8"?>
<sst xmlns="http://schemas.openxmlformats.org/spreadsheetml/2006/main" count="467" uniqueCount="226">
  <si>
    <t>Ticket ID</t>
  </si>
  <si>
    <t>Judet</t>
  </si>
  <si>
    <t>Localitate</t>
  </si>
  <si>
    <t>Solicitare
 interventie</t>
  </si>
  <si>
    <t>Finalizare
 incident</t>
  </si>
  <si>
    <t>Descriere Lucrare</t>
  </si>
  <si>
    <t>BOQ item list</t>
  </si>
  <si>
    <t>Unit</t>
  </si>
  <si>
    <t>BOQ 
quant/item</t>
  </si>
  <si>
    <t>Services &amp; material 
price EUR</t>
  </si>
  <si>
    <t>Total material
EUR</t>
  </si>
  <si>
    <t>Observatii 
Pro Conect</t>
  </si>
  <si>
    <t>IUNIE 2026</t>
  </si>
  <si>
    <t>PBM 64790</t>
  </si>
  <si>
    <t>ALBA</t>
  </si>
  <si>
    <t>CUT</t>
  </si>
  <si>
    <t xml:space="preserve">REPLANTAT 1 STALP DE LEMN </t>
  </si>
  <si>
    <t>Inlocuire stalp de lemn/compozit incl preluarea stalpului existent (servicii complete, transport, consumabile); Replacement of wooden / composite pole incl. removal of existing pole (full services + transport);  incl. transport, consumables</t>
  </si>
  <si>
    <t>buc</t>
  </si>
  <si>
    <t>ok</t>
  </si>
  <si>
    <t>PBM 65455</t>
  </si>
  <si>
    <t>JIDVEI-CAPALNA</t>
  </si>
  <si>
    <t>Repozitionat fo pe 4 stalpi</t>
  </si>
  <si>
    <t>SP FO CW 6 - Interventie Manipulare Cablu</t>
  </si>
  <si>
    <t>PBM 64509</t>
  </si>
  <si>
    <t>BLAJ</t>
  </si>
  <si>
    <t>Inlocuit capac spart in carosabil</t>
  </si>
  <si>
    <t xml:space="preserve">SP FO CW 1 - Interventie Minora Infrastructura Subterana </t>
  </si>
  <si>
    <t>PBM 64551</t>
  </si>
  <si>
    <t>SEBES</t>
  </si>
  <si>
    <t>INLOCUIT 1 STALP DE COMPOZIT (7m)</t>
  </si>
  <si>
    <t xml:space="preserve">PBM 64772 </t>
  </si>
  <si>
    <t>SONA</t>
  </si>
  <si>
    <t>DESFINTAT 1 STALP DE LEMN ;2 armorozi</t>
  </si>
  <si>
    <t>Demontare stalp de lemn</t>
  </si>
  <si>
    <t>Material custodie</t>
  </si>
  <si>
    <t>PBM 64773</t>
  </si>
  <si>
    <t xml:space="preserve">INLOCUIT 11 STALPI (10-7M  1-8M); INSTALAT FO PE 3 STALPI </t>
  </si>
  <si>
    <t>PBM 64779</t>
  </si>
  <si>
    <t>SANCEL</t>
  </si>
  <si>
    <t>inlocuit 2 stalpi de compozit (7m)</t>
  </si>
  <si>
    <t>PBM 64860</t>
  </si>
  <si>
    <t>Asistentă 2 zile 
Z1 - 2 persoane - 3 ore
Z2 - 2 persoane- 4 ore</t>
  </si>
  <si>
    <t>PBM 65409</t>
  </si>
  <si>
    <t>VINTU DE JOS</t>
  </si>
  <si>
    <t xml:space="preserve">REPOZITIOANA 650M FO AUTOPURTATA ;DESFINTAT 2 STALPI DE LEMN ;INSTALAT 1 STALP DE COMPOZIT (8M);INSTALAT 1 ANCORA CU TOTUL </t>
  </si>
  <si>
    <t>ANCORA</t>
  </si>
  <si>
    <t>PBM 65484</t>
  </si>
  <si>
    <t>PETRESTI</t>
  </si>
  <si>
    <t>Inlocuit 1 stalp de compozit (7m)</t>
  </si>
  <si>
    <t>PBM 65614</t>
  </si>
  <si>
    <t>Sona - Ranmanmiclaus</t>
  </si>
  <si>
    <t xml:space="preserve">instalat 7 stalpi de compozit </t>
  </si>
  <si>
    <t>4 ARMOROZI</t>
  </si>
  <si>
    <t>Sant pentru instalare tevi direct in pamant (servicii complete, transport, consumabile); Ditch for installing pipes underground (complete services;  transport, consumables)</t>
  </si>
  <si>
    <t>m3</t>
  </si>
  <si>
    <t>TOTAL RON FARA TVA</t>
  </si>
  <si>
    <t>Curs BNR 05.03.2025</t>
  </si>
  <si>
    <t>Antreprenor</t>
  </si>
  <si>
    <t>Subantreprenor</t>
  </si>
  <si>
    <t>SC Pro Conect SRL</t>
  </si>
  <si>
    <t>SC TEDAL TELECOMMUNICATION SRL</t>
  </si>
  <si>
    <t>ANEXA 3</t>
  </si>
  <si>
    <t>nr.crt.</t>
  </si>
  <si>
    <t>descriere serviciu</t>
  </si>
  <si>
    <t>UM</t>
  </si>
  <si>
    <t>pret euro fara tva</t>
  </si>
  <si>
    <t>cant</t>
  </si>
  <si>
    <t>total euro fara tva</t>
  </si>
  <si>
    <t>On Site FO Measurements for FO Incident Diagnose</t>
  </si>
  <si>
    <t>Complete services On-site repairs only (ODF, patch); all services included, except those considered as Specific Works (listed under); The Specific Works items (7-16) will be used in the BoQ on top of Service Package (2-6) if required.</t>
  </si>
  <si>
    <t xml:space="preserve">Complete services Aerial repairs (no new cable required); all services included, except those considered as Specific Works (listed under); The Specific Works items (7-16) will be used in the BoQ on top of Service Package (2-6) if required. </t>
  </si>
  <si>
    <t>Complete services Aerial repairs (&lt;200m new cable required); all services included, except those considered as Specific Works (listed under); The Specific Works items (10-23) will be used in the BoQ on top of Service Package (1-7) if required.</t>
  </si>
  <si>
    <t xml:space="preserve">Complete services Aerial, Capital repairs (&gt;200m new cable required); all services included, except those considered as
Specific Works (listed under); The Specific Works items (7-16) will be used in the BoQ on top of Service Package (2-6) if
required. </t>
  </si>
  <si>
    <t xml:space="preserve">Complete services Underground repairs (up to max 200m cable required); all services included, except those considered as Specific Works (listed under); The Specific Works items (7-16) will be used in the BoQ on top of Service Package (2-6) if required. </t>
  </si>
  <si>
    <t>Complete services Underground, Capital repairs (&gt;200m cable required); all services included, except those considered as
Specific Works (listed under); The Specific Works items (7-16) will be used in the BoQ on top of Service Package (2-6) if
required.</t>
  </si>
  <si>
    <t>Forare orizontala dirijata (servicii complete, transport, consumabile) ; Guided horizontal drilling (full services + transport);  incl. transport, consumables</t>
  </si>
  <si>
    <t>m</t>
  </si>
  <si>
    <t>Forare orizontala nedirijata (servicii complete, transport, consumabile); Unguided horizontal drilling (full services + transport);  incl. transport, consumables</t>
  </si>
  <si>
    <t>Instalare stalp (metalic sau de beton)  in fundatie turnata (servicii complete, transport, consumabile); Pole installation (metal or concrete) in cast foundation (complete services;  transport, consumables)</t>
  </si>
  <si>
    <t>Refacere imbracaminte asfaltica (manopera)(servicii complete, transport, consumabile); Asphalt coatings (labor) (complete services;  transport, consumables)</t>
  </si>
  <si>
    <t>mp</t>
  </si>
  <si>
    <t>Refaceri pavaje trotuar, alei pietonale (manopera)(servicii complete, transport, consumabile); Restoration of pavements, pedestrian alleys (labor) (complete services;  transport, consumables)</t>
  </si>
  <si>
    <t>Sapatura in stanca cu ciocan pneumatic si unelte de mana (servicii complete, transport, consumabile); Rock digging with a pneumatic hammer and hand tools (complete services;  transport, consumables)</t>
  </si>
  <si>
    <t>Spargere beton (servicii complete, transport, consumabile); Concrete breakage (complete services;  transport, consumables)</t>
  </si>
  <si>
    <t>Refacere trecere aeriana tip A.P. (manopera) (servicii complete, transport, consumabile)</t>
  </si>
  <si>
    <t>SP FO CW 2 - Interventie Remediere Canalizatie</t>
  </si>
  <si>
    <t>SP FO CW 3 - Interventie Refacere Guler Asfalt</t>
  </si>
  <si>
    <t>SP FO CW 4 - Interventie Inlocure Rama+Capac</t>
  </si>
  <si>
    <t>SP FO CW 5 - Interventie Ridicare la Cota</t>
  </si>
  <si>
    <t>Specific works - Pole replacement wood, composite incl. cables reinstall</t>
  </si>
  <si>
    <t>Specific works - Pole installation incl. cables reinstall</t>
  </si>
  <si>
    <t>Specific works - Pole dismantling wood, composite incl. cables removal</t>
  </si>
  <si>
    <t>Material - Capac+Rama+Prefabricat Beton</t>
  </si>
  <si>
    <t>descriere material</t>
  </si>
  <si>
    <t>Patch 10m E 2000/APC-SC/APC, SM, SX</t>
  </si>
  <si>
    <t>Patch 10m LC/APC-SC/APC, SM, SX</t>
  </si>
  <si>
    <t>Patch 10m LC/PC-SC/APC, SM, SX</t>
  </si>
  <si>
    <t>Patch 10m SC/APC-SC/APC, SM, SX</t>
  </si>
  <si>
    <t>Patch 10m SC/PC-SC/APC, SM, SX, G.657A</t>
  </si>
  <si>
    <t>Patch 15m E 2000/APC-LC/APC, SM, SX</t>
  </si>
  <si>
    <t>Patch 15m E 2000/APC-SC/APC, SM, SX</t>
  </si>
  <si>
    <t>Patch 20m E 2000/APC-LC/APC, SM, SX</t>
  </si>
  <si>
    <t>Patch 20m E 2000/APC-SC/APC, SM, SX</t>
  </si>
  <si>
    <t>Patch 3m E 2000/APC-E 2000/APC, SM, DX</t>
  </si>
  <si>
    <t>Patch 3m E 2000/APC-E 2000/APC, SM, SX</t>
  </si>
  <si>
    <t>Patch 3m E 2000-SC SM, DX</t>
  </si>
  <si>
    <t>Patch 3m E 2000-SC SM, SX</t>
  </si>
  <si>
    <t>Patch 3m SC/APC, SM, SX</t>
  </si>
  <si>
    <t>Patch 3m SC/APC-SC/PC, SM, SX</t>
  </si>
  <si>
    <t>Patch 5m LC/APC-SC/APC, SM, SX</t>
  </si>
  <si>
    <t>Patch 5m SC/APC, SM, SX</t>
  </si>
  <si>
    <t>Patch cord organizer for ODF -material</t>
  </si>
  <si>
    <t>SM patch-cord of 1 m. with E2000/APC connectors</t>
  </si>
  <si>
    <t>SM patch-cord of 1 m. with LC/UPC connectors</t>
  </si>
  <si>
    <t>SM patch-cord of 2 m. with E2000/APC connectors</t>
  </si>
  <si>
    <t>SM patch-cord of 2 m. with LC/UPC connectors</t>
  </si>
  <si>
    <t>SM Pigtail of 1 m. with E2000/APC connectors</t>
  </si>
  <si>
    <t>SM Pigtail of 1 m. with FC/APC connectors</t>
  </si>
  <si>
    <t>SM Pigtail of 1 m. with FC/UPC connectors</t>
  </si>
  <si>
    <t>SM Pigtail of 1 m. with LC/APC connectors</t>
  </si>
  <si>
    <t>SM Pigtail of 1 m. with LC/UPC connectors</t>
  </si>
  <si>
    <t>SM Pigtail of 1 m. with SC/APC connectors</t>
  </si>
  <si>
    <t>SM Pigtail of 1 m. with SC/UPC connectors</t>
  </si>
  <si>
    <t>micro-duct 8/10mm - material</t>
  </si>
  <si>
    <t>HDPE pipe PN10 110 mm</t>
  </si>
  <si>
    <t>HDPE pipe PN10 63 mm</t>
  </si>
  <si>
    <t>HDPE pipe  PN10i 75 mm</t>
  </si>
  <si>
    <t>HDPE pipe PN10 90 mm</t>
  </si>
  <si>
    <t>HDPE pipe PN16 110 mm</t>
  </si>
  <si>
    <t>HDPE pipe PN16 90 mm</t>
  </si>
  <si>
    <t>HDPE pipe PN10 40 mm. local market - material</t>
  </si>
  <si>
    <t>HDPE pipe PN10 40 mm(OD/ID 40mm/33mm) Duraline/Rehau</t>
  </si>
  <si>
    <t>HDPE connector - Diam. 40 mm.- material</t>
  </si>
  <si>
    <t>HDPE pipe 40 mm. plugs (closed) - material</t>
  </si>
  <si>
    <t>HDPE pipe 40 mm. plugs (open) - material</t>
  </si>
  <si>
    <t>PVC pipe Tupe G 110X8,2</t>
  </si>
  <si>
    <t>PVC pipe Type G 90X6,7</t>
  </si>
  <si>
    <t>PVC pipe Type M2 110X 5,3</t>
  </si>
  <si>
    <t>PVC pipe Type M2 90X 4,3</t>
  </si>
  <si>
    <t>PVC pipe Type M2 75X3,6</t>
  </si>
  <si>
    <t>PVC pipe Type M2 63X3</t>
  </si>
  <si>
    <t>Lubrication for cable ducts - material</t>
  </si>
  <si>
    <t>kg</t>
  </si>
  <si>
    <t>Conduit seal</t>
  </si>
  <si>
    <t>Steel pipe 114.3x5 mm - material</t>
  </si>
  <si>
    <t>Steel pipe 139.7x5mm - material</t>
  </si>
  <si>
    <t>ancoraj la stalp</t>
  </si>
  <si>
    <t>Ancoraj la stal p cu brat</t>
  </si>
  <si>
    <t>Ancoraj la zid</t>
  </si>
  <si>
    <t>U' cable protection - material</t>
  </si>
  <si>
    <t>Asphalt -material</t>
  </si>
  <si>
    <t>Beton ciment B100 STAS 3622</t>
  </si>
  <si>
    <t>Beton ciment B250 STAS 3622</t>
  </si>
  <si>
    <t>Strat agregat (balast)</t>
  </si>
  <si>
    <t>Strat agregat (nisip)</t>
  </si>
  <si>
    <t>Cable hook</t>
  </si>
  <si>
    <t>Cable signalling belt (warning tape - 20 cm. Broad)</t>
  </si>
  <si>
    <t>Cable/duct restoration kit - manson termo 43/8</t>
  </si>
  <si>
    <t>Camereta cu capac</t>
  </si>
  <si>
    <t>Camera de tragere tip Mare (A, J, T, L)</t>
  </si>
  <si>
    <t>Camera de tragere tip Mica (X, Y)</t>
  </si>
  <si>
    <t>Camereta prefabricata din beton</t>
  </si>
  <si>
    <t>Fiberglass Handhole - material</t>
  </si>
  <si>
    <t>Iron top of manhole one layer - material - capac metalic camin</t>
  </si>
  <si>
    <t>Canal cablu 100x40MM</t>
  </si>
  <si>
    <t>Canal cablu 25x15MM</t>
  </si>
  <si>
    <t>Canal cablu 40x20MM</t>
  </si>
  <si>
    <t>Canal cabluU 60x40MM</t>
  </si>
  <si>
    <t>Electronic ball markers  (range 1.2 m.) orange - material</t>
  </si>
  <si>
    <t>Electronic ball markers re-writable (range 1.2 m) orange</t>
  </si>
  <si>
    <t>Confectie metalica pentru instalatii de telecomunicatii</t>
  </si>
  <si>
    <t>Wooden poles (for telecommunications)</t>
  </si>
  <si>
    <t>Monting kit for cable on pole/wall - material - armorod</t>
  </si>
  <si>
    <t>Mounting kit for jointing closure - material - cruce</t>
  </si>
  <si>
    <t>Labels for FO identification - interior</t>
  </si>
  <si>
    <t>Labels for FO identification UV resistant - exterior</t>
  </si>
  <si>
    <t>Pole anchor - material</t>
  </si>
  <si>
    <t>Protection pipe for cable (slotted flex tubing) - coflex</t>
  </si>
  <si>
    <t>Rubber band-3M  - material</t>
  </si>
  <si>
    <t>Item description</t>
  </si>
  <si>
    <t>ODB - with 8 duplex mating adaptors+Splitter 1:8</t>
  </si>
  <si>
    <t>SOD.A2.1X8.250.2,5.NC.2,5.NC.IEEE.OR</t>
  </si>
  <si>
    <t>SOD.A2.1X8.900.1,5.SA.0,75.SA.IEEE.OR</t>
  </si>
  <si>
    <t>SOD.A2.1X2.250.2,5.NC.2,5.NC.IEEE.OR</t>
  </si>
  <si>
    <t>SOD.A2.1X4.250.2,5.NC.2,5.NC.IEEE.OR</t>
  </si>
  <si>
    <t>BLG MB-0813 96XG657A1 SP1351 GN(DPL/ROM)</t>
  </si>
  <si>
    <t>FAUA|FT|K0D1E0 48 (4x12) G.657A2</t>
  </si>
  <si>
    <t>FAUA|FT|K0D1E0 96 (8x12) G.657A2</t>
  </si>
  <si>
    <t>FAUA|K0D1E0 144 (12x12) G.657A2</t>
  </si>
  <si>
    <t>FADI FT K0D1E0 12 2(6G.657A2)</t>
  </si>
  <si>
    <t>FADI FT K0D1E0 24 4(6 G.657A2)</t>
  </si>
  <si>
    <t>FADI|FT|K0D1E0 24(4x6) G657A2</t>
  </si>
  <si>
    <t>FADI|FT|K0D1E0|48(4x12) G657A2</t>
  </si>
  <si>
    <t>FADI|FT|K0D1E0|12(2x6) G657A2</t>
  </si>
  <si>
    <t>FADI|FT|K0D1E0|96(8x12) G657A2</t>
  </si>
  <si>
    <t>FADI|FT|K0D1E0|144(12x12) G657A2 TC05296</t>
  </si>
  <si>
    <t>A-DQ(ZN)2Y 6X24 E9U200 LT1.7 FAB_Corning</t>
  </si>
  <si>
    <t>MANSON OSC CMJ-F-A-GPXX-X-Y-P</t>
  </si>
  <si>
    <t>CMJ2.2TRAY 11-13OVAL 2XWAY5-9 BRA 100SP</t>
  </si>
  <si>
    <t>CMJ- SE2.2MM NO PORTS NO VALVE WITH POLE</t>
  </si>
  <si>
    <t>LT 48F 04T12F G2D KP ORANGE ROM</t>
  </si>
  <si>
    <t>CT 12F 01T12F 7A2 KT ORANGE ROM</t>
  </si>
  <si>
    <t>CT 24F 01T24F 7A2 KT ORANGE ROM</t>
  </si>
  <si>
    <t>MS 24F 04T06F 7A2 P-4 OR.ROM L1092-13</t>
  </si>
  <si>
    <t>MS 96F 08T12F 7A2 P-4 OR.ROM L1092-4</t>
  </si>
  <si>
    <t>Atenuator SC/APC 10DB</t>
  </si>
  <si>
    <t>Atenuator SC/APC 2DB</t>
  </si>
  <si>
    <t>Atenuator SC/APC 4DB</t>
  </si>
  <si>
    <t>Atenuator SC/APC 6DB</t>
  </si>
  <si>
    <t>BEM - PLASTIC + 20m BL TUBE</t>
  </si>
  <si>
    <t>MECH SEAL - MEDIUM ENTRY GLAND 7-20mm</t>
  </si>
  <si>
    <t>ACC MANSON OSC XJTSC01756</t>
  </si>
  <si>
    <t>CMJ - MECH OVAL PORT KIT - 7 TO 9mm</t>
  </si>
  <si>
    <t>CMJ - MECH OVAL PORT KIT - 9 TO 11mm</t>
  </si>
  <si>
    <t>CMJ - MECH OVAL PORT KIT - 11 TO 13mm</t>
  </si>
  <si>
    <t>MECH SEAL - DUAL PORT KIT COF 205</t>
  </si>
  <si>
    <t>MECH SEAL - 4 WAY CSM CABLE GLAND</t>
  </si>
  <si>
    <t>SPLICE PROTECTOR - 2.2mm x 45 (PACK 12)</t>
  </si>
  <si>
    <t>1x4 PLC Bare Fibers 4x4x40</t>
  </si>
  <si>
    <t xml:space="preserve">Compact splitter-PLC-1X8-A2-PG </t>
  </si>
  <si>
    <t>Compact-PLC-1X8-00SCA-A2-PG</t>
  </si>
  <si>
    <t>1:2 Splitter</t>
  </si>
  <si>
    <t>1x4 PLC case size 4x4x40 mm</t>
  </si>
  <si>
    <t>SRS4000 -  1U S+P 48F A2 SCA DX ETSI SP</t>
  </si>
  <si>
    <t>48 ports SC/APC ODFs - pigtails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</si>
</sst>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[$€-2]\ * #,##0.00_);_([$€-2]\ * \(#,##0.00\);_([$€-2]\ * &quot;-&quot;??_);_(@_)"/>
    <numFmt numFmtId="165" formatCode="_([$RON]\ * #,##0.00_);_([$RON]\ * \(#,##0.00\);_([$RON]\ 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  <charset val="238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222222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9" fillId="0" borderId="0"/>
    <xf numFmtId="0" fontId="3" fillId="0" borderId="0"/>
    <xf numFmtId="43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4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4" borderId="1" xfId="2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 applyAlignment="1">
      <alignment horizontal="center" vertical="center" wrapText="1"/>
    </xf>
    <xf numFmtId="0" fontId="8" fillId="0" borderId="1" xfId="2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8" fillId="4" borderId="1" xfId="2" applyFont="1" applyFill="1" applyBorder="1" applyAlignment="1">
      <alignment horizontal="left" vertical="center"/>
    </xf>
    <xf numFmtId="0" fontId="8" fillId="4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5" fontId="12" fillId="0" borderId="0" xfId="0" applyNumberFormat="1" applyFont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49" fontId="8" fillId="6" borderId="1" xfId="0" applyNumberFormat="1" applyFont="1" applyFill="1" applyBorder="1"/>
    <xf numFmtId="0" fontId="8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top"/>
    </xf>
    <xf numFmtId="164" fontId="10" fillId="6" borderId="1" xfId="0" applyNumberFormat="1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15" fontId="12" fillId="0" borderId="1" xfId="0" applyNumberFormat="1" applyFont="1" applyBorder="1" applyAlignment="1">
      <alignment horizontal="center"/>
    </xf>
    <xf numFmtId="164" fontId="14" fillId="7" borderId="1" xfId="5" applyNumberFormat="1" applyFont="1" applyFill="1" applyBorder="1"/>
    <xf numFmtId="164" fontId="12" fillId="7" borderId="1" xfId="5" applyNumberFormat="1" applyFont="1" applyFill="1" applyBorder="1"/>
    <xf numFmtId="0" fontId="14" fillId="0" borderId="1" xfId="0" applyFont="1" applyBorder="1" applyAlignment="1">
      <alignment horizontal="center"/>
    </xf>
    <xf numFmtId="0" fontId="13" fillId="0" borderId="0" xfId="0" applyFont="1"/>
    <xf numFmtId="0" fontId="7" fillId="0" borderId="0" xfId="0" applyFont="1" applyAlignment="1">
      <alignment horizontal="center"/>
    </xf>
    <xf numFmtId="164" fontId="0" fillId="0" borderId="0" xfId="5" applyNumberFormat="1" applyFont="1" applyFill="1" applyBorder="1"/>
    <xf numFmtId="164" fontId="7" fillId="0" borderId="0" xfId="5" applyNumberFormat="1" applyFont="1" applyFill="1" applyBorder="1"/>
    <xf numFmtId="0" fontId="0" fillId="0" borderId="0" xfId="0" applyAlignment="1">
      <alignment horizont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horizontal="left"/>
    </xf>
    <xf numFmtId="1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top"/>
    </xf>
    <xf numFmtId="15" fontId="12" fillId="0" borderId="0" xfId="0" applyNumberFormat="1" applyFont="1" applyAlignment="1">
      <alignment horizontal="left"/>
    </xf>
    <xf numFmtId="15" fontId="13" fillId="0" borderId="0" xfId="0" applyNumberFormat="1" applyFont="1" applyAlignment="1">
      <alignment horizontal="left"/>
    </xf>
    <xf numFmtId="0" fontId="12" fillId="0" borderId="0" xfId="0" applyFont="1" applyAlignment="1">
      <alignment horizontal="left" vertical="top"/>
    </xf>
    <xf numFmtId="164" fontId="14" fillId="0" borderId="0" xfId="5" applyNumberFormat="1" applyFont="1" applyFill="1" applyBorder="1"/>
    <xf numFmtId="164" fontId="12" fillId="0" borderId="0" xfId="5" applyNumberFormat="1" applyFont="1" applyFill="1" applyBorder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/>
    <xf numFmtId="0" fontId="13" fillId="0" borderId="0" xfId="0" applyFont="1" applyAlignment="1">
      <alignment horizontal="left" vertical="top"/>
    </xf>
    <xf numFmtId="0" fontId="7" fillId="0" borderId="3" xfId="0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7" fillId="0" borderId="5" xfId="2" applyFont="1" applyBorder="1" applyAlignment="1">
      <alignment horizontal="left" vertical="center"/>
    </xf>
    <xf numFmtId="0" fontId="16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13" fillId="0" borderId="0" xfId="0" applyFont="1" applyAlignment="1">
      <alignment horizontal="center" vertical="top"/>
    </xf>
    <xf numFmtId="165" fontId="8" fillId="4" borderId="4" xfId="5" applyNumberFormat="1" applyFont="1" applyFill="1" applyBorder="1"/>
    <xf numFmtId="4" fontId="12" fillId="0" borderId="1" xfId="0" applyNumberFormat="1" applyFont="1" applyBorder="1" applyAlignment="1">
      <alignment horizontal="center"/>
    </xf>
    <xf numFmtId="0" fontId="16" fillId="0" borderId="3" xfId="0" applyFont="1" applyBorder="1" applyAlignment="1">
      <alignment vertical="top" wrapText="1"/>
    </xf>
    <xf numFmtId="0" fontId="7" fillId="0" borderId="3" xfId="2" applyFont="1" applyBorder="1" applyAlignment="1">
      <alignment horizontal="left" vertical="center" wrapText="1"/>
    </xf>
    <xf numFmtId="4" fontId="12" fillId="0" borderId="6" xfId="0" applyNumberFormat="1" applyFont="1" applyBorder="1" applyAlignment="1">
      <alignment horizontal="center"/>
    </xf>
    <xf numFmtId="164" fontId="14" fillId="7" borderId="6" xfId="5" applyNumberFormat="1" applyFont="1" applyFill="1" applyBorder="1"/>
    <xf numFmtId="164" fontId="12" fillId="7" borderId="4" xfId="5" applyNumberFormat="1" applyFont="1" applyFill="1" applyBorder="1"/>
    <xf numFmtId="0" fontId="12" fillId="0" borderId="1" xfId="0" applyFont="1" applyBorder="1" applyAlignment="1">
      <alignment wrapText="1"/>
    </xf>
    <xf numFmtId="0" fontId="17" fillId="0" borderId="0" xfId="0" applyFont="1"/>
    <xf numFmtId="0" fontId="12" fillId="0" borderId="1" xfId="0" applyFont="1" applyBorder="1" applyAlignment="1">
      <alignment vertical="center" wrapText="1"/>
    </xf>
    <xf numFmtId="0" fontId="12" fillId="8" borderId="1" xfId="0" applyFont="1" applyFill="1" applyBorder="1" applyAlignment="1">
      <alignment wrapText="1"/>
    </xf>
    <xf numFmtId="4" fontId="12" fillId="8" borderId="1" xfId="0" applyNumberFormat="1" applyFont="1" applyFill="1" applyBorder="1" applyAlignment="1">
      <alignment horizontal="center"/>
    </xf>
    <xf numFmtId="0" fontId="12" fillId="8" borderId="1" xfId="0" applyFont="1" applyFill="1" applyBorder="1" applyAlignment="1">
      <alignment vertical="center" wrapText="1"/>
    </xf>
    <xf numFmtId="0" fontId="16" fillId="9" borderId="1" xfId="0" applyFont="1" applyFill="1" applyBorder="1" applyAlignment="1">
      <alignment vertical="center" wrapText="1"/>
    </xf>
    <xf numFmtId="0" fontId="12" fillId="9" borderId="1" xfId="0" applyFont="1" applyFill="1" applyBorder="1"/>
    <xf numFmtId="0" fontId="8" fillId="4" borderId="3" xfId="0" applyFont="1" applyFill="1" applyBorder="1" applyAlignment="1">
      <alignment horizontal="left" vertical="top"/>
    </xf>
    <xf numFmtId="0" fontId="8" fillId="4" borderId="6" xfId="0" applyFont="1" applyFill="1" applyBorder="1" applyAlignment="1">
      <alignment horizontal="left" vertical="top"/>
    </xf>
    <xf numFmtId="0" fontId="4" fillId="2" borderId="2" xfId="1" quotePrefix="1" applyFont="1" applyFill="1" applyBorder="1" applyAlignment="1">
      <alignment horizontal="left" vertical="center" wrapText="1"/>
    </xf>
  </cellXfs>
  <cellStyles count="6">
    <cellStyle name="%" xfId="3" xr:uid="{00000000-0005-0000-0000-000000000000}"/>
    <cellStyle name="% 2" xfId="4" xr:uid="{00000000-0005-0000-0000-000001000000}"/>
    <cellStyle name="=C:\WINNT\SYSTEM32\COMMAND.COM 2 2" xfId="1" xr:uid="{00000000-0005-0000-0000-000002000000}"/>
    <cellStyle name="Comma 2" xfId="5" xr:uid="{00000000-0005-0000-0000-000003000000}"/>
    <cellStyle name="Normal" xfId="0" builtinId="0"/>
    <cellStyle name="Normal 10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485913</xdr:colOff>
      <xdr:row>26</xdr:row>
      <xdr:rowOff>99391</xdr:rowOff>
    </xdr:from>
    <xdr:to>
      <xdr:col>1</xdr:col>
      <xdr:colOff>10776</xdr:colOff>
      <xdr:row>29</xdr:row>
      <xdr:rowOff>121420</xdr:rowOff>
    </xdr:to>
    <xdr:pic>
      <xdr:nvPicPr>
        <xdr:cNvPr id="2" name="Picture 1" descr="A close-up of a stamp">
          <a:extLst>
            <a:ext uri="{FF2B5EF4-FFF2-40B4-BE49-F238E27FC236}">
              <a16:creationId xmlns:a16="http://schemas.microsoft.com/office/drawing/2014/main" id="{D4475BF6-3092-1247-927F-19A2DC41D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913" y="7995478"/>
          <a:ext cx="1128238" cy="59159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ericsson\Documents\Fi&#537;iere%20mele%20primite\Raportari%20ST\CAM\201604\PMv1%200-Ericsson2016%2004%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 Tracker"/>
      <sheetName val="Shopping list"/>
      <sheetName val="Liste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5"/>
  <sheetViews>
    <sheetView zoomScale="115" zoomScaleNormal="115" zoomScaleSheetLayoutView="94" workbookViewId="0">
      <pane ySplit="2" topLeftCell="A3" activePane="bottomLeft" state="frozen"/>
      <selection pane="bottomLeft" activeCell="E31" sqref="E31"/>
    </sheetView>
  </sheetViews>
  <sheetFormatPr defaultColWidth="8.81640625" defaultRowHeight="15" customHeight="1" x14ac:dyDescent="0.35"/>
  <cols>
    <col min="1" max="1" width="23" style="58" bestFit="1" customWidth="1"/>
    <col min="2" max="2" width="9.7265625" style="57" bestFit="1" customWidth="1"/>
    <col min="3" max="3" width="13.453125" style="57" bestFit="1" customWidth="1"/>
    <col min="4" max="5" width="10.7265625" style="51" customWidth="1"/>
    <col min="6" max="6" width="39.7265625" style="57" customWidth="1"/>
    <col min="7" max="7" width="46.81640625" style="60" customWidth="1"/>
    <col min="8" max="8" width="9.453125" style="57" bestFit="1" customWidth="1"/>
    <col min="9" max="9" width="12" style="57" customWidth="1"/>
    <col min="10" max="10" width="17.7265625" customWidth="1"/>
    <col min="11" max="11" width="15.1796875" bestFit="1" customWidth="1"/>
    <col min="12" max="12" width="24.453125" hidden="1" customWidth="1"/>
    <col min="13" max="13" width="23.26953125" customWidth="1"/>
    <col min="14" max="14" width="15" bestFit="1" customWidth="1"/>
  </cols>
  <sheetData>
    <row r="1" spans="1:12" s="69" customFormat="1" ht="26" x14ac:dyDescent="0.35">
      <c r="A1" s="35" t="s">
        <v>0</v>
      </c>
      <c r="B1" s="35" t="s">
        <v>1</v>
      </c>
      <c r="C1" s="35" t="s">
        <v>2</v>
      </c>
      <c r="D1" s="36" t="s">
        <v>3</v>
      </c>
      <c r="E1" s="36" t="s">
        <v>4</v>
      </c>
      <c r="F1" s="35" t="s">
        <v>5</v>
      </c>
      <c r="G1" s="35" t="s">
        <v>6</v>
      </c>
      <c r="H1" s="35" t="s">
        <v>7</v>
      </c>
      <c r="I1" s="36" t="s">
        <v>8</v>
      </c>
      <c r="J1" s="36" t="s">
        <v>9</v>
      </c>
      <c r="K1" s="36" t="s">
        <v>10</v>
      </c>
      <c r="L1" s="36" t="s">
        <v>11</v>
      </c>
    </row>
    <row r="2" spans="1:12" ht="15" customHeight="1" x14ac:dyDescent="0.35">
      <c r="A2" s="37" t="s">
        <v>12</v>
      </c>
      <c r="B2" s="37"/>
      <c r="C2" s="37"/>
      <c r="D2" s="39"/>
      <c r="E2" s="39"/>
      <c r="F2" s="38"/>
      <c r="G2" s="40"/>
      <c r="H2" s="38"/>
      <c r="I2" s="39"/>
      <c r="J2" s="41"/>
      <c r="K2" s="41">
        <f>SUBTOTAL(9,K3:K21)</f>
        <v>2811</v>
      </c>
      <c r="L2" s="42"/>
    </row>
    <row r="3" spans="1:12" s="70" customFormat="1" ht="15" customHeight="1" x14ac:dyDescent="0.3">
      <c r="A3" s="44" t="s">
        <v>13</v>
      </c>
      <c r="B3" s="43" t="s">
        <v>14</v>
      </c>
      <c r="C3" s="93" t="s">
        <v>15</v>
      </c>
      <c r="D3" s="46">
        <v>46179</v>
      </c>
      <c r="E3" s="46">
        <v>46179</v>
      </c>
      <c r="F3" s="86" t="s">
        <v>16</v>
      </c>
      <c r="G3" s="76" t="s">
        <v>17</v>
      </c>
      <c r="H3" s="45" t="s">
        <v>18</v>
      </c>
      <c r="I3" s="80">
        <v>1</v>
      </c>
      <c r="J3" s="47">
        <f>VLOOKUP(G3,'Anexa 3'!B$3:D$30,3,0)</f>
        <v>75</v>
      </c>
      <c r="K3" s="48">
        <f t="shared" ref="K3:K23" si="0">I3*J3</f>
        <v>75</v>
      </c>
      <c r="L3" s="49" t="s">
        <v>19</v>
      </c>
    </row>
    <row r="4" spans="1:12" s="70" customFormat="1" ht="15" customHeight="1" x14ac:dyDescent="0.3">
      <c r="A4" s="44" t="s">
        <v>20</v>
      </c>
      <c r="B4" s="43" t="s">
        <v>14</v>
      </c>
      <c r="C4" s="93" t="s">
        <v>21</v>
      </c>
      <c r="D4" s="46">
        <v>46190</v>
      </c>
      <c r="E4" s="46">
        <v>46190</v>
      </c>
      <c r="F4" s="89" t="s">
        <v>22</v>
      </c>
      <c r="G4" s="76" t="s">
        <v>23</v>
      </c>
      <c r="H4" s="45" t="s">
        <v>18</v>
      </c>
      <c r="I4" s="90">
        <v>2</v>
      </c>
      <c r="J4" s="47">
        <f>VLOOKUP(G4,'Anexa 3'!B$3:D$30,3,0)</f>
        <v>85</v>
      </c>
      <c r="K4" s="48">
        <f t="shared" si="0"/>
        <v>170</v>
      </c>
      <c r="L4" s="49" t="s">
        <v>19</v>
      </c>
    </row>
    <row r="5" spans="1:12" s="70" customFormat="1" ht="15" customHeight="1" x14ac:dyDescent="0.3">
      <c r="A5" s="44" t="s">
        <v>24</v>
      </c>
      <c r="B5" s="43" t="s">
        <v>14</v>
      </c>
      <c r="C5" s="93" t="s">
        <v>25</v>
      </c>
      <c r="D5" s="46">
        <v>46175</v>
      </c>
      <c r="E5" s="46">
        <v>46176</v>
      </c>
      <c r="F5" s="86" t="s">
        <v>26</v>
      </c>
      <c r="G5" s="76" t="s">
        <v>27</v>
      </c>
      <c r="H5" s="45" t="s">
        <v>18</v>
      </c>
      <c r="I5" s="80">
        <v>1</v>
      </c>
      <c r="J5" s="47">
        <f>VLOOKUP(G5,'Anexa 3'!B$3:D$30,3,0)</f>
        <v>85</v>
      </c>
      <c r="K5" s="48">
        <f t="shared" si="0"/>
        <v>85</v>
      </c>
      <c r="L5" s="49" t="s">
        <v>19</v>
      </c>
    </row>
    <row r="6" spans="1:12" s="70" customFormat="1" ht="15" customHeight="1" x14ac:dyDescent="0.3">
      <c r="A6" s="44" t="s">
        <v>28</v>
      </c>
      <c r="B6" s="43" t="s">
        <v>14</v>
      </c>
      <c r="C6" s="93" t="s">
        <v>29</v>
      </c>
      <c r="D6" s="46">
        <v>46176</v>
      </c>
      <c r="E6" s="46">
        <v>46176</v>
      </c>
      <c r="F6" s="87" t="s">
        <v>30</v>
      </c>
      <c r="G6" s="76" t="s">
        <v>17</v>
      </c>
      <c r="H6" s="45" t="s">
        <v>18</v>
      </c>
      <c r="I6" s="80">
        <v>1</v>
      </c>
      <c r="J6" s="47">
        <f>VLOOKUP(G6,'Anexa 3'!B$3:D$30,3,0)</f>
        <v>75</v>
      </c>
      <c r="K6" s="48">
        <f t="shared" si="0"/>
        <v>75</v>
      </c>
      <c r="L6" s="49" t="s">
        <v>19</v>
      </c>
    </row>
    <row r="7" spans="1:12" s="70" customFormat="1" ht="15" customHeight="1" x14ac:dyDescent="0.3">
      <c r="A7" s="44" t="s">
        <v>31</v>
      </c>
      <c r="B7" s="43" t="s">
        <v>14</v>
      </c>
      <c r="C7" s="93" t="s">
        <v>32</v>
      </c>
      <c r="D7" s="46">
        <v>46184</v>
      </c>
      <c r="E7" s="46">
        <v>46189</v>
      </c>
      <c r="F7" s="86" t="s">
        <v>33</v>
      </c>
      <c r="G7" s="76" t="s">
        <v>34</v>
      </c>
      <c r="H7" s="45" t="s">
        <v>18</v>
      </c>
      <c r="I7" s="80">
        <v>1</v>
      </c>
      <c r="J7" s="47">
        <f>VLOOKUP(G7,'Anexa 3'!B$3:D$30,3,0)</f>
        <v>70</v>
      </c>
      <c r="K7" s="48">
        <f t="shared" si="0"/>
        <v>70</v>
      </c>
      <c r="L7" s="49" t="s">
        <v>35</v>
      </c>
    </row>
    <row r="8" spans="1:12" s="70" customFormat="1" ht="15" customHeight="1" x14ac:dyDescent="0.3">
      <c r="A8" s="44" t="s">
        <v>36</v>
      </c>
      <c r="B8" s="43" t="s">
        <v>14</v>
      </c>
      <c r="C8" s="93" t="s">
        <v>32</v>
      </c>
      <c r="D8" s="46">
        <v>46184</v>
      </c>
      <c r="E8" s="46">
        <v>46189</v>
      </c>
      <c r="F8" s="88" t="s">
        <v>37</v>
      </c>
      <c r="G8" s="76" t="s">
        <v>17</v>
      </c>
      <c r="H8" s="45" t="s">
        <v>18</v>
      </c>
      <c r="I8" s="80">
        <v>11</v>
      </c>
      <c r="J8" s="47">
        <f>VLOOKUP(G8,'Anexa 3'!B$3:D$30,3,0)</f>
        <v>75</v>
      </c>
      <c r="K8" s="48">
        <f t="shared" si="0"/>
        <v>825</v>
      </c>
      <c r="L8" s="49" t="s">
        <v>35</v>
      </c>
    </row>
    <row r="9" spans="1:12" s="70" customFormat="1" ht="15" customHeight="1" x14ac:dyDescent="0.3">
      <c r="A9" s="44" t="s">
        <v>36</v>
      </c>
      <c r="B9" s="43" t="s">
        <v>14</v>
      </c>
      <c r="C9" s="93" t="s">
        <v>32</v>
      </c>
      <c r="D9" s="46">
        <v>46184</v>
      </c>
      <c r="E9" s="46">
        <v>46189</v>
      </c>
      <c r="F9" s="91" t="s">
        <v>37</v>
      </c>
      <c r="G9" s="92" t="s">
        <v>23</v>
      </c>
      <c r="H9" s="45" t="s">
        <v>18</v>
      </c>
      <c r="I9" s="90">
        <v>1</v>
      </c>
      <c r="J9" s="47">
        <f>VLOOKUP(G9,'Anexa 3'!B$3:D$30,3,0)</f>
        <v>85</v>
      </c>
      <c r="K9" s="48">
        <f t="shared" si="0"/>
        <v>85</v>
      </c>
      <c r="L9" s="49" t="s">
        <v>35</v>
      </c>
    </row>
    <row r="10" spans="1:12" s="70" customFormat="1" ht="15" customHeight="1" x14ac:dyDescent="0.3">
      <c r="A10" s="44" t="s">
        <v>38</v>
      </c>
      <c r="B10" s="43" t="s">
        <v>14</v>
      </c>
      <c r="C10" s="93" t="s">
        <v>39</v>
      </c>
      <c r="D10" s="46">
        <v>46184</v>
      </c>
      <c r="E10" s="46">
        <v>46189</v>
      </c>
      <c r="F10" s="86" t="s">
        <v>40</v>
      </c>
      <c r="G10" s="76" t="s">
        <v>17</v>
      </c>
      <c r="H10" s="45" t="s">
        <v>18</v>
      </c>
      <c r="I10" s="80">
        <v>2</v>
      </c>
      <c r="J10" s="47">
        <f>VLOOKUP(G10,'Anexa 3'!B$3:D$30,3,0)</f>
        <v>75</v>
      </c>
      <c r="K10" s="48">
        <f t="shared" si="0"/>
        <v>150</v>
      </c>
      <c r="L10" s="49" t="s">
        <v>35</v>
      </c>
    </row>
    <row r="11" spans="1:12" s="70" customFormat="1" ht="15" customHeight="1" x14ac:dyDescent="0.3">
      <c r="A11" s="44" t="s">
        <v>41</v>
      </c>
      <c r="B11" s="43" t="s">
        <v>14</v>
      </c>
      <c r="C11" s="93" t="s">
        <v>29</v>
      </c>
      <c r="D11" s="46">
        <v>46183</v>
      </c>
      <c r="E11" s="46">
        <v>46190</v>
      </c>
      <c r="F11" s="86" t="s">
        <v>42</v>
      </c>
      <c r="G11" s="76" t="str">
        <f>'Anexa 3'!B25</f>
        <v>SP FO CW 6 - Interventie Manipulare Cablu</v>
      </c>
      <c r="H11" s="45" t="s">
        <v>18</v>
      </c>
      <c r="I11" s="80">
        <v>1</v>
      </c>
      <c r="J11" s="47">
        <f>VLOOKUP(G11,'Anexa 3'!B$3:D$30,3,0)</f>
        <v>85</v>
      </c>
      <c r="K11" s="48">
        <f t="shared" si="0"/>
        <v>85</v>
      </c>
      <c r="L11" s="49" t="s">
        <v>35</v>
      </c>
    </row>
    <row r="12" spans="1:12" s="70" customFormat="1" ht="15" customHeight="1" x14ac:dyDescent="0.3">
      <c r="A12" s="44" t="s">
        <v>43</v>
      </c>
      <c r="B12" s="43" t="s">
        <v>14</v>
      </c>
      <c r="C12" s="93" t="s">
        <v>44</v>
      </c>
      <c r="D12" s="46">
        <v>46196</v>
      </c>
      <c r="E12" s="46">
        <v>46197</v>
      </c>
      <c r="F12" s="91" t="s">
        <v>45</v>
      </c>
      <c r="G12" s="76" t="s">
        <v>23</v>
      </c>
      <c r="H12" s="45" t="s">
        <v>18</v>
      </c>
      <c r="I12" s="90">
        <v>4</v>
      </c>
      <c r="J12" s="47">
        <f>VLOOKUP(G12,'Anexa 3'!B$3:D$30,3,0)</f>
        <v>85</v>
      </c>
      <c r="K12" s="48">
        <f t="shared" si="0"/>
        <v>340</v>
      </c>
      <c r="L12" s="49" t="s">
        <v>35</v>
      </c>
    </row>
    <row r="13" spans="1:12" s="70" customFormat="1" ht="15" customHeight="1" x14ac:dyDescent="0.3">
      <c r="A13" s="44" t="s">
        <v>43</v>
      </c>
      <c r="B13" s="43" t="s">
        <v>14</v>
      </c>
      <c r="C13" s="93" t="s">
        <v>44</v>
      </c>
      <c r="D13" s="46">
        <v>46196</v>
      </c>
      <c r="E13" s="46">
        <v>46197</v>
      </c>
      <c r="F13" s="88" t="s">
        <v>45</v>
      </c>
      <c r="G13" s="76" t="s">
        <v>34</v>
      </c>
      <c r="H13" s="45" t="s">
        <v>18</v>
      </c>
      <c r="I13" s="80">
        <v>2</v>
      </c>
      <c r="J13" s="47">
        <f>VLOOKUP(G13,'Anexa 3'!B$3:D$30,3,0)</f>
        <v>70</v>
      </c>
      <c r="K13" s="48">
        <f t="shared" si="0"/>
        <v>140</v>
      </c>
      <c r="L13" s="49" t="s">
        <v>35</v>
      </c>
    </row>
    <row r="14" spans="1:12" s="70" customFormat="1" ht="15" customHeight="1" x14ac:dyDescent="0.3">
      <c r="A14" s="44" t="s">
        <v>43</v>
      </c>
      <c r="B14" s="43" t="s">
        <v>14</v>
      </c>
      <c r="C14" s="93" t="s">
        <v>44</v>
      </c>
      <c r="D14" s="46">
        <v>46196</v>
      </c>
      <c r="E14" s="46">
        <v>46197</v>
      </c>
      <c r="F14" s="88" t="s">
        <v>45</v>
      </c>
      <c r="G14" s="76" t="s">
        <v>17</v>
      </c>
      <c r="H14" s="45" t="s">
        <v>18</v>
      </c>
      <c r="I14" s="80">
        <v>1</v>
      </c>
      <c r="J14" s="47">
        <f>VLOOKUP(G14,'Anexa 3'!B$3:D$30,3,0)</f>
        <v>75</v>
      </c>
      <c r="K14" s="48">
        <f t="shared" si="0"/>
        <v>75</v>
      </c>
      <c r="L14" s="49"/>
    </row>
    <row r="15" spans="1:12" s="70" customFormat="1" ht="15" customHeight="1" x14ac:dyDescent="0.3">
      <c r="A15" s="44" t="s">
        <v>43</v>
      </c>
      <c r="B15" s="43" t="s">
        <v>14</v>
      </c>
      <c r="C15" s="93" t="s">
        <v>44</v>
      </c>
      <c r="D15" s="46">
        <v>46196</v>
      </c>
      <c r="E15" s="46">
        <v>46197</v>
      </c>
      <c r="F15" s="88" t="s">
        <v>45</v>
      </c>
      <c r="G15" s="76" t="s">
        <v>46</v>
      </c>
      <c r="H15" s="45" t="s">
        <v>18</v>
      </c>
      <c r="I15" s="80">
        <v>1</v>
      </c>
      <c r="J15" s="47">
        <v>20</v>
      </c>
      <c r="K15" s="48">
        <f t="shared" si="0"/>
        <v>20</v>
      </c>
      <c r="L15" s="49" t="s">
        <v>35</v>
      </c>
    </row>
    <row r="16" spans="1:12" s="70" customFormat="1" ht="15" customHeight="1" x14ac:dyDescent="0.3">
      <c r="A16" s="44" t="s">
        <v>47</v>
      </c>
      <c r="B16" s="43" t="s">
        <v>14</v>
      </c>
      <c r="C16" s="93" t="s">
        <v>48</v>
      </c>
      <c r="D16" s="46">
        <v>46197</v>
      </c>
      <c r="E16" s="46">
        <v>46197</v>
      </c>
      <c r="F16" s="86" t="s">
        <v>49</v>
      </c>
      <c r="G16" s="76" t="s">
        <v>17</v>
      </c>
      <c r="H16" s="45" t="s">
        <v>18</v>
      </c>
      <c r="I16" s="80">
        <v>1</v>
      </c>
      <c r="J16" s="47">
        <f>VLOOKUP(G16,'Anexa 3'!B$3:D$30,3,0)</f>
        <v>75</v>
      </c>
      <c r="K16" s="48">
        <f t="shared" si="0"/>
        <v>75</v>
      </c>
      <c r="L16" s="49" t="s">
        <v>35</v>
      </c>
    </row>
    <row r="17" spans="1:12" s="70" customFormat="1" ht="15" customHeight="1" x14ac:dyDescent="0.3">
      <c r="A17" s="44" t="s">
        <v>50</v>
      </c>
      <c r="B17" s="43" t="s">
        <v>14</v>
      </c>
      <c r="C17" s="93" t="s">
        <v>51</v>
      </c>
      <c r="D17" s="46">
        <v>46191</v>
      </c>
      <c r="E17" s="46">
        <v>46191</v>
      </c>
      <c r="F17" s="86" t="s">
        <v>52</v>
      </c>
      <c r="G17" s="76" t="s">
        <v>17</v>
      </c>
      <c r="H17" s="45" t="s">
        <v>18</v>
      </c>
      <c r="I17" s="80">
        <v>7</v>
      </c>
      <c r="J17" s="47">
        <f>VLOOKUP(G17,'Anexa 3'!B$3:D$30,3,0)</f>
        <v>75</v>
      </c>
      <c r="K17" s="48">
        <f t="shared" si="0"/>
        <v>525</v>
      </c>
      <c r="L17" s="49" t="s">
        <v>35</v>
      </c>
    </row>
    <row r="18" spans="1:12" s="70" customFormat="1" ht="15" customHeight="1" x14ac:dyDescent="0.3">
      <c r="A18" s="44"/>
      <c r="B18" s="43"/>
      <c r="C18" s="93"/>
      <c r="D18" s="46"/>
      <c r="E18" s="46"/>
      <c r="F18" s="86" t="s">
        <v>53</v>
      </c>
      <c r="G18" s="76" t="str">
        <f>'Anexa 3'!B113</f>
        <v>Monting kit for cable on pole/wall - material - armorod</v>
      </c>
      <c r="H18" s="45" t="s">
        <v>18</v>
      </c>
      <c r="I18" s="80">
        <v>4</v>
      </c>
      <c r="J18" s="47">
        <f>'Anexa 3'!D113</f>
        <v>4</v>
      </c>
      <c r="K18" s="48">
        <f t="shared" si="0"/>
        <v>16</v>
      </c>
      <c r="L18" s="49" t="s">
        <v>35</v>
      </c>
    </row>
    <row r="19" spans="1:12" s="70" customFormat="1" ht="15" customHeight="1" x14ac:dyDescent="0.3">
      <c r="A19" s="44"/>
      <c r="B19" s="43"/>
      <c r="C19" s="43"/>
      <c r="D19" s="46"/>
      <c r="E19" s="46"/>
      <c r="F19" s="86"/>
      <c r="G19" s="76"/>
      <c r="H19" s="45"/>
      <c r="I19" s="80"/>
      <c r="J19" s="47"/>
      <c r="K19" s="48"/>
      <c r="L19" s="49" t="s">
        <v>35</v>
      </c>
    </row>
    <row r="20" spans="1:12" s="70" customFormat="1" ht="15" customHeight="1" x14ac:dyDescent="0.3">
      <c r="A20" s="44"/>
      <c r="B20" s="43"/>
      <c r="C20" s="43"/>
      <c r="D20" s="46"/>
      <c r="E20" s="46"/>
      <c r="F20" s="86"/>
      <c r="G20" s="76"/>
      <c r="H20" s="45"/>
      <c r="I20" s="80"/>
      <c r="J20" s="47"/>
      <c r="K20" s="48"/>
      <c r="L20" s="49" t="s">
        <v>35</v>
      </c>
    </row>
    <row r="21" spans="1:12" s="70" customFormat="1" ht="15" customHeight="1" x14ac:dyDescent="0.3">
      <c r="A21" s="44"/>
      <c r="B21" s="43"/>
      <c r="C21" s="43"/>
      <c r="D21" s="46"/>
      <c r="E21" s="46"/>
      <c r="F21" s="86"/>
      <c r="G21" s="76"/>
      <c r="H21" s="45"/>
      <c r="I21" s="80"/>
      <c r="J21" s="47"/>
      <c r="K21" s="48"/>
      <c r="L21" s="49" t="s">
        <v>35</v>
      </c>
    </row>
    <row r="22" spans="1:12" s="70" customFormat="1" ht="15" hidden="1" customHeight="1" x14ac:dyDescent="0.3">
      <c r="A22" s="44"/>
      <c r="B22" s="43"/>
      <c r="C22" s="43"/>
      <c r="D22" s="46"/>
      <c r="E22" s="46"/>
      <c r="F22" s="81"/>
      <c r="G22" s="82" t="s">
        <v>54</v>
      </c>
      <c r="H22" s="45" t="s">
        <v>55</v>
      </c>
      <c r="I22" s="80">
        <v>0</v>
      </c>
      <c r="J22" s="47">
        <f>VLOOKUP(G22,'Anexa 3'!B$3:D$30,3,0)</f>
        <v>8.5</v>
      </c>
      <c r="K22" s="48">
        <f t="shared" si="0"/>
        <v>0</v>
      </c>
      <c r="L22" s="66"/>
    </row>
    <row r="23" spans="1:12" s="70" customFormat="1" ht="15" hidden="1" customHeight="1" x14ac:dyDescent="0.3">
      <c r="A23" s="44"/>
      <c r="B23" s="43"/>
      <c r="C23" s="43"/>
      <c r="D23" s="46"/>
      <c r="E23" s="46"/>
      <c r="F23" s="81"/>
      <c r="G23" s="82" t="s">
        <v>54</v>
      </c>
      <c r="H23" s="45" t="s">
        <v>55</v>
      </c>
      <c r="I23" s="80">
        <v>0</v>
      </c>
      <c r="J23" s="47">
        <f>VLOOKUP(G23,'Anexa 3'!B$3:D$30,3,0)</f>
        <v>8.5</v>
      </c>
      <c r="K23" s="48">
        <f t="shared" si="0"/>
        <v>0</v>
      </c>
      <c r="L23" s="66"/>
    </row>
    <row r="24" spans="1:12" s="70" customFormat="1" ht="15" hidden="1" customHeight="1" x14ac:dyDescent="0.3">
      <c r="A24" s="44"/>
      <c r="B24" s="43"/>
      <c r="C24" s="43"/>
      <c r="D24" s="46"/>
      <c r="E24" s="46"/>
      <c r="F24" s="81"/>
      <c r="G24" s="82"/>
      <c r="H24" s="45"/>
      <c r="I24" s="83"/>
      <c r="J24" s="84"/>
      <c r="K24" s="85"/>
      <c r="L24" s="66"/>
    </row>
    <row r="25" spans="1:12" s="70" customFormat="1" ht="15" customHeight="1" x14ac:dyDescent="0.35">
      <c r="A25" s="32"/>
      <c r="B25" s="31"/>
      <c r="C25" s="31"/>
      <c r="D25" s="31"/>
      <c r="E25" s="34"/>
      <c r="F25" s="31"/>
      <c r="G25" s="94" t="s">
        <v>56</v>
      </c>
      <c r="H25" s="95"/>
      <c r="I25" s="95"/>
      <c r="J25" s="95"/>
      <c r="K25" s="79">
        <f>K2*H27</f>
        <v>13990.347000000002</v>
      </c>
      <c r="L25" s="66"/>
    </row>
    <row r="26" spans="1:12" s="70" customFormat="1" ht="15" customHeight="1" x14ac:dyDescent="0.3">
      <c r="A26" s="32"/>
      <c r="B26" s="31"/>
      <c r="C26" s="31"/>
      <c r="D26" s="34"/>
      <c r="E26" s="34"/>
      <c r="F26" s="31"/>
      <c r="G26" s="63"/>
      <c r="H26" s="33"/>
      <c r="I26" s="33"/>
      <c r="J26" s="64"/>
      <c r="K26" s="65"/>
      <c r="L26" s="66"/>
    </row>
    <row r="27" spans="1:12" ht="15" customHeight="1" x14ac:dyDescent="0.35">
      <c r="A27"/>
      <c r="B27" s="31"/>
      <c r="C27" s="31"/>
      <c r="D27" s="61"/>
      <c r="E27" s="34"/>
      <c r="F27" s="50"/>
      <c r="G27" s="67" t="s">
        <v>57</v>
      </c>
      <c r="H27" s="68">
        <v>4.9770000000000003</v>
      </c>
      <c r="I27" s="51"/>
      <c r="J27" s="52"/>
      <c r="K27" s="53"/>
      <c r="L27" s="54"/>
    </row>
    <row r="28" spans="1:12" ht="15" customHeight="1" x14ac:dyDescent="0.35">
      <c r="A28" s="32" t="s">
        <v>58</v>
      </c>
      <c r="B28" s="31"/>
      <c r="C28" s="31"/>
      <c r="D28" s="62"/>
      <c r="E28" s="34"/>
      <c r="F28" s="34" t="s">
        <v>59</v>
      </c>
      <c r="G28" s="61"/>
      <c r="H28" s="51"/>
      <c r="I28" s="51"/>
      <c r="J28" s="52"/>
      <c r="K28" s="53"/>
      <c r="L28" s="54"/>
    </row>
    <row r="29" spans="1:12" ht="15" customHeight="1" x14ac:dyDescent="0.35">
      <c r="A29" s="55" t="s">
        <v>60</v>
      </c>
      <c r="B29" s="31"/>
      <c r="C29" s="31"/>
      <c r="D29" s="34"/>
      <c r="E29" s="34"/>
      <c r="F29" s="78" t="s">
        <v>61</v>
      </c>
      <c r="G29" s="71"/>
      <c r="H29" s="51"/>
      <c r="I29" s="51"/>
      <c r="J29" s="52"/>
      <c r="K29" s="53"/>
      <c r="L29" s="54"/>
    </row>
    <row r="30" spans="1:12" ht="15" customHeight="1" x14ac:dyDescent="0.35">
      <c r="A30" s="32"/>
      <c r="B30" s="31"/>
      <c r="C30" s="31"/>
      <c r="D30" s="34"/>
      <c r="E30" s="34"/>
      <c r="F30" s="31"/>
      <c r="G30" s="56"/>
      <c r="H30" s="51"/>
      <c r="I30" s="51"/>
      <c r="J30" s="52"/>
      <c r="K30" s="53"/>
      <c r="L30" s="54"/>
    </row>
    <row r="31" spans="1:12" ht="15" customHeight="1" x14ac:dyDescent="0.35">
      <c r="D31" s="59"/>
      <c r="E31" s="59"/>
      <c r="H31" s="51"/>
      <c r="I31" s="51"/>
      <c r="J31" s="52"/>
      <c r="K31" s="53"/>
      <c r="L31" s="54"/>
    </row>
    <row r="32" spans="1:12" ht="15" customHeight="1" x14ac:dyDescent="0.35">
      <c r="D32" s="59"/>
      <c r="E32" s="59"/>
      <c r="H32" s="51"/>
      <c r="I32" s="51"/>
      <c r="J32" s="52"/>
      <c r="K32" s="53"/>
      <c r="L32" s="54"/>
    </row>
    <row r="33" spans="4:12" ht="15" customHeight="1" x14ac:dyDescent="0.35">
      <c r="D33" s="59"/>
      <c r="E33" s="59"/>
      <c r="H33" s="51"/>
      <c r="I33" s="51"/>
      <c r="J33" s="52"/>
      <c r="K33" s="53"/>
      <c r="L33" s="54"/>
    </row>
    <row r="34" spans="4:12" ht="15" customHeight="1" x14ac:dyDescent="0.35">
      <c r="D34" s="59"/>
      <c r="E34" s="59"/>
      <c r="H34" s="51"/>
      <c r="I34" s="51"/>
      <c r="J34" s="52"/>
      <c r="K34" s="53"/>
      <c r="L34" s="54"/>
    </row>
    <row r="35" spans="4:12" ht="15" customHeight="1" x14ac:dyDescent="0.35">
      <c r="D35" s="59"/>
      <c r="E35" s="59"/>
      <c r="H35" s="51"/>
      <c r="I35" s="51"/>
      <c r="J35" s="52"/>
      <c r="K35" s="53"/>
      <c r="L35" s="54"/>
    </row>
    <row r="36" spans="4:12" ht="15" customHeight="1" x14ac:dyDescent="0.35">
      <c r="D36" s="59"/>
      <c r="E36" s="59"/>
      <c r="H36" s="51"/>
      <c r="I36" s="51"/>
      <c r="J36" s="52"/>
      <c r="K36" s="53"/>
      <c r="L36" s="54"/>
    </row>
    <row r="37" spans="4:12" ht="15" customHeight="1" x14ac:dyDescent="0.35">
      <c r="D37" s="59"/>
      <c r="E37" s="59"/>
      <c r="H37" s="51"/>
      <c r="I37" s="51"/>
      <c r="J37" s="52"/>
      <c r="K37" s="53"/>
      <c r="L37" s="54"/>
    </row>
    <row r="38" spans="4:12" ht="15" customHeight="1" x14ac:dyDescent="0.35">
      <c r="D38" s="59"/>
      <c r="E38" s="59"/>
      <c r="H38" s="51"/>
      <c r="I38" s="51"/>
      <c r="J38" s="52"/>
      <c r="K38" s="53"/>
      <c r="L38" s="54"/>
    </row>
    <row r="39" spans="4:12" ht="15" customHeight="1" x14ac:dyDescent="0.35">
      <c r="D39" s="59"/>
      <c r="E39" s="59"/>
      <c r="H39" s="51"/>
      <c r="I39" s="51"/>
      <c r="J39" s="52"/>
      <c r="K39" s="53"/>
      <c r="L39" s="54"/>
    </row>
    <row r="40" spans="4:12" ht="15" customHeight="1" x14ac:dyDescent="0.35">
      <c r="D40" s="59"/>
      <c r="E40" s="59"/>
      <c r="H40" s="51"/>
      <c r="I40" s="51"/>
      <c r="J40" s="52"/>
      <c r="K40" s="53"/>
      <c r="L40" s="54"/>
    </row>
    <row r="41" spans="4:12" ht="15" customHeight="1" x14ac:dyDescent="0.35">
      <c r="D41" s="59"/>
      <c r="E41" s="59"/>
      <c r="H41" s="51"/>
      <c r="I41" s="51"/>
      <c r="J41" s="52"/>
      <c r="K41" s="53"/>
      <c r="L41" s="54"/>
    </row>
    <row r="42" spans="4:12" ht="15" customHeight="1" x14ac:dyDescent="0.35">
      <c r="D42" s="59"/>
      <c r="E42" s="59"/>
      <c r="H42" s="51"/>
      <c r="I42" s="51"/>
      <c r="J42" s="52"/>
      <c r="K42" s="53"/>
      <c r="L42" s="54"/>
    </row>
    <row r="43" spans="4:12" ht="15" customHeight="1" x14ac:dyDescent="0.35">
      <c r="D43" s="59"/>
      <c r="E43" s="59"/>
      <c r="H43" s="51"/>
      <c r="I43" s="51"/>
      <c r="J43" s="52"/>
      <c r="K43" s="53"/>
      <c r="L43" s="54"/>
    </row>
    <row r="44" spans="4:12" ht="15" customHeight="1" x14ac:dyDescent="0.35">
      <c r="D44" s="59"/>
      <c r="E44" s="59"/>
      <c r="H44" s="51"/>
      <c r="I44" s="51"/>
      <c r="J44" s="52"/>
      <c r="K44" s="53"/>
      <c r="L44" s="54"/>
    </row>
    <row r="45" spans="4:12" ht="15" customHeight="1" x14ac:dyDescent="0.35">
      <c r="D45" s="59"/>
      <c r="E45" s="59"/>
      <c r="H45" s="51"/>
      <c r="I45" s="51"/>
      <c r="J45" s="52"/>
      <c r="K45" s="53"/>
      <c r="L45" s="54"/>
    </row>
    <row r="46" spans="4:12" ht="15" customHeight="1" x14ac:dyDescent="0.35">
      <c r="D46" s="59"/>
      <c r="E46" s="59"/>
      <c r="H46" s="51"/>
      <c r="I46" s="51"/>
      <c r="J46" s="52"/>
      <c r="K46" s="53"/>
      <c r="L46" s="54"/>
    </row>
    <row r="47" spans="4:12" ht="15" customHeight="1" x14ac:dyDescent="0.35">
      <c r="D47" s="59"/>
      <c r="E47" s="59"/>
      <c r="H47" s="51"/>
      <c r="I47" s="51"/>
      <c r="J47" s="52"/>
      <c r="K47" s="53"/>
      <c r="L47" s="54"/>
    </row>
    <row r="48" spans="4:12" ht="15" customHeight="1" x14ac:dyDescent="0.35">
      <c r="D48" s="59"/>
      <c r="E48" s="59"/>
      <c r="H48" s="51"/>
      <c r="I48" s="51"/>
      <c r="J48" s="52"/>
      <c r="K48" s="53"/>
      <c r="L48" s="54"/>
    </row>
    <row r="49" spans="4:12" ht="15" customHeight="1" x14ac:dyDescent="0.35">
      <c r="D49" s="59"/>
      <c r="E49" s="59"/>
      <c r="H49" s="51"/>
      <c r="I49" s="51"/>
      <c r="J49" s="52"/>
      <c r="K49" s="53"/>
      <c r="L49" s="54"/>
    </row>
    <row r="50" spans="4:12" ht="15" customHeight="1" x14ac:dyDescent="0.35">
      <c r="D50" s="59"/>
      <c r="E50" s="59"/>
      <c r="H50" s="51"/>
      <c r="I50" s="51"/>
      <c r="J50" s="52"/>
      <c r="K50" s="53"/>
      <c r="L50" s="54"/>
    </row>
    <row r="51" spans="4:12" ht="15" customHeight="1" x14ac:dyDescent="0.35">
      <c r="D51" s="59"/>
      <c r="E51" s="59"/>
      <c r="H51" s="51"/>
      <c r="I51" s="51"/>
      <c r="J51" s="52"/>
      <c r="K51" s="53"/>
      <c r="L51" s="54"/>
    </row>
    <row r="52" spans="4:12" ht="15" customHeight="1" x14ac:dyDescent="0.35">
      <c r="D52" s="59"/>
      <c r="E52" s="59"/>
      <c r="H52" s="51"/>
      <c r="I52" s="51"/>
      <c r="J52" s="52"/>
      <c r="K52" s="53"/>
      <c r="L52" s="54"/>
    </row>
    <row r="53" spans="4:12" ht="15" customHeight="1" x14ac:dyDescent="0.35">
      <c r="D53" s="59"/>
      <c r="E53" s="59"/>
      <c r="H53" s="51"/>
      <c r="I53" s="51"/>
      <c r="J53" s="52"/>
      <c r="K53" s="53"/>
      <c r="L53" s="54"/>
    </row>
    <row r="54" spans="4:12" ht="15" customHeight="1" x14ac:dyDescent="0.35">
      <c r="D54" s="59"/>
      <c r="E54" s="59"/>
      <c r="H54" s="51"/>
      <c r="I54" s="51"/>
      <c r="J54" s="52"/>
      <c r="K54" s="53"/>
      <c r="L54" s="54"/>
    </row>
    <row r="55" spans="4:12" ht="15" customHeight="1" x14ac:dyDescent="0.35">
      <c r="D55" s="59"/>
      <c r="E55" s="59"/>
      <c r="H55" s="51"/>
      <c r="I55" s="51"/>
      <c r="J55" s="52"/>
      <c r="K55" s="53"/>
      <c r="L55" s="54"/>
    </row>
    <row r="56" spans="4:12" ht="15" customHeight="1" x14ac:dyDescent="0.35">
      <c r="D56" s="59"/>
      <c r="E56" s="59"/>
      <c r="H56" s="51"/>
      <c r="I56" s="51"/>
      <c r="J56" s="52"/>
      <c r="K56" s="53"/>
      <c r="L56" s="54"/>
    </row>
    <row r="57" spans="4:12" ht="15" customHeight="1" x14ac:dyDescent="0.35">
      <c r="D57" s="59"/>
      <c r="E57" s="59"/>
      <c r="H57" s="51"/>
      <c r="I57" s="51"/>
      <c r="J57" s="52"/>
      <c r="K57" s="53"/>
      <c r="L57" s="54"/>
    </row>
    <row r="58" spans="4:12" ht="15" customHeight="1" x14ac:dyDescent="0.35">
      <c r="D58" s="59"/>
      <c r="E58" s="59"/>
      <c r="H58" s="51"/>
      <c r="I58" s="51"/>
      <c r="J58" s="52"/>
      <c r="K58" s="53"/>
      <c r="L58" s="54"/>
    </row>
    <row r="59" spans="4:12" ht="15" customHeight="1" x14ac:dyDescent="0.35">
      <c r="D59" s="59"/>
      <c r="E59" s="59"/>
      <c r="H59" s="51"/>
      <c r="I59" s="51"/>
      <c r="J59" s="52"/>
      <c r="K59" s="53"/>
      <c r="L59" s="54"/>
    </row>
    <row r="60" spans="4:12" ht="15" customHeight="1" x14ac:dyDescent="0.35">
      <c r="D60" s="59"/>
      <c r="E60" s="59"/>
      <c r="H60" s="51"/>
      <c r="I60" s="51"/>
      <c r="J60" s="52"/>
      <c r="K60" s="53"/>
      <c r="L60" s="54"/>
    </row>
    <row r="61" spans="4:12" ht="15" customHeight="1" x14ac:dyDescent="0.35">
      <c r="D61" s="59"/>
      <c r="E61" s="59"/>
      <c r="H61" s="51"/>
      <c r="I61" s="51"/>
      <c r="J61" s="52"/>
      <c r="K61" s="53"/>
      <c r="L61" s="54"/>
    </row>
    <row r="62" spans="4:12" ht="15" customHeight="1" x14ac:dyDescent="0.35">
      <c r="D62" s="59"/>
      <c r="E62" s="59"/>
      <c r="H62" s="51"/>
      <c r="I62" s="51"/>
      <c r="J62" s="52"/>
      <c r="K62" s="53"/>
      <c r="L62" s="54"/>
    </row>
    <row r="63" spans="4:12" ht="15" customHeight="1" x14ac:dyDescent="0.35">
      <c r="D63" s="59"/>
      <c r="E63" s="59"/>
      <c r="H63" s="51"/>
      <c r="I63" s="51"/>
      <c r="J63" s="52"/>
      <c r="K63" s="53"/>
      <c r="L63" s="54"/>
    </row>
    <row r="64" spans="4:12" ht="15" customHeight="1" x14ac:dyDescent="0.35">
      <c r="D64" s="59"/>
      <c r="E64" s="59"/>
      <c r="H64" s="51"/>
      <c r="I64" s="51"/>
      <c r="J64" s="52"/>
      <c r="K64" s="53"/>
      <c r="L64" s="54"/>
    </row>
    <row r="65" spans="4:12" ht="15" customHeight="1" x14ac:dyDescent="0.35">
      <c r="D65" s="59"/>
      <c r="E65" s="59"/>
      <c r="H65" s="51"/>
      <c r="I65" s="51"/>
      <c r="J65" s="52"/>
      <c r="K65" s="53"/>
      <c r="L65" s="54"/>
    </row>
    <row r="66" spans="4:12" ht="15" customHeight="1" x14ac:dyDescent="0.35">
      <c r="D66" s="59"/>
      <c r="E66" s="59"/>
      <c r="H66" s="51"/>
      <c r="I66" s="51"/>
      <c r="J66" s="52"/>
      <c r="K66" s="53"/>
      <c r="L66" s="54"/>
    </row>
    <row r="67" spans="4:12" ht="15" customHeight="1" x14ac:dyDescent="0.35">
      <c r="D67" s="59"/>
      <c r="E67" s="59"/>
      <c r="H67" s="51"/>
      <c r="I67" s="51"/>
      <c r="J67" s="52"/>
      <c r="K67" s="53"/>
      <c r="L67" s="54"/>
    </row>
    <row r="68" spans="4:12" ht="15" customHeight="1" x14ac:dyDescent="0.35">
      <c r="D68" s="59"/>
      <c r="E68" s="59"/>
      <c r="H68" s="51"/>
      <c r="I68" s="51"/>
      <c r="J68" s="52"/>
      <c r="K68" s="53"/>
      <c r="L68" s="54"/>
    </row>
    <row r="69" spans="4:12" ht="15" customHeight="1" x14ac:dyDescent="0.35">
      <c r="D69" s="59"/>
      <c r="E69" s="59"/>
      <c r="H69" s="51"/>
      <c r="I69" s="51"/>
      <c r="J69" s="52"/>
      <c r="K69" s="53"/>
      <c r="L69" s="54"/>
    </row>
    <row r="70" spans="4:12" ht="15" customHeight="1" x14ac:dyDescent="0.35">
      <c r="D70" s="59"/>
      <c r="E70" s="59"/>
      <c r="H70" s="51"/>
      <c r="I70" s="51"/>
      <c r="J70" s="52"/>
      <c r="K70" s="53"/>
      <c r="L70" s="54"/>
    </row>
    <row r="71" spans="4:12" ht="15" customHeight="1" x14ac:dyDescent="0.35">
      <c r="D71" s="59"/>
      <c r="E71" s="59"/>
      <c r="H71" s="51"/>
      <c r="I71" s="51"/>
      <c r="J71" s="52"/>
      <c r="K71" s="53"/>
      <c r="L71" s="54"/>
    </row>
    <row r="72" spans="4:12" ht="15" customHeight="1" x14ac:dyDescent="0.35">
      <c r="D72" s="59"/>
      <c r="E72" s="59"/>
      <c r="H72" s="51"/>
      <c r="I72" s="51"/>
      <c r="J72" s="52"/>
      <c r="K72" s="53"/>
      <c r="L72" s="54"/>
    </row>
    <row r="73" spans="4:12" ht="15" customHeight="1" x14ac:dyDescent="0.35">
      <c r="D73" s="59"/>
      <c r="E73" s="59"/>
      <c r="H73" s="51"/>
      <c r="I73" s="51"/>
      <c r="J73" s="52"/>
      <c r="K73" s="53"/>
      <c r="L73" s="54"/>
    </row>
    <row r="74" spans="4:12" ht="15" customHeight="1" x14ac:dyDescent="0.35">
      <c r="D74" s="59"/>
      <c r="E74" s="59"/>
      <c r="H74" s="51"/>
      <c r="I74" s="51"/>
      <c r="J74" s="52"/>
      <c r="K74" s="53"/>
      <c r="L74" s="54"/>
    </row>
    <row r="75" spans="4:12" ht="15" customHeight="1" x14ac:dyDescent="0.35">
      <c r="D75" s="59"/>
      <c r="E75" s="59"/>
      <c r="H75" s="51"/>
      <c r="I75" s="51"/>
      <c r="J75" s="52"/>
      <c r="K75" s="53"/>
      <c r="L75" s="54"/>
    </row>
    <row r="76" spans="4:12" ht="15" customHeight="1" x14ac:dyDescent="0.35">
      <c r="D76" s="59"/>
      <c r="E76" s="59"/>
      <c r="H76" s="51"/>
      <c r="I76" s="51"/>
      <c r="J76" s="52"/>
      <c r="K76" s="53"/>
      <c r="L76" s="54"/>
    </row>
    <row r="77" spans="4:12" ht="15" customHeight="1" x14ac:dyDescent="0.35">
      <c r="D77" s="59"/>
      <c r="E77" s="59"/>
      <c r="H77" s="51"/>
      <c r="I77" s="51"/>
      <c r="J77" s="52"/>
      <c r="K77" s="53"/>
      <c r="L77" s="54"/>
    </row>
    <row r="78" spans="4:12" ht="15" customHeight="1" x14ac:dyDescent="0.35">
      <c r="D78" s="59"/>
      <c r="E78" s="59"/>
      <c r="H78" s="51"/>
      <c r="I78" s="51"/>
      <c r="J78" s="52"/>
      <c r="K78" s="53"/>
      <c r="L78" s="54"/>
    </row>
    <row r="79" spans="4:12" ht="15" customHeight="1" x14ac:dyDescent="0.35">
      <c r="D79" s="59"/>
      <c r="E79" s="59"/>
      <c r="H79" s="51"/>
      <c r="I79" s="51"/>
      <c r="J79" s="52"/>
      <c r="K79" s="53"/>
      <c r="L79" s="54"/>
    </row>
    <row r="80" spans="4:12" ht="15" customHeight="1" x14ac:dyDescent="0.35">
      <c r="D80" s="59"/>
      <c r="E80" s="59"/>
      <c r="H80" s="51"/>
      <c r="I80" s="51"/>
      <c r="J80" s="52"/>
      <c r="K80" s="53"/>
      <c r="L80" s="54"/>
    </row>
    <row r="81" spans="4:12" ht="15" customHeight="1" x14ac:dyDescent="0.35">
      <c r="D81" s="59"/>
      <c r="E81" s="59"/>
      <c r="H81" s="51"/>
      <c r="I81" s="51"/>
      <c r="J81" s="52"/>
      <c r="K81" s="53"/>
      <c r="L81" s="54"/>
    </row>
    <row r="82" spans="4:12" ht="15" customHeight="1" x14ac:dyDescent="0.35">
      <c r="D82" s="59"/>
      <c r="E82" s="59"/>
      <c r="H82" s="51"/>
      <c r="I82" s="51"/>
      <c r="J82" s="52"/>
      <c r="K82" s="53"/>
      <c r="L82" s="54"/>
    </row>
    <row r="83" spans="4:12" ht="15" customHeight="1" x14ac:dyDescent="0.35">
      <c r="D83" s="59"/>
      <c r="E83" s="59"/>
      <c r="H83" s="51"/>
      <c r="I83" s="51"/>
      <c r="J83" s="52"/>
      <c r="K83" s="53"/>
      <c r="L83" s="54"/>
    </row>
    <row r="84" spans="4:12" ht="15" customHeight="1" x14ac:dyDescent="0.35">
      <c r="D84" s="59"/>
      <c r="E84" s="59"/>
      <c r="H84" s="51"/>
      <c r="I84" s="51"/>
      <c r="J84" s="52"/>
      <c r="K84" s="53"/>
      <c r="L84" s="54"/>
    </row>
    <row r="85" spans="4:12" ht="15" customHeight="1" x14ac:dyDescent="0.35">
      <c r="D85" s="59"/>
      <c r="E85" s="59"/>
      <c r="H85" s="51"/>
      <c r="I85" s="51"/>
      <c r="J85" s="52"/>
      <c r="K85" s="53"/>
      <c r="L85" s="54"/>
    </row>
    <row r="86" spans="4:12" ht="15" customHeight="1" x14ac:dyDescent="0.35">
      <c r="D86" s="59"/>
      <c r="E86" s="59"/>
      <c r="H86" s="51"/>
      <c r="I86" s="51"/>
      <c r="J86" s="52"/>
      <c r="K86" s="53"/>
      <c r="L86" s="54"/>
    </row>
    <row r="87" spans="4:12" ht="15" customHeight="1" x14ac:dyDescent="0.35">
      <c r="D87" s="59"/>
      <c r="E87" s="59"/>
      <c r="H87" s="51"/>
      <c r="I87" s="51"/>
      <c r="J87" s="52"/>
      <c r="K87" s="53"/>
      <c r="L87" s="54"/>
    </row>
    <row r="88" spans="4:12" ht="15" customHeight="1" x14ac:dyDescent="0.35">
      <c r="D88" s="59"/>
      <c r="E88" s="59"/>
      <c r="H88" s="51"/>
      <c r="I88" s="51"/>
      <c r="J88" s="52"/>
      <c r="K88" s="53"/>
      <c r="L88" s="54"/>
    </row>
    <row r="89" spans="4:12" ht="15" customHeight="1" x14ac:dyDescent="0.35">
      <c r="D89" s="59"/>
      <c r="E89" s="59"/>
      <c r="H89" s="51"/>
      <c r="I89" s="51"/>
      <c r="J89" s="52"/>
      <c r="K89" s="53"/>
      <c r="L89" s="54"/>
    </row>
    <row r="90" spans="4:12" ht="15" customHeight="1" x14ac:dyDescent="0.35">
      <c r="D90" s="59"/>
      <c r="E90" s="59"/>
      <c r="H90" s="51"/>
      <c r="I90" s="51"/>
      <c r="J90" s="52"/>
      <c r="K90" s="53"/>
      <c r="L90" s="54"/>
    </row>
    <row r="91" spans="4:12" ht="15" customHeight="1" x14ac:dyDescent="0.35">
      <c r="D91" s="59"/>
      <c r="E91" s="59"/>
      <c r="H91" s="51"/>
      <c r="I91" s="51"/>
      <c r="J91" s="52"/>
      <c r="K91" s="53"/>
      <c r="L91" s="54"/>
    </row>
    <row r="92" spans="4:12" ht="15" customHeight="1" x14ac:dyDescent="0.35">
      <c r="D92" s="59"/>
      <c r="E92" s="59"/>
      <c r="H92" s="51"/>
      <c r="I92" s="51"/>
      <c r="J92" s="52"/>
      <c r="K92" s="53"/>
      <c r="L92" s="54"/>
    </row>
    <row r="93" spans="4:12" ht="15" customHeight="1" x14ac:dyDescent="0.35">
      <c r="D93" s="59"/>
      <c r="E93" s="59"/>
      <c r="H93" s="51"/>
      <c r="I93" s="51"/>
      <c r="J93" s="52"/>
      <c r="K93" s="53"/>
      <c r="L93" s="54"/>
    </row>
    <row r="94" spans="4:12" ht="15" customHeight="1" x14ac:dyDescent="0.35">
      <c r="D94" s="59"/>
      <c r="E94" s="59"/>
      <c r="H94" s="51"/>
      <c r="I94" s="51"/>
      <c r="J94" s="52"/>
      <c r="K94" s="53"/>
      <c r="L94" s="54"/>
    </row>
    <row r="95" spans="4:12" ht="15" customHeight="1" x14ac:dyDescent="0.35">
      <c r="D95" s="59"/>
      <c r="E95" s="59"/>
      <c r="H95" s="51"/>
      <c r="I95" s="51"/>
      <c r="J95" s="52"/>
      <c r="K95" s="53"/>
      <c r="L95" s="54"/>
    </row>
    <row r="96" spans="4:12" ht="15" customHeight="1" x14ac:dyDescent="0.35">
      <c r="D96" s="59"/>
      <c r="E96" s="59"/>
      <c r="H96" s="51"/>
      <c r="I96" s="51"/>
      <c r="J96" s="52"/>
      <c r="K96" s="53"/>
      <c r="L96" s="54"/>
    </row>
    <row r="97" spans="4:12" ht="15" customHeight="1" x14ac:dyDescent="0.35">
      <c r="D97" s="59"/>
      <c r="E97" s="59"/>
      <c r="H97" s="51"/>
      <c r="I97" s="51"/>
      <c r="J97" s="52"/>
      <c r="K97" s="53"/>
      <c r="L97" s="54"/>
    </row>
    <row r="98" spans="4:12" ht="15" customHeight="1" x14ac:dyDescent="0.35">
      <c r="D98" s="59"/>
      <c r="E98" s="59"/>
      <c r="H98" s="51"/>
      <c r="I98" s="51"/>
      <c r="J98" s="52"/>
      <c r="K98" s="53"/>
      <c r="L98" s="54"/>
    </row>
    <row r="99" spans="4:12" ht="15" customHeight="1" x14ac:dyDescent="0.35">
      <c r="D99" s="59"/>
      <c r="E99" s="59"/>
      <c r="H99" s="51"/>
      <c r="I99" s="51"/>
      <c r="J99" s="52"/>
      <c r="K99" s="53"/>
      <c r="L99" s="54"/>
    </row>
    <row r="100" spans="4:12" ht="15" customHeight="1" x14ac:dyDescent="0.35">
      <c r="D100" s="59"/>
      <c r="E100" s="59"/>
      <c r="H100" s="51"/>
      <c r="I100" s="51"/>
      <c r="J100" s="52"/>
      <c r="K100" s="53"/>
      <c r="L100" s="54"/>
    </row>
    <row r="101" spans="4:12" ht="15" customHeight="1" x14ac:dyDescent="0.35">
      <c r="D101" s="59"/>
      <c r="E101" s="59"/>
      <c r="H101" s="51"/>
      <c r="I101" s="51"/>
      <c r="J101" s="52"/>
      <c r="K101" s="53"/>
      <c r="L101" s="54"/>
    </row>
    <row r="102" spans="4:12" ht="15" customHeight="1" x14ac:dyDescent="0.35">
      <c r="D102" s="59"/>
      <c r="E102" s="59"/>
      <c r="H102" s="51"/>
      <c r="I102" s="51"/>
      <c r="J102" s="52"/>
      <c r="K102" s="53"/>
      <c r="L102" s="54"/>
    </row>
    <row r="103" spans="4:12" ht="15" customHeight="1" x14ac:dyDescent="0.35">
      <c r="D103" s="59"/>
      <c r="E103" s="59"/>
      <c r="H103" s="51"/>
      <c r="I103" s="51"/>
      <c r="J103" s="52"/>
      <c r="K103" s="53"/>
      <c r="L103" s="54"/>
    </row>
    <row r="104" spans="4:12" ht="15" customHeight="1" x14ac:dyDescent="0.35">
      <c r="D104" s="59"/>
      <c r="E104" s="59"/>
      <c r="H104" s="51"/>
      <c r="I104" s="51"/>
      <c r="J104" s="52"/>
      <c r="K104" s="53"/>
      <c r="L104" s="54"/>
    </row>
    <row r="105" spans="4:12" ht="15" customHeight="1" x14ac:dyDescent="0.35">
      <c r="D105" s="59"/>
      <c r="E105" s="59"/>
      <c r="H105" s="51"/>
      <c r="I105" s="51"/>
      <c r="J105" s="52"/>
      <c r="K105" s="53"/>
      <c r="L105" s="54"/>
    </row>
    <row r="106" spans="4:12" ht="15" customHeight="1" x14ac:dyDescent="0.35">
      <c r="D106" s="59"/>
      <c r="E106" s="59"/>
      <c r="H106" s="51"/>
      <c r="I106" s="51"/>
      <c r="J106" s="52"/>
      <c r="K106" s="53"/>
      <c r="L106" s="54"/>
    </row>
    <row r="107" spans="4:12" ht="15" customHeight="1" x14ac:dyDescent="0.35">
      <c r="D107" s="59"/>
      <c r="E107" s="59"/>
      <c r="H107" s="51"/>
      <c r="I107" s="51"/>
      <c r="J107" s="52"/>
      <c r="K107" s="53"/>
      <c r="L107" s="54"/>
    </row>
    <row r="108" spans="4:12" ht="15" customHeight="1" x14ac:dyDescent="0.35">
      <c r="D108" s="59"/>
      <c r="E108" s="59"/>
      <c r="H108" s="51"/>
      <c r="I108" s="51"/>
      <c r="J108" s="52"/>
      <c r="K108" s="53"/>
      <c r="L108" s="54"/>
    </row>
    <row r="109" spans="4:12" ht="15" customHeight="1" x14ac:dyDescent="0.35">
      <c r="D109" s="59"/>
      <c r="E109" s="59"/>
      <c r="H109" s="51"/>
      <c r="I109" s="51"/>
      <c r="J109" s="52"/>
      <c r="K109" s="53"/>
      <c r="L109" s="54"/>
    </row>
    <row r="110" spans="4:12" ht="15" customHeight="1" x14ac:dyDescent="0.35">
      <c r="D110" s="59"/>
      <c r="E110" s="59"/>
      <c r="H110" s="51"/>
      <c r="I110" s="51"/>
      <c r="J110" s="52"/>
      <c r="K110" s="53"/>
      <c r="L110" s="54"/>
    </row>
    <row r="111" spans="4:12" ht="15" customHeight="1" x14ac:dyDescent="0.35">
      <c r="D111" s="59"/>
      <c r="E111" s="59"/>
      <c r="H111" s="51"/>
      <c r="I111" s="51"/>
      <c r="J111" s="52"/>
      <c r="K111" s="53"/>
      <c r="L111" s="54"/>
    </row>
    <row r="112" spans="4:12" ht="15" customHeight="1" x14ac:dyDescent="0.35">
      <c r="D112" s="59"/>
      <c r="E112" s="59"/>
      <c r="H112" s="51"/>
      <c r="I112" s="51"/>
      <c r="J112" s="52"/>
      <c r="K112" s="53"/>
      <c r="L112" s="54"/>
    </row>
    <row r="113" spans="4:12" ht="15" customHeight="1" x14ac:dyDescent="0.35">
      <c r="D113" s="59"/>
      <c r="E113" s="59"/>
      <c r="H113" s="51"/>
      <c r="I113" s="51"/>
      <c r="J113" s="52"/>
      <c r="K113" s="53"/>
      <c r="L113" s="54"/>
    </row>
    <row r="114" spans="4:12" ht="15" customHeight="1" x14ac:dyDescent="0.35">
      <c r="D114" s="59"/>
      <c r="E114" s="59"/>
      <c r="H114" s="51"/>
      <c r="I114" s="51"/>
      <c r="J114" s="52"/>
      <c r="K114" s="53"/>
      <c r="L114" s="54"/>
    </row>
    <row r="115" spans="4:12" ht="15" customHeight="1" x14ac:dyDescent="0.35">
      <c r="D115" s="59"/>
      <c r="E115" s="59"/>
      <c r="H115" s="51"/>
      <c r="I115" s="51"/>
      <c r="J115" s="52"/>
      <c r="K115" s="53"/>
      <c r="L115" s="54"/>
    </row>
    <row r="116" spans="4:12" ht="15" customHeight="1" x14ac:dyDescent="0.35">
      <c r="D116" s="59"/>
      <c r="E116" s="59"/>
      <c r="H116" s="51"/>
      <c r="I116" s="51"/>
      <c r="J116" s="52"/>
      <c r="K116" s="53"/>
      <c r="L116" s="54"/>
    </row>
    <row r="117" spans="4:12" ht="15" customHeight="1" x14ac:dyDescent="0.35">
      <c r="D117" s="59"/>
      <c r="E117" s="59"/>
      <c r="H117" s="51"/>
      <c r="I117" s="51"/>
      <c r="J117" s="52"/>
      <c r="K117" s="53"/>
      <c r="L117" s="54"/>
    </row>
    <row r="118" spans="4:12" ht="15" customHeight="1" x14ac:dyDescent="0.35">
      <c r="D118" s="59"/>
      <c r="E118" s="59"/>
      <c r="H118" s="51"/>
      <c r="I118" s="51"/>
      <c r="J118" s="52"/>
      <c r="K118" s="53"/>
      <c r="L118" s="54"/>
    </row>
    <row r="119" spans="4:12" ht="15" customHeight="1" x14ac:dyDescent="0.35">
      <c r="D119" s="59"/>
      <c r="E119" s="59"/>
      <c r="H119" s="51"/>
      <c r="I119" s="51"/>
      <c r="J119" s="52"/>
      <c r="K119" s="53"/>
      <c r="L119" s="54"/>
    </row>
    <row r="120" spans="4:12" ht="15" customHeight="1" x14ac:dyDescent="0.35">
      <c r="D120" s="59"/>
      <c r="E120" s="59"/>
      <c r="H120" s="51"/>
      <c r="I120" s="51"/>
      <c r="J120" s="52"/>
      <c r="K120" s="53"/>
      <c r="L120" s="54"/>
    </row>
    <row r="121" spans="4:12" ht="15" customHeight="1" x14ac:dyDescent="0.35">
      <c r="D121" s="59"/>
      <c r="E121" s="59"/>
      <c r="H121" s="51"/>
      <c r="I121" s="51"/>
      <c r="J121" s="52"/>
      <c r="K121" s="53"/>
      <c r="L121" s="54"/>
    </row>
    <row r="122" spans="4:12" ht="15" customHeight="1" x14ac:dyDescent="0.35">
      <c r="D122" s="59"/>
      <c r="E122" s="59"/>
      <c r="H122" s="51"/>
      <c r="I122" s="51"/>
      <c r="J122" s="52"/>
      <c r="K122" s="53"/>
      <c r="L122" s="54"/>
    </row>
    <row r="123" spans="4:12" ht="15" customHeight="1" x14ac:dyDescent="0.35">
      <c r="D123" s="59"/>
      <c r="E123" s="59"/>
      <c r="H123" s="51"/>
      <c r="I123" s="51"/>
      <c r="J123" s="52"/>
      <c r="K123" s="53"/>
      <c r="L123" s="54"/>
    </row>
    <row r="124" spans="4:12" ht="15" customHeight="1" x14ac:dyDescent="0.35">
      <c r="D124" s="59"/>
      <c r="E124" s="59"/>
      <c r="H124" s="51"/>
      <c r="I124" s="51"/>
      <c r="J124" s="52"/>
      <c r="K124" s="53"/>
      <c r="L124" s="54"/>
    </row>
    <row r="125" spans="4:12" ht="15" customHeight="1" x14ac:dyDescent="0.35">
      <c r="D125" s="59"/>
      <c r="E125" s="59"/>
      <c r="H125" s="51"/>
      <c r="I125" s="51"/>
      <c r="J125" s="52"/>
      <c r="K125" s="53"/>
      <c r="L125" s="54"/>
    </row>
    <row r="126" spans="4:12" ht="15" customHeight="1" x14ac:dyDescent="0.35">
      <c r="D126" s="59"/>
      <c r="E126" s="59"/>
      <c r="H126" s="51"/>
      <c r="I126" s="51"/>
      <c r="J126" s="52"/>
      <c r="K126" s="53"/>
      <c r="L126" s="54"/>
    </row>
    <row r="127" spans="4:12" ht="15" customHeight="1" x14ac:dyDescent="0.35">
      <c r="D127" s="59"/>
      <c r="E127" s="59"/>
      <c r="H127" s="51"/>
      <c r="I127" s="51"/>
      <c r="J127" s="52"/>
      <c r="K127" s="53"/>
      <c r="L127" s="54"/>
    </row>
    <row r="128" spans="4:12" ht="15" customHeight="1" x14ac:dyDescent="0.35">
      <c r="D128" s="59"/>
      <c r="E128" s="59"/>
      <c r="H128" s="51"/>
      <c r="I128" s="51"/>
      <c r="J128" s="52"/>
      <c r="K128" s="53"/>
      <c r="L128" s="54"/>
    </row>
    <row r="129" spans="4:12" ht="15" customHeight="1" x14ac:dyDescent="0.35">
      <c r="D129" s="59"/>
      <c r="E129" s="59"/>
      <c r="H129" s="51"/>
      <c r="I129" s="51"/>
      <c r="J129" s="52"/>
      <c r="K129" s="53"/>
      <c r="L129" s="54"/>
    </row>
    <row r="130" spans="4:12" ht="15" customHeight="1" x14ac:dyDescent="0.35">
      <c r="D130" s="59"/>
      <c r="E130" s="59"/>
      <c r="H130" s="51"/>
      <c r="I130" s="51"/>
      <c r="J130" s="52"/>
      <c r="K130" s="53"/>
      <c r="L130" s="54"/>
    </row>
    <row r="131" spans="4:12" ht="15" customHeight="1" x14ac:dyDescent="0.35">
      <c r="D131" s="59"/>
      <c r="E131" s="59"/>
      <c r="H131" s="51"/>
      <c r="I131" s="51"/>
      <c r="J131" s="52"/>
      <c r="K131" s="53"/>
      <c r="L131" s="54"/>
    </row>
    <row r="132" spans="4:12" ht="15" customHeight="1" x14ac:dyDescent="0.35">
      <c r="D132" s="59"/>
      <c r="E132" s="59"/>
      <c r="H132" s="51"/>
      <c r="I132" s="51"/>
      <c r="J132" s="52"/>
      <c r="K132" s="53"/>
      <c r="L132" s="54"/>
    </row>
    <row r="133" spans="4:12" ht="15" customHeight="1" x14ac:dyDescent="0.35">
      <c r="D133" s="59"/>
      <c r="E133" s="59"/>
      <c r="H133" s="51"/>
      <c r="I133" s="51"/>
      <c r="J133" s="52"/>
      <c r="K133" s="53"/>
      <c r="L133" s="54"/>
    </row>
    <row r="134" spans="4:12" ht="15" customHeight="1" x14ac:dyDescent="0.35">
      <c r="D134" s="59"/>
      <c r="E134" s="59"/>
      <c r="H134" s="51"/>
      <c r="I134" s="51"/>
      <c r="J134" s="52"/>
      <c r="K134" s="53"/>
      <c r="L134" s="54"/>
    </row>
    <row r="135" spans="4:12" ht="15" customHeight="1" x14ac:dyDescent="0.35">
      <c r="D135" s="59"/>
      <c r="E135" s="59"/>
      <c r="H135" s="51"/>
      <c r="I135" s="51"/>
      <c r="J135" s="52"/>
      <c r="K135" s="53"/>
      <c r="L135" s="54"/>
    </row>
    <row r="136" spans="4:12" ht="15" customHeight="1" x14ac:dyDescent="0.35">
      <c r="D136" s="59"/>
      <c r="E136" s="59"/>
      <c r="H136" s="51"/>
      <c r="I136" s="51"/>
      <c r="J136" s="52"/>
      <c r="K136" s="53"/>
      <c r="L136" s="54"/>
    </row>
    <row r="137" spans="4:12" ht="15" customHeight="1" x14ac:dyDescent="0.35">
      <c r="D137" s="59"/>
      <c r="E137" s="59"/>
      <c r="H137" s="51"/>
      <c r="I137" s="51"/>
      <c r="J137" s="52"/>
      <c r="K137" s="53"/>
      <c r="L137" s="54"/>
    </row>
    <row r="138" spans="4:12" ht="15" customHeight="1" x14ac:dyDescent="0.35">
      <c r="D138" s="59"/>
      <c r="E138" s="59"/>
      <c r="H138" s="51"/>
      <c r="I138" s="51"/>
      <c r="J138" s="52"/>
      <c r="K138" s="53"/>
      <c r="L138" s="54"/>
    </row>
    <row r="139" spans="4:12" ht="15" customHeight="1" x14ac:dyDescent="0.35">
      <c r="D139" s="59"/>
      <c r="E139" s="59"/>
      <c r="H139" s="51"/>
      <c r="I139" s="51"/>
      <c r="J139" s="52"/>
      <c r="K139" s="53"/>
      <c r="L139" s="54"/>
    </row>
    <row r="140" spans="4:12" ht="15" customHeight="1" x14ac:dyDescent="0.35">
      <c r="D140" s="59"/>
      <c r="E140" s="59"/>
      <c r="H140" s="51"/>
      <c r="I140" s="51"/>
      <c r="J140" s="52"/>
      <c r="K140" s="53"/>
      <c r="L140" s="54"/>
    </row>
    <row r="141" spans="4:12" ht="15" customHeight="1" x14ac:dyDescent="0.35">
      <c r="D141" s="59"/>
      <c r="E141" s="59"/>
      <c r="H141" s="51"/>
      <c r="I141" s="51"/>
      <c r="J141" s="52"/>
      <c r="K141" s="53"/>
      <c r="L141" s="54"/>
    </row>
    <row r="142" spans="4:12" ht="15" customHeight="1" x14ac:dyDescent="0.35">
      <c r="D142" s="59"/>
      <c r="E142" s="59"/>
      <c r="H142" s="51"/>
      <c r="I142" s="51"/>
      <c r="J142" s="52"/>
      <c r="K142" s="53"/>
      <c r="L142" s="54"/>
    </row>
    <row r="143" spans="4:12" ht="15" customHeight="1" x14ac:dyDescent="0.35">
      <c r="D143" s="59"/>
      <c r="E143" s="59"/>
      <c r="H143" s="51"/>
      <c r="I143" s="51"/>
      <c r="J143" s="52"/>
      <c r="K143" s="53"/>
      <c r="L143" s="54"/>
    </row>
    <row r="144" spans="4:12" ht="15" customHeight="1" x14ac:dyDescent="0.35">
      <c r="D144" s="59"/>
      <c r="E144" s="59"/>
      <c r="H144" s="51"/>
      <c r="I144" s="51"/>
      <c r="J144" s="52"/>
      <c r="K144" s="53"/>
      <c r="L144" s="54"/>
    </row>
    <row r="145" spans="4:12" ht="15" customHeight="1" x14ac:dyDescent="0.35">
      <c r="D145" s="59"/>
      <c r="E145" s="59"/>
      <c r="H145" s="51"/>
      <c r="I145" s="51"/>
      <c r="J145" s="52"/>
      <c r="K145" s="53"/>
      <c r="L145" s="54"/>
    </row>
    <row r="146" spans="4:12" ht="15" customHeight="1" x14ac:dyDescent="0.35">
      <c r="D146" s="59"/>
      <c r="E146" s="59"/>
      <c r="H146" s="51"/>
      <c r="I146" s="51"/>
      <c r="J146" s="52"/>
      <c r="K146" s="53"/>
      <c r="L146" s="54"/>
    </row>
    <row r="147" spans="4:12" ht="15" customHeight="1" x14ac:dyDescent="0.35">
      <c r="D147" s="59"/>
      <c r="E147" s="59"/>
      <c r="H147" s="51"/>
      <c r="I147" s="51"/>
      <c r="J147" s="52"/>
      <c r="K147" s="53"/>
      <c r="L147" s="54"/>
    </row>
    <row r="148" spans="4:12" ht="15" customHeight="1" x14ac:dyDescent="0.35">
      <c r="D148" s="59"/>
      <c r="E148" s="59"/>
      <c r="H148" s="51"/>
      <c r="I148" s="51"/>
      <c r="J148" s="52"/>
      <c r="K148" s="53"/>
      <c r="L148" s="54"/>
    </row>
    <row r="149" spans="4:12" ht="15" customHeight="1" x14ac:dyDescent="0.35">
      <c r="D149" s="59"/>
      <c r="E149" s="59"/>
      <c r="H149" s="51"/>
      <c r="I149" s="51"/>
      <c r="J149" s="52"/>
      <c r="K149" s="53"/>
      <c r="L149" s="54"/>
    </row>
    <row r="150" spans="4:12" ht="15" customHeight="1" x14ac:dyDescent="0.35">
      <c r="D150" s="59"/>
      <c r="E150" s="59"/>
      <c r="H150" s="51"/>
      <c r="I150" s="51"/>
      <c r="J150" s="52"/>
      <c r="K150" s="53"/>
      <c r="L150" s="54"/>
    </row>
    <row r="151" spans="4:12" ht="15" customHeight="1" x14ac:dyDescent="0.35">
      <c r="D151" s="59"/>
      <c r="E151" s="59"/>
      <c r="H151" s="51"/>
      <c r="I151" s="51"/>
      <c r="J151" s="52"/>
      <c r="K151" s="53"/>
      <c r="L151" s="54"/>
    </row>
    <row r="152" spans="4:12" ht="15" customHeight="1" x14ac:dyDescent="0.35">
      <c r="D152" s="59"/>
      <c r="E152" s="59"/>
      <c r="H152" s="51"/>
      <c r="I152" s="51"/>
      <c r="J152" s="52"/>
      <c r="K152" s="53"/>
      <c r="L152" s="54"/>
    </row>
    <row r="153" spans="4:12" ht="15" customHeight="1" x14ac:dyDescent="0.35">
      <c r="D153" s="59"/>
      <c r="E153" s="59"/>
      <c r="H153" s="51"/>
      <c r="I153" s="51"/>
      <c r="J153" s="52"/>
      <c r="K153" s="53"/>
      <c r="L153" s="54"/>
    </row>
    <row r="154" spans="4:12" ht="15" customHeight="1" x14ac:dyDescent="0.35">
      <c r="D154" s="59"/>
      <c r="E154" s="59"/>
      <c r="H154" s="51"/>
      <c r="I154" s="51"/>
      <c r="J154" s="52"/>
      <c r="K154" s="53"/>
      <c r="L154" s="54"/>
    </row>
    <row r="155" spans="4:12" ht="15" customHeight="1" x14ac:dyDescent="0.35">
      <c r="D155" s="59"/>
      <c r="E155" s="59"/>
      <c r="H155" s="51"/>
      <c r="I155" s="51"/>
      <c r="J155" s="52"/>
      <c r="K155" s="53"/>
      <c r="L155" s="54"/>
    </row>
    <row r="156" spans="4:12" ht="15" customHeight="1" x14ac:dyDescent="0.35">
      <c r="D156" s="59"/>
      <c r="E156" s="59"/>
      <c r="H156" s="51"/>
      <c r="I156" s="51"/>
      <c r="J156" s="52"/>
      <c r="K156" s="53"/>
      <c r="L156" s="54"/>
    </row>
    <row r="157" spans="4:12" ht="15" customHeight="1" x14ac:dyDescent="0.35">
      <c r="D157" s="59"/>
      <c r="E157" s="59"/>
      <c r="H157" s="51"/>
      <c r="I157" s="51"/>
      <c r="J157" s="52"/>
      <c r="K157" s="53"/>
      <c r="L157" s="54"/>
    </row>
    <row r="158" spans="4:12" ht="15" customHeight="1" x14ac:dyDescent="0.35">
      <c r="D158" s="59"/>
      <c r="E158" s="59"/>
      <c r="H158" s="51"/>
      <c r="I158" s="51"/>
      <c r="J158" s="52"/>
      <c r="K158" s="53"/>
      <c r="L158" s="54"/>
    </row>
    <row r="159" spans="4:12" ht="15" customHeight="1" x14ac:dyDescent="0.35">
      <c r="D159" s="59"/>
      <c r="E159" s="59"/>
      <c r="H159" s="51"/>
      <c r="I159" s="51"/>
      <c r="J159" s="52"/>
      <c r="K159" s="53"/>
      <c r="L159" s="54"/>
    </row>
    <row r="160" spans="4:12" ht="15" customHeight="1" x14ac:dyDescent="0.35">
      <c r="D160" s="59"/>
      <c r="E160" s="59"/>
      <c r="H160" s="51"/>
      <c r="I160" s="51"/>
      <c r="J160" s="52"/>
      <c r="K160" s="53"/>
      <c r="L160" s="54"/>
    </row>
    <row r="161" spans="4:12" ht="15" customHeight="1" x14ac:dyDescent="0.35">
      <c r="D161" s="59"/>
      <c r="E161" s="59"/>
      <c r="H161" s="51"/>
      <c r="I161" s="51"/>
      <c r="J161" s="52"/>
      <c r="K161" s="53"/>
      <c r="L161" s="54"/>
    </row>
    <row r="162" spans="4:12" ht="15" customHeight="1" x14ac:dyDescent="0.35">
      <c r="D162" s="59"/>
      <c r="E162" s="59"/>
      <c r="H162" s="51"/>
      <c r="I162" s="51"/>
      <c r="J162" s="52"/>
      <c r="K162" s="53"/>
      <c r="L162" s="54"/>
    </row>
    <row r="163" spans="4:12" ht="15" customHeight="1" x14ac:dyDescent="0.35">
      <c r="D163" s="59"/>
      <c r="E163" s="59"/>
      <c r="H163" s="51"/>
      <c r="I163" s="51"/>
      <c r="J163" s="52"/>
      <c r="K163" s="53"/>
      <c r="L163" s="54"/>
    </row>
    <row r="164" spans="4:12" ht="15" customHeight="1" x14ac:dyDescent="0.35">
      <c r="D164" s="59"/>
      <c r="E164" s="59"/>
      <c r="H164" s="51"/>
      <c r="I164" s="51"/>
      <c r="J164" s="52"/>
      <c r="K164" s="53"/>
      <c r="L164" s="54"/>
    </row>
    <row r="165" spans="4:12" ht="15" customHeight="1" x14ac:dyDescent="0.35">
      <c r="D165" s="59"/>
      <c r="E165" s="59"/>
      <c r="H165" s="51"/>
      <c r="I165" s="51"/>
      <c r="J165" s="52"/>
      <c r="K165" s="53"/>
      <c r="L165" s="54"/>
    </row>
    <row r="166" spans="4:12" ht="15" customHeight="1" x14ac:dyDescent="0.35">
      <c r="D166" s="59"/>
      <c r="E166" s="59"/>
      <c r="H166" s="51"/>
      <c r="I166" s="51"/>
      <c r="J166" s="52"/>
      <c r="K166" s="53"/>
      <c r="L166" s="54"/>
    </row>
    <row r="167" spans="4:12" ht="15" customHeight="1" x14ac:dyDescent="0.35">
      <c r="D167" s="59"/>
      <c r="E167" s="59"/>
      <c r="H167" s="51"/>
      <c r="I167" s="51"/>
      <c r="J167" s="52"/>
      <c r="K167" s="53"/>
      <c r="L167" s="54"/>
    </row>
    <row r="168" spans="4:12" ht="15" customHeight="1" x14ac:dyDescent="0.35">
      <c r="D168" s="59"/>
      <c r="E168" s="59"/>
      <c r="H168" s="51"/>
      <c r="I168" s="51"/>
      <c r="J168" s="52"/>
      <c r="K168" s="53"/>
      <c r="L168" s="54"/>
    </row>
    <row r="169" spans="4:12" ht="15" customHeight="1" x14ac:dyDescent="0.35">
      <c r="D169" s="59"/>
      <c r="E169" s="59"/>
      <c r="H169" s="51"/>
      <c r="I169" s="51"/>
      <c r="J169" s="52"/>
      <c r="K169" s="53"/>
      <c r="L169" s="54"/>
    </row>
    <row r="170" spans="4:12" ht="15" customHeight="1" x14ac:dyDescent="0.35">
      <c r="D170" s="59"/>
      <c r="E170" s="59"/>
      <c r="H170" s="51"/>
      <c r="I170" s="51"/>
      <c r="J170" s="52"/>
      <c r="K170" s="53"/>
      <c r="L170" s="54"/>
    </row>
    <row r="171" spans="4:12" ht="15" customHeight="1" x14ac:dyDescent="0.35">
      <c r="D171" s="59"/>
      <c r="E171" s="59"/>
      <c r="H171" s="51"/>
      <c r="I171" s="51"/>
      <c r="J171" s="52"/>
      <c r="K171" s="53"/>
      <c r="L171" s="54"/>
    </row>
    <row r="172" spans="4:12" ht="15" customHeight="1" x14ac:dyDescent="0.35">
      <c r="D172" s="59"/>
      <c r="E172" s="59"/>
      <c r="H172" s="51"/>
      <c r="I172" s="51"/>
      <c r="J172" s="52"/>
      <c r="K172" s="53"/>
      <c r="L172" s="54"/>
    </row>
    <row r="173" spans="4:12" ht="15" customHeight="1" x14ac:dyDescent="0.35">
      <c r="D173" s="59"/>
      <c r="E173" s="59"/>
      <c r="H173" s="51"/>
      <c r="I173" s="51"/>
      <c r="J173" s="52"/>
      <c r="K173" s="53"/>
      <c r="L173" s="54"/>
    </row>
    <row r="174" spans="4:12" ht="15" customHeight="1" x14ac:dyDescent="0.35">
      <c r="D174" s="59"/>
      <c r="E174" s="59"/>
      <c r="H174" s="51"/>
      <c r="I174" s="51"/>
      <c r="J174" s="52"/>
      <c r="K174" s="53"/>
      <c r="L174" s="54"/>
    </row>
    <row r="175" spans="4:12" ht="15" customHeight="1" x14ac:dyDescent="0.35">
      <c r="D175" s="59"/>
      <c r="E175" s="59"/>
      <c r="H175" s="51"/>
      <c r="I175" s="51"/>
      <c r="J175" s="52"/>
      <c r="K175" s="53"/>
      <c r="L175" s="54"/>
    </row>
    <row r="176" spans="4:12" ht="15" customHeight="1" x14ac:dyDescent="0.35">
      <c r="D176" s="59"/>
      <c r="E176" s="59"/>
      <c r="H176" s="51"/>
      <c r="I176" s="51"/>
      <c r="J176" s="52"/>
      <c r="K176" s="53"/>
      <c r="L176" s="54"/>
    </row>
    <row r="177" spans="4:12" ht="15" customHeight="1" x14ac:dyDescent="0.35">
      <c r="D177" s="59"/>
      <c r="E177" s="59"/>
      <c r="H177" s="51"/>
      <c r="I177" s="51"/>
      <c r="J177" s="52"/>
      <c r="K177" s="53"/>
      <c r="L177" s="54"/>
    </row>
    <row r="178" spans="4:12" ht="15" customHeight="1" x14ac:dyDescent="0.35">
      <c r="D178" s="59"/>
      <c r="E178" s="59"/>
      <c r="H178" s="51"/>
      <c r="I178" s="51"/>
      <c r="J178" s="52"/>
      <c r="K178" s="53"/>
      <c r="L178" s="54"/>
    </row>
    <row r="179" spans="4:12" ht="15" customHeight="1" x14ac:dyDescent="0.35">
      <c r="D179" s="59"/>
      <c r="E179" s="59"/>
      <c r="H179" s="51"/>
      <c r="I179" s="51"/>
      <c r="J179" s="52"/>
      <c r="K179" s="53"/>
      <c r="L179" s="54"/>
    </row>
    <row r="180" spans="4:12" ht="15" customHeight="1" x14ac:dyDescent="0.35">
      <c r="D180" s="59"/>
      <c r="E180" s="59"/>
      <c r="H180" s="51"/>
      <c r="I180" s="51"/>
      <c r="J180" s="52"/>
      <c r="K180" s="53"/>
      <c r="L180" s="54"/>
    </row>
    <row r="181" spans="4:12" ht="15" customHeight="1" x14ac:dyDescent="0.35">
      <c r="D181" s="59"/>
      <c r="E181" s="59"/>
      <c r="H181" s="51"/>
      <c r="I181" s="51"/>
      <c r="J181" s="52"/>
      <c r="K181" s="53"/>
      <c r="L181" s="54"/>
    </row>
    <row r="182" spans="4:12" ht="15" customHeight="1" x14ac:dyDescent="0.35">
      <c r="D182" s="59"/>
      <c r="E182" s="59"/>
      <c r="H182" s="51"/>
      <c r="I182" s="51"/>
      <c r="J182" s="52"/>
      <c r="K182" s="53"/>
      <c r="L182" s="54"/>
    </row>
    <row r="183" spans="4:12" ht="15" customHeight="1" x14ac:dyDescent="0.35">
      <c r="D183" s="59"/>
      <c r="E183" s="59"/>
      <c r="H183" s="51"/>
      <c r="I183" s="51"/>
      <c r="J183" s="52"/>
      <c r="K183" s="53"/>
      <c r="L183" s="54"/>
    </row>
    <row r="184" spans="4:12" ht="15" customHeight="1" x14ac:dyDescent="0.35">
      <c r="D184" s="59"/>
      <c r="E184" s="59"/>
      <c r="H184" s="51"/>
      <c r="I184" s="51"/>
      <c r="J184" s="52"/>
      <c r="K184" s="53"/>
      <c r="L184" s="54"/>
    </row>
    <row r="185" spans="4:12" ht="15" customHeight="1" x14ac:dyDescent="0.35">
      <c r="D185" s="59"/>
      <c r="E185" s="59"/>
      <c r="H185" s="51"/>
      <c r="I185" s="51"/>
      <c r="J185" s="52"/>
      <c r="K185" s="53"/>
      <c r="L185" s="54"/>
    </row>
    <row r="186" spans="4:12" ht="15" customHeight="1" x14ac:dyDescent="0.35">
      <c r="D186" s="59"/>
      <c r="E186" s="59"/>
      <c r="H186" s="51"/>
      <c r="I186" s="51"/>
      <c r="J186" s="52"/>
      <c r="K186" s="53"/>
      <c r="L186" s="54"/>
    </row>
    <row r="187" spans="4:12" ht="15" customHeight="1" x14ac:dyDescent="0.35">
      <c r="D187" s="59"/>
      <c r="E187" s="59"/>
      <c r="H187" s="51"/>
      <c r="I187" s="51"/>
      <c r="J187" s="52"/>
      <c r="K187" s="53"/>
      <c r="L187" s="54"/>
    </row>
    <row r="188" spans="4:12" ht="15" customHeight="1" x14ac:dyDescent="0.35">
      <c r="D188" s="59"/>
      <c r="E188" s="59"/>
      <c r="H188" s="51"/>
      <c r="I188" s="51"/>
      <c r="J188" s="52"/>
      <c r="K188" s="53"/>
      <c r="L188" s="54"/>
    </row>
    <row r="189" spans="4:12" ht="15" customHeight="1" x14ac:dyDescent="0.35">
      <c r="D189" s="59"/>
      <c r="E189" s="59"/>
      <c r="H189" s="51"/>
      <c r="I189" s="51"/>
      <c r="J189" s="52"/>
      <c r="K189" s="53"/>
      <c r="L189" s="54"/>
    </row>
    <row r="190" spans="4:12" ht="15" customHeight="1" x14ac:dyDescent="0.35">
      <c r="D190" s="59"/>
      <c r="E190" s="59"/>
      <c r="H190" s="51"/>
      <c r="I190" s="51"/>
      <c r="J190" s="52"/>
      <c r="K190" s="53"/>
      <c r="L190" s="54"/>
    </row>
    <row r="191" spans="4:12" ht="15" customHeight="1" x14ac:dyDescent="0.35">
      <c r="D191" s="59"/>
      <c r="E191" s="59"/>
      <c r="H191" s="51"/>
      <c r="I191" s="51"/>
      <c r="J191" s="52"/>
      <c r="K191" s="53"/>
      <c r="L191" s="54"/>
    </row>
    <row r="192" spans="4:12" ht="15" customHeight="1" x14ac:dyDescent="0.35">
      <c r="D192" s="59"/>
      <c r="E192" s="59"/>
      <c r="H192" s="51"/>
      <c r="I192" s="51"/>
      <c r="J192" s="52"/>
      <c r="K192" s="53"/>
      <c r="L192" s="54"/>
    </row>
    <row r="193" spans="4:12" ht="15" customHeight="1" x14ac:dyDescent="0.35">
      <c r="D193" s="59"/>
      <c r="E193" s="59"/>
      <c r="H193" s="51"/>
      <c r="I193" s="51"/>
      <c r="J193" s="52"/>
      <c r="K193" s="52"/>
      <c r="L193" s="54"/>
    </row>
    <row r="194" spans="4:12" ht="15" customHeight="1" x14ac:dyDescent="0.35">
      <c r="D194" s="59"/>
      <c r="E194" s="59"/>
      <c r="H194" s="51"/>
      <c r="I194" s="51"/>
      <c r="J194" s="52"/>
      <c r="K194" s="52"/>
      <c r="L194" s="54"/>
    </row>
    <row r="195" spans="4:12" ht="15" customHeight="1" x14ac:dyDescent="0.35">
      <c r="D195" s="59"/>
      <c r="E195" s="59"/>
      <c r="H195" s="51"/>
      <c r="I195" s="51"/>
      <c r="J195" s="52"/>
      <c r="K195" s="52"/>
      <c r="L195" s="54"/>
    </row>
    <row r="196" spans="4:12" ht="15" customHeight="1" x14ac:dyDescent="0.35">
      <c r="D196" s="59"/>
      <c r="E196" s="59"/>
      <c r="H196" s="51"/>
      <c r="I196" s="51"/>
      <c r="J196" s="52"/>
      <c r="K196" s="52"/>
      <c r="L196" s="54"/>
    </row>
    <row r="197" spans="4:12" ht="15" customHeight="1" x14ac:dyDescent="0.35">
      <c r="D197" s="59"/>
      <c r="E197" s="59"/>
      <c r="H197" s="51"/>
      <c r="I197" s="51"/>
      <c r="J197" s="52"/>
      <c r="K197" s="52"/>
      <c r="L197" s="54"/>
    </row>
    <row r="198" spans="4:12" ht="15" customHeight="1" x14ac:dyDescent="0.35">
      <c r="D198" s="59"/>
      <c r="E198" s="59"/>
      <c r="H198" s="51"/>
      <c r="I198" s="51"/>
      <c r="J198" s="52"/>
      <c r="K198" s="52"/>
      <c r="L198" s="54"/>
    </row>
    <row r="199" spans="4:12" ht="15" customHeight="1" x14ac:dyDescent="0.35">
      <c r="D199" s="59"/>
      <c r="E199" s="59"/>
      <c r="H199" s="51"/>
      <c r="I199" s="51"/>
      <c r="J199" s="52"/>
      <c r="K199" s="52"/>
      <c r="L199" s="54"/>
    </row>
    <row r="200" spans="4:12" ht="15" customHeight="1" x14ac:dyDescent="0.35">
      <c r="D200" s="59"/>
      <c r="E200" s="59"/>
      <c r="H200" s="51"/>
      <c r="I200" s="51"/>
      <c r="J200" s="52"/>
      <c r="K200" s="52"/>
      <c r="L200" s="54"/>
    </row>
    <row r="201" spans="4:12" ht="15" customHeight="1" x14ac:dyDescent="0.35">
      <c r="D201" s="59"/>
      <c r="E201" s="59"/>
      <c r="H201" s="51"/>
      <c r="I201" s="51"/>
      <c r="J201" s="52"/>
      <c r="K201" s="52"/>
      <c r="L201" s="54"/>
    </row>
    <row r="202" spans="4:12" ht="15" customHeight="1" x14ac:dyDescent="0.35">
      <c r="D202" s="59"/>
      <c r="E202" s="59"/>
      <c r="H202" s="51"/>
      <c r="I202" s="51"/>
      <c r="J202" s="52"/>
      <c r="K202" s="52"/>
      <c r="L202" s="54"/>
    </row>
    <row r="203" spans="4:12" ht="15" customHeight="1" x14ac:dyDescent="0.35">
      <c r="D203" s="59"/>
      <c r="E203" s="59"/>
      <c r="H203" s="51"/>
      <c r="I203" s="51"/>
      <c r="J203" s="52"/>
      <c r="K203" s="52"/>
      <c r="L203" s="54"/>
    </row>
    <row r="204" spans="4:12" ht="15" customHeight="1" x14ac:dyDescent="0.35">
      <c r="D204" s="59"/>
      <c r="E204" s="59"/>
      <c r="H204" s="51"/>
      <c r="I204" s="51"/>
      <c r="J204" s="52"/>
      <c r="K204" s="52"/>
      <c r="L204" s="54"/>
    </row>
    <row r="205" spans="4:12" ht="15" customHeight="1" x14ac:dyDescent="0.35">
      <c r="D205" s="59"/>
      <c r="E205" s="59"/>
      <c r="H205" s="51"/>
      <c r="I205" s="51"/>
      <c r="J205" s="52"/>
      <c r="K205" s="52"/>
      <c r="L205" s="54"/>
    </row>
  </sheetData>
  <autoFilter ref="A1:L25" xr:uid="{00000000-0001-0000-0000-000000000000}"/>
  <mergeCells count="1">
    <mergeCell ref="G25:J25"/>
  </mergeCells>
  <pageMargins left="0.25" right="0.25" top="0.5" bottom="0.25" header="0.3" footer="0.3"/>
  <pageSetup paperSize="9" scale="6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5"/>
  <sheetViews>
    <sheetView tabSelected="1" zoomScale="131" zoomScaleNormal="85" workbookViewId="0">
      <pane ySplit="2" topLeftCell="A98" activePane="bottomLeft" state="frozen"/>
      <selection pane="bottomLeft" activeCell="B114" sqref="B114"/>
    </sheetView>
  </sheetViews>
  <sheetFormatPr defaultColWidth="14" defaultRowHeight="15" customHeight="1" x14ac:dyDescent="0.35"/>
  <cols>
    <col min="1" max="1" width="5.7265625" style="1" customWidth="1"/>
    <col min="2" max="2" width="120.26953125" style="3" customWidth="1"/>
    <col min="3" max="3" width="7.26953125" style="4" customWidth="1"/>
    <col min="4" max="4" width="15.81640625" style="4" bestFit="1" customWidth="1"/>
    <col min="5" max="16384" width="14" style="1"/>
  </cols>
  <sheetData>
    <row r="1" spans="1:6" ht="15" customHeight="1" x14ac:dyDescent="0.35">
      <c r="A1" s="96" t="s">
        <v>62</v>
      </c>
      <c r="B1" s="96"/>
      <c r="C1" s="96"/>
      <c r="D1" s="96"/>
      <c r="E1" s="96"/>
      <c r="F1" s="96"/>
    </row>
    <row r="2" spans="1:6" ht="31" x14ac:dyDescent="0.35">
      <c r="A2" s="11" t="s">
        <v>63</v>
      </c>
      <c r="B2" s="12" t="s">
        <v>64</v>
      </c>
      <c r="C2" s="6" t="s">
        <v>65</v>
      </c>
      <c r="D2" s="6" t="s">
        <v>66</v>
      </c>
      <c r="E2" s="13" t="s">
        <v>67</v>
      </c>
      <c r="F2" s="14" t="s">
        <v>68</v>
      </c>
    </row>
    <row r="3" spans="1:6" s="2" customFormat="1" ht="15.5" x14ac:dyDescent="0.35">
      <c r="A3" s="18">
        <v>1</v>
      </c>
      <c r="B3" s="19" t="s">
        <v>69</v>
      </c>
      <c r="C3" s="20" t="s">
        <v>18</v>
      </c>
      <c r="D3" s="21">
        <v>80</v>
      </c>
      <c r="E3" s="8"/>
      <c r="F3" s="9">
        <f>D3*E3</f>
        <v>0</v>
      </c>
    </row>
    <row r="4" spans="1:6" ht="34" customHeight="1" x14ac:dyDescent="0.35">
      <c r="A4" s="18">
        <v>2</v>
      </c>
      <c r="B4" s="22" t="s">
        <v>70</v>
      </c>
      <c r="C4" s="20" t="s">
        <v>18</v>
      </c>
      <c r="D4" s="21">
        <v>190</v>
      </c>
      <c r="E4" s="7"/>
      <c r="F4" s="9">
        <f t="shared" ref="F4:F81" si="0">D4*E4</f>
        <v>0</v>
      </c>
    </row>
    <row r="5" spans="1:6" ht="29" x14ac:dyDescent="0.35">
      <c r="A5" s="18">
        <v>3</v>
      </c>
      <c r="B5" s="22" t="s">
        <v>71</v>
      </c>
      <c r="C5" s="20" t="s">
        <v>18</v>
      </c>
      <c r="D5" s="21">
        <v>240</v>
      </c>
      <c r="E5" s="7"/>
      <c r="F5" s="9">
        <f t="shared" si="0"/>
        <v>0</v>
      </c>
    </row>
    <row r="6" spans="1:6" ht="29" x14ac:dyDescent="0.35">
      <c r="A6" s="18">
        <v>4</v>
      </c>
      <c r="B6" s="22" t="s">
        <v>72</v>
      </c>
      <c r="C6" s="20" t="s">
        <v>18</v>
      </c>
      <c r="D6" s="21">
        <v>250</v>
      </c>
      <c r="E6" s="7"/>
      <c r="F6" s="9">
        <f>D6*E6</f>
        <v>0</v>
      </c>
    </row>
    <row r="7" spans="1:6" ht="43.5" x14ac:dyDescent="0.35">
      <c r="A7" s="18">
        <v>5</v>
      </c>
      <c r="B7" s="22" t="s">
        <v>73</v>
      </c>
      <c r="C7" s="20" t="s">
        <v>18</v>
      </c>
      <c r="D7" s="21">
        <v>270</v>
      </c>
      <c r="E7" s="7"/>
      <c r="F7" s="9">
        <f t="shared" si="0"/>
        <v>0</v>
      </c>
    </row>
    <row r="8" spans="1:6" ht="29" x14ac:dyDescent="0.35">
      <c r="A8" s="18">
        <v>6</v>
      </c>
      <c r="B8" s="22" t="s">
        <v>74</v>
      </c>
      <c r="C8" s="20" t="s">
        <v>18</v>
      </c>
      <c r="D8" s="21">
        <v>490</v>
      </c>
      <c r="E8" s="7"/>
      <c r="F8" s="9">
        <f t="shared" si="0"/>
        <v>0</v>
      </c>
    </row>
    <row r="9" spans="1:6" ht="43.5" x14ac:dyDescent="0.35">
      <c r="A9" s="18">
        <v>7</v>
      </c>
      <c r="B9" s="22" t="s">
        <v>75</v>
      </c>
      <c r="C9" s="20" t="s">
        <v>18</v>
      </c>
      <c r="D9" s="21">
        <v>550</v>
      </c>
      <c r="E9" s="7"/>
      <c r="F9" s="9">
        <f t="shared" si="0"/>
        <v>0</v>
      </c>
    </row>
    <row r="10" spans="1:6" ht="27" customHeight="1" x14ac:dyDescent="0.35">
      <c r="A10" s="18">
        <v>8</v>
      </c>
      <c r="B10" s="22" t="s">
        <v>76</v>
      </c>
      <c r="C10" s="23" t="s">
        <v>77</v>
      </c>
      <c r="D10" s="21">
        <v>40</v>
      </c>
      <c r="E10" s="7"/>
      <c r="F10" s="9">
        <f t="shared" si="0"/>
        <v>0</v>
      </c>
    </row>
    <row r="11" spans="1:6" ht="29" x14ac:dyDescent="0.35">
      <c r="A11" s="18">
        <v>9</v>
      </c>
      <c r="B11" s="22" t="s">
        <v>78</v>
      </c>
      <c r="C11" s="23" t="s">
        <v>77</v>
      </c>
      <c r="D11" s="21">
        <v>35</v>
      </c>
      <c r="E11" s="7"/>
      <c r="F11" s="9">
        <f t="shared" si="0"/>
        <v>0</v>
      </c>
    </row>
    <row r="12" spans="1:6" ht="29" x14ac:dyDescent="0.35">
      <c r="A12" s="18">
        <v>10</v>
      </c>
      <c r="B12" s="22" t="s">
        <v>17</v>
      </c>
      <c r="C12" s="23" t="s">
        <v>18</v>
      </c>
      <c r="D12" s="21">
        <v>75</v>
      </c>
      <c r="E12" s="7"/>
      <c r="F12" s="9">
        <f t="shared" si="0"/>
        <v>0</v>
      </c>
    </row>
    <row r="13" spans="1:6" s="5" customFormat="1" ht="29" x14ac:dyDescent="0.35">
      <c r="A13" s="18">
        <v>11</v>
      </c>
      <c r="B13" s="22" t="s">
        <v>79</v>
      </c>
      <c r="C13" s="23" t="s">
        <v>18</v>
      </c>
      <c r="D13" s="21">
        <v>220</v>
      </c>
      <c r="E13" s="10"/>
      <c r="F13" s="9">
        <f t="shared" si="0"/>
        <v>0</v>
      </c>
    </row>
    <row r="14" spans="1:6" ht="29" x14ac:dyDescent="0.35">
      <c r="A14" s="18">
        <v>12</v>
      </c>
      <c r="B14" s="22" t="s">
        <v>80</v>
      </c>
      <c r="C14" s="23" t="s">
        <v>81</v>
      </c>
      <c r="D14" s="21">
        <v>55</v>
      </c>
      <c r="E14" s="77"/>
      <c r="F14" s="9">
        <f t="shared" si="0"/>
        <v>0</v>
      </c>
    </row>
    <row r="15" spans="1:6" ht="29" x14ac:dyDescent="0.35">
      <c r="A15" s="18">
        <v>13</v>
      </c>
      <c r="B15" s="22" t="s">
        <v>82</v>
      </c>
      <c r="C15" s="23" t="s">
        <v>81</v>
      </c>
      <c r="D15" s="21">
        <v>35</v>
      </c>
      <c r="E15" s="7"/>
      <c r="F15" s="9">
        <f t="shared" si="0"/>
        <v>0</v>
      </c>
    </row>
    <row r="16" spans="1:6" ht="29" x14ac:dyDescent="0.35">
      <c r="A16" s="18">
        <v>14</v>
      </c>
      <c r="B16" s="22" t="s">
        <v>54</v>
      </c>
      <c r="C16" s="23" t="s">
        <v>55</v>
      </c>
      <c r="D16" s="21">
        <v>8.5</v>
      </c>
      <c r="E16" s="7"/>
      <c r="F16" s="9">
        <f t="shared" si="0"/>
        <v>0</v>
      </c>
    </row>
    <row r="17" spans="1:6" ht="29" x14ac:dyDescent="0.35">
      <c r="A17" s="18">
        <v>15</v>
      </c>
      <c r="B17" s="22" t="s">
        <v>83</v>
      </c>
      <c r="C17" s="23" t="s">
        <v>55</v>
      </c>
      <c r="D17" s="21">
        <v>90</v>
      </c>
      <c r="E17" s="7"/>
      <c r="F17" s="9">
        <f t="shared" si="0"/>
        <v>0</v>
      </c>
    </row>
    <row r="18" spans="1:6" ht="15.5" x14ac:dyDescent="0.35">
      <c r="A18" s="18">
        <v>16</v>
      </c>
      <c r="B18" s="24" t="s">
        <v>84</v>
      </c>
      <c r="C18" s="23" t="s">
        <v>55</v>
      </c>
      <c r="D18" s="21">
        <v>14</v>
      </c>
      <c r="E18" s="7"/>
      <c r="F18" s="9">
        <f t="shared" si="0"/>
        <v>0</v>
      </c>
    </row>
    <row r="19" spans="1:6" ht="15.5" x14ac:dyDescent="0.35">
      <c r="A19" s="18">
        <v>17</v>
      </c>
      <c r="B19" s="22" t="s">
        <v>85</v>
      </c>
      <c r="C19" s="23" t="s">
        <v>77</v>
      </c>
      <c r="D19" s="21">
        <v>25</v>
      </c>
      <c r="E19" s="7"/>
      <c r="F19" s="9">
        <f t="shared" si="0"/>
        <v>0</v>
      </c>
    </row>
    <row r="20" spans="1:6" ht="15.5" x14ac:dyDescent="0.35">
      <c r="A20" s="72">
        <v>18</v>
      </c>
      <c r="B20" s="74" t="s">
        <v>27</v>
      </c>
      <c r="C20" s="73" t="s">
        <v>18</v>
      </c>
      <c r="D20" s="21">
        <v>85</v>
      </c>
      <c r="E20" s="7"/>
      <c r="F20" s="9">
        <f t="shared" si="0"/>
        <v>0</v>
      </c>
    </row>
    <row r="21" spans="1:6" ht="15.5" x14ac:dyDescent="0.35">
      <c r="A21" s="72">
        <v>19</v>
      </c>
      <c r="B21" s="74" t="s">
        <v>86</v>
      </c>
      <c r="C21" s="73" t="s">
        <v>18</v>
      </c>
      <c r="D21" s="21">
        <v>170</v>
      </c>
      <c r="E21" s="7"/>
      <c r="F21" s="9">
        <f t="shared" si="0"/>
        <v>0</v>
      </c>
    </row>
    <row r="22" spans="1:6" ht="15.5" x14ac:dyDescent="0.35">
      <c r="A22" s="72">
        <v>20</v>
      </c>
      <c r="B22" s="74" t="s">
        <v>87</v>
      </c>
      <c r="C22" s="73" t="s">
        <v>18</v>
      </c>
      <c r="D22" s="21">
        <v>170</v>
      </c>
      <c r="E22" s="7"/>
      <c r="F22" s="9">
        <f t="shared" si="0"/>
        <v>0</v>
      </c>
    </row>
    <row r="23" spans="1:6" ht="15.5" x14ac:dyDescent="0.35">
      <c r="A23" s="72">
        <v>21</v>
      </c>
      <c r="B23" s="74" t="s">
        <v>88</v>
      </c>
      <c r="C23" s="73" t="s">
        <v>18</v>
      </c>
      <c r="D23" s="21">
        <v>260</v>
      </c>
      <c r="E23" s="7"/>
      <c r="F23" s="9">
        <f t="shared" si="0"/>
        <v>0</v>
      </c>
    </row>
    <row r="24" spans="1:6" ht="15.5" x14ac:dyDescent="0.35">
      <c r="A24" s="72">
        <v>22</v>
      </c>
      <c r="B24" s="74" t="s">
        <v>89</v>
      </c>
      <c r="C24" s="73" t="s">
        <v>18</v>
      </c>
      <c r="D24" s="21">
        <v>260</v>
      </c>
      <c r="E24" s="7"/>
      <c r="F24" s="9">
        <f t="shared" si="0"/>
        <v>0</v>
      </c>
    </row>
    <row r="25" spans="1:6" ht="15.5" x14ac:dyDescent="0.35">
      <c r="A25" s="72">
        <v>23</v>
      </c>
      <c r="B25" s="24" t="s">
        <v>23</v>
      </c>
      <c r="C25" s="73" t="s">
        <v>18</v>
      </c>
      <c r="D25" s="21">
        <v>85</v>
      </c>
      <c r="E25" s="7"/>
      <c r="F25" s="9">
        <f t="shared" si="0"/>
        <v>0</v>
      </c>
    </row>
    <row r="26" spans="1:6" ht="15.5" x14ac:dyDescent="0.35">
      <c r="A26" s="72">
        <v>24</v>
      </c>
      <c r="B26" s="76" t="s">
        <v>90</v>
      </c>
      <c r="C26" s="73" t="s">
        <v>18</v>
      </c>
      <c r="D26" s="21">
        <v>75</v>
      </c>
      <c r="E26" s="7"/>
      <c r="F26" s="9">
        <f t="shared" si="0"/>
        <v>0</v>
      </c>
    </row>
    <row r="27" spans="1:6" ht="15.5" x14ac:dyDescent="0.35">
      <c r="A27" s="72">
        <v>25</v>
      </c>
      <c r="B27" s="76" t="s">
        <v>91</v>
      </c>
      <c r="C27" s="73" t="s">
        <v>18</v>
      </c>
      <c r="D27" s="21">
        <v>75</v>
      </c>
      <c r="E27" s="7"/>
      <c r="F27" s="9">
        <f t="shared" si="0"/>
        <v>0</v>
      </c>
    </row>
    <row r="28" spans="1:6" ht="15.5" x14ac:dyDescent="0.35">
      <c r="A28" s="72">
        <v>26</v>
      </c>
      <c r="B28" s="76" t="s">
        <v>92</v>
      </c>
      <c r="C28" s="73" t="s">
        <v>18</v>
      </c>
      <c r="D28" s="21">
        <v>70</v>
      </c>
      <c r="E28" s="7"/>
      <c r="F28" s="9">
        <f t="shared" si="0"/>
        <v>0</v>
      </c>
    </row>
    <row r="29" spans="1:6" ht="15.5" x14ac:dyDescent="0.35">
      <c r="A29" s="72">
        <v>27</v>
      </c>
      <c r="B29" s="74" t="s">
        <v>93</v>
      </c>
      <c r="C29" s="73" t="s">
        <v>18</v>
      </c>
      <c r="D29" s="21">
        <v>210</v>
      </c>
      <c r="E29" s="7"/>
      <c r="F29" s="9">
        <f t="shared" si="0"/>
        <v>0</v>
      </c>
    </row>
    <row r="30" spans="1:6" ht="15.5" x14ac:dyDescent="0.35">
      <c r="A30" s="72">
        <v>28</v>
      </c>
      <c r="B30" s="75" t="s">
        <v>34</v>
      </c>
      <c r="C30" s="73" t="s">
        <v>18</v>
      </c>
      <c r="D30" s="21">
        <v>70</v>
      </c>
      <c r="E30" s="7"/>
      <c r="F30" s="9">
        <f t="shared" si="0"/>
        <v>0</v>
      </c>
    </row>
    <row r="31" spans="1:6" ht="15.5" x14ac:dyDescent="0.35">
      <c r="A31" s="18">
        <v>29</v>
      </c>
      <c r="B31" s="75"/>
      <c r="C31" s="73" t="s">
        <v>18</v>
      </c>
      <c r="D31" s="21">
        <v>0</v>
      </c>
      <c r="E31" s="7"/>
      <c r="F31" s="9">
        <f t="shared" si="0"/>
        <v>0</v>
      </c>
    </row>
    <row r="32" spans="1:6" ht="15.5" x14ac:dyDescent="0.35">
      <c r="A32" s="18">
        <v>30</v>
      </c>
      <c r="B32" s="22"/>
      <c r="C32" s="73" t="s">
        <v>18</v>
      </c>
      <c r="D32" s="21">
        <v>0</v>
      </c>
      <c r="E32" s="7"/>
      <c r="F32" s="9">
        <f t="shared" si="0"/>
        <v>0</v>
      </c>
    </row>
    <row r="33" spans="1:6" ht="15" customHeight="1" x14ac:dyDescent="0.35">
      <c r="A33" s="25" t="s">
        <v>63</v>
      </c>
      <c r="B33" s="26" t="s">
        <v>94</v>
      </c>
      <c r="C33" s="6" t="s">
        <v>65</v>
      </c>
      <c r="D33" s="6" t="s">
        <v>66</v>
      </c>
      <c r="E33" s="13" t="s">
        <v>67</v>
      </c>
      <c r="F33" s="14" t="s">
        <v>68</v>
      </c>
    </row>
    <row r="34" spans="1:6" ht="15" customHeight="1" x14ac:dyDescent="0.35">
      <c r="A34" s="15">
        <v>1</v>
      </c>
      <c r="B34" s="27" t="s">
        <v>95</v>
      </c>
      <c r="C34" s="28" t="s">
        <v>18</v>
      </c>
      <c r="D34" s="28">
        <v>6.18</v>
      </c>
      <c r="E34" s="7"/>
      <c r="F34" s="9">
        <f t="shared" si="0"/>
        <v>0</v>
      </c>
    </row>
    <row r="35" spans="1:6" ht="15" customHeight="1" x14ac:dyDescent="0.35">
      <c r="A35" s="15">
        <v>2</v>
      </c>
      <c r="B35" s="27" t="s">
        <v>96</v>
      </c>
      <c r="C35" s="28" t="s">
        <v>18</v>
      </c>
      <c r="D35" s="28">
        <v>3.35</v>
      </c>
      <c r="E35" s="7"/>
      <c r="F35" s="9">
        <f t="shared" si="0"/>
        <v>0</v>
      </c>
    </row>
    <row r="36" spans="1:6" ht="15" customHeight="1" x14ac:dyDescent="0.35">
      <c r="A36" s="15">
        <v>3</v>
      </c>
      <c r="B36" s="27" t="s">
        <v>97</v>
      </c>
      <c r="C36" s="28" t="s">
        <v>18</v>
      </c>
      <c r="D36" s="28">
        <v>3.19</v>
      </c>
      <c r="E36" s="7"/>
      <c r="F36" s="9">
        <f t="shared" si="0"/>
        <v>0</v>
      </c>
    </row>
    <row r="37" spans="1:6" ht="15" customHeight="1" x14ac:dyDescent="0.35">
      <c r="A37" s="15">
        <v>4</v>
      </c>
      <c r="B37" s="27" t="s">
        <v>98</v>
      </c>
      <c r="C37" s="28" t="s">
        <v>18</v>
      </c>
      <c r="D37" s="28">
        <v>3.08</v>
      </c>
      <c r="E37" s="7"/>
      <c r="F37" s="9">
        <f t="shared" si="0"/>
        <v>0</v>
      </c>
    </row>
    <row r="38" spans="1:6" ht="15" customHeight="1" x14ac:dyDescent="0.35">
      <c r="A38" s="15">
        <v>5</v>
      </c>
      <c r="B38" s="27" t="s">
        <v>99</v>
      </c>
      <c r="C38" s="28" t="s">
        <v>18</v>
      </c>
      <c r="D38" s="28">
        <v>3.08</v>
      </c>
      <c r="E38" s="7"/>
      <c r="F38" s="9">
        <f t="shared" si="0"/>
        <v>0</v>
      </c>
    </row>
    <row r="39" spans="1:6" ht="15" customHeight="1" x14ac:dyDescent="0.35">
      <c r="A39" s="15">
        <v>6</v>
      </c>
      <c r="B39" s="27" t="s">
        <v>100</v>
      </c>
      <c r="C39" s="28" t="s">
        <v>18</v>
      </c>
      <c r="D39" s="28">
        <v>6.92</v>
      </c>
      <c r="E39" s="7"/>
      <c r="F39" s="9">
        <f t="shared" si="0"/>
        <v>0</v>
      </c>
    </row>
    <row r="40" spans="1:6" ht="15" customHeight="1" x14ac:dyDescent="0.35">
      <c r="A40" s="15">
        <v>7</v>
      </c>
      <c r="B40" s="27" t="s">
        <v>101</v>
      </c>
      <c r="C40" s="28" t="s">
        <v>18</v>
      </c>
      <c r="D40" s="28">
        <v>6.7</v>
      </c>
      <c r="E40" s="7"/>
      <c r="F40" s="9">
        <f t="shared" si="0"/>
        <v>0</v>
      </c>
    </row>
    <row r="41" spans="1:6" ht="15" customHeight="1" x14ac:dyDescent="0.35">
      <c r="A41" s="15">
        <v>8</v>
      </c>
      <c r="B41" s="27" t="s">
        <v>102</v>
      </c>
      <c r="C41" s="28" t="s">
        <v>18</v>
      </c>
      <c r="D41" s="28">
        <v>7.44</v>
      </c>
      <c r="E41" s="7"/>
      <c r="F41" s="9">
        <f t="shared" si="0"/>
        <v>0</v>
      </c>
    </row>
    <row r="42" spans="1:6" ht="15" customHeight="1" x14ac:dyDescent="0.35">
      <c r="A42" s="15">
        <v>9</v>
      </c>
      <c r="B42" s="27" t="s">
        <v>103</v>
      </c>
      <c r="C42" s="28" t="s">
        <v>18</v>
      </c>
      <c r="D42" s="28">
        <v>7.34</v>
      </c>
      <c r="E42" s="7"/>
      <c r="F42" s="9">
        <f t="shared" si="0"/>
        <v>0</v>
      </c>
    </row>
    <row r="43" spans="1:6" ht="15" customHeight="1" x14ac:dyDescent="0.35">
      <c r="A43" s="15">
        <v>10</v>
      </c>
      <c r="B43" s="27" t="s">
        <v>104</v>
      </c>
      <c r="C43" s="28" t="s">
        <v>18</v>
      </c>
      <c r="D43" s="28">
        <v>16.600000000000001</v>
      </c>
      <c r="E43" s="7"/>
      <c r="F43" s="9">
        <f t="shared" si="0"/>
        <v>0</v>
      </c>
    </row>
    <row r="44" spans="1:6" ht="15" customHeight="1" x14ac:dyDescent="0.35">
      <c r="A44" s="15">
        <v>11</v>
      </c>
      <c r="B44" s="27" t="s">
        <v>105</v>
      </c>
      <c r="C44" s="28" t="s">
        <v>18</v>
      </c>
      <c r="D44" s="28">
        <v>8.2899999999999991</v>
      </c>
      <c r="E44" s="7"/>
      <c r="F44" s="9">
        <f t="shared" si="0"/>
        <v>0</v>
      </c>
    </row>
    <row r="45" spans="1:6" ht="15" customHeight="1" x14ac:dyDescent="0.35">
      <c r="A45" s="15">
        <v>12</v>
      </c>
      <c r="B45" s="27" t="s">
        <v>106</v>
      </c>
      <c r="C45" s="28" t="s">
        <v>18</v>
      </c>
      <c r="D45" s="28">
        <v>10.53</v>
      </c>
      <c r="E45" s="7"/>
      <c r="F45" s="9">
        <f t="shared" si="0"/>
        <v>0</v>
      </c>
    </row>
    <row r="46" spans="1:6" ht="15" customHeight="1" x14ac:dyDescent="0.35">
      <c r="A46" s="15">
        <v>13</v>
      </c>
      <c r="B46" s="27" t="s">
        <v>107</v>
      </c>
      <c r="C46" s="28" t="s">
        <v>18</v>
      </c>
      <c r="D46" s="28">
        <v>5.26</v>
      </c>
      <c r="E46" s="7"/>
      <c r="F46" s="9">
        <f t="shared" si="0"/>
        <v>0</v>
      </c>
    </row>
    <row r="47" spans="1:6" ht="15" customHeight="1" x14ac:dyDescent="0.35">
      <c r="A47" s="15">
        <v>14</v>
      </c>
      <c r="B47" s="27" t="s">
        <v>108</v>
      </c>
      <c r="C47" s="28" t="s">
        <v>18</v>
      </c>
      <c r="D47" s="28">
        <v>2.34</v>
      </c>
      <c r="E47" s="7"/>
      <c r="F47" s="9">
        <f t="shared" si="0"/>
        <v>0</v>
      </c>
    </row>
    <row r="48" spans="1:6" ht="15" customHeight="1" x14ac:dyDescent="0.35">
      <c r="A48" s="15">
        <v>15</v>
      </c>
      <c r="B48" s="27" t="s">
        <v>109</v>
      </c>
      <c r="C48" s="28" t="s">
        <v>18</v>
      </c>
      <c r="D48" s="28">
        <v>2.23</v>
      </c>
      <c r="E48" s="7"/>
      <c r="F48" s="9">
        <f t="shared" si="0"/>
        <v>0</v>
      </c>
    </row>
    <row r="49" spans="1:6" ht="15" customHeight="1" x14ac:dyDescent="0.35">
      <c r="A49" s="15">
        <v>16</v>
      </c>
      <c r="B49" s="27" t="s">
        <v>110</v>
      </c>
      <c r="C49" s="28" t="s">
        <v>18</v>
      </c>
      <c r="D49" s="28">
        <v>2.66</v>
      </c>
      <c r="E49" s="7"/>
      <c r="F49" s="9">
        <f t="shared" si="0"/>
        <v>0</v>
      </c>
    </row>
    <row r="50" spans="1:6" ht="15" customHeight="1" x14ac:dyDescent="0.35">
      <c r="A50" s="15">
        <v>17</v>
      </c>
      <c r="B50" s="27" t="s">
        <v>111</v>
      </c>
      <c r="C50" s="28" t="s">
        <v>18</v>
      </c>
      <c r="D50" s="28">
        <v>2.5499999999999998</v>
      </c>
      <c r="E50" s="7"/>
      <c r="F50" s="9">
        <f t="shared" si="0"/>
        <v>0</v>
      </c>
    </row>
    <row r="51" spans="1:6" ht="15" customHeight="1" x14ac:dyDescent="0.35">
      <c r="A51" s="15">
        <v>18</v>
      </c>
      <c r="B51" s="27" t="s">
        <v>112</v>
      </c>
      <c r="C51" s="28" t="s">
        <v>18</v>
      </c>
      <c r="D51" s="28">
        <v>6.38</v>
      </c>
      <c r="E51" s="7"/>
      <c r="F51" s="9">
        <f t="shared" si="0"/>
        <v>0</v>
      </c>
    </row>
    <row r="52" spans="1:6" ht="15" customHeight="1" x14ac:dyDescent="0.35">
      <c r="A52" s="15">
        <v>19</v>
      </c>
      <c r="B52" s="27" t="s">
        <v>113</v>
      </c>
      <c r="C52" s="28" t="s">
        <v>18</v>
      </c>
      <c r="D52" s="28">
        <v>8.08</v>
      </c>
      <c r="E52" s="7"/>
      <c r="F52" s="9">
        <f t="shared" si="0"/>
        <v>0</v>
      </c>
    </row>
    <row r="53" spans="1:6" ht="15" customHeight="1" x14ac:dyDescent="0.35">
      <c r="A53" s="15">
        <v>20</v>
      </c>
      <c r="B53" s="27" t="s">
        <v>114</v>
      </c>
      <c r="C53" s="28" t="s">
        <v>18</v>
      </c>
      <c r="D53" s="28">
        <v>2.23</v>
      </c>
      <c r="E53" s="7"/>
      <c r="F53" s="9">
        <f t="shared" si="0"/>
        <v>0</v>
      </c>
    </row>
    <row r="54" spans="1:6" ht="15" customHeight="1" x14ac:dyDescent="0.35">
      <c r="A54" s="15">
        <v>21</v>
      </c>
      <c r="B54" s="27" t="s">
        <v>115</v>
      </c>
      <c r="C54" s="28" t="s">
        <v>18</v>
      </c>
      <c r="D54" s="28">
        <v>8.19</v>
      </c>
      <c r="E54" s="7"/>
      <c r="F54" s="9">
        <f t="shared" si="0"/>
        <v>0</v>
      </c>
    </row>
    <row r="55" spans="1:6" ht="15" customHeight="1" x14ac:dyDescent="0.35">
      <c r="A55" s="15">
        <v>22</v>
      </c>
      <c r="B55" s="27" t="s">
        <v>116</v>
      </c>
      <c r="C55" s="28" t="s">
        <v>18</v>
      </c>
      <c r="D55" s="28">
        <v>2.34</v>
      </c>
      <c r="E55" s="7"/>
      <c r="F55" s="9">
        <f t="shared" si="0"/>
        <v>0</v>
      </c>
    </row>
    <row r="56" spans="1:6" ht="15" customHeight="1" x14ac:dyDescent="0.35">
      <c r="A56" s="15">
        <v>23</v>
      </c>
      <c r="B56" s="27" t="s">
        <v>117</v>
      </c>
      <c r="C56" s="28" t="s">
        <v>18</v>
      </c>
      <c r="D56" s="28">
        <v>3.99</v>
      </c>
      <c r="E56" s="7"/>
      <c r="F56" s="9">
        <f t="shared" si="0"/>
        <v>0</v>
      </c>
    </row>
    <row r="57" spans="1:6" ht="15" customHeight="1" x14ac:dyDescent="0.35">
      <c r="A57" s="15">
        <v>24</v>
      </c>
      <c r="B57" s="27" t="s">
        <v>117</v>
      </c>
      <c r="C57" s="28" t="s">
        <v>18</v>
      </c>
      <c r="D57" s="28">
        <v>3.99</v>
      </c>
      <c r="E57" s="7"/>
      <c r="F57" s="9">
        <f t="shared" si="0"/>
        <v>0</v>
      </c>
    </row>
    <row r="58" spans="1:6" ht="15" customHeight="1" x14ac:dyDescent="0.35">
      <c r="A58" s="15">
        <v>25</v>
      </c>
      <c r="B58" s="27" t="s">
        <v>118</v>
      </c>
      <c r="C58" s="28" t="s">
        <v>18</v>
      </c>
      <c r="D58" s="28">
        <v>1.32</v>
      </c>
      <c r="E58" s="7"/>
      <c r="F58" s="9">
        <f t="shared" si="0"/>
        <v>0</v>
      </c>
    </row>
    <row r="59" spans="1:6" ht="15" customHeight="1" x14ac:dyDescent="0.35">
      <c r="A59" s="15">
        <v>26</v>
      </c>
      <c r="B59" s="27" t="s">
        <v>119</v>
      </c>
      <c r="C59" s="28" t="s">
        <v>18</v>
      </c>
      <c r="D59" s="28">
        <v>1.25</v>
      </c>
      <c r="E59" s="7"/>
      <c r="F59" s="9">
        <f t="shared" si="0"/>
        <v>0</v>
      </c>
    </row>
    <row r="60" spans="1:6" ht="15" customHeight="1" x14ac:dyDescent="0.35">
      <c r="A60" s="15">
        <v>27</v>
      </c>
      <c r="B60" s="27" t="s">
        <v>120</v>
      </c>
      <c r="C60" s="28" t="s">
        <v>18</v>
      </c>
      <c r="D60" s="28">
        <v>1.32</v>
      </c>
      <c r="E60" s="7"/>
      <c r="F60" s="9">
        <f t="shared" si="0"/>
        <v>0</v>
      </c>
    </row>
    <row r="61" spans="1:6" ht="15" customHeight="1" x14ac:dyDescent="0.35">
      <c r="A61" s="15">
        <v>28</v>
      </c>
      <c r="B61" s="27" t="s">
        <v>121</v>
      </c>
      <c r="C61" s="28" t="s">
        <v>18</v>
      </c>
      <c r="D61" s="28">
        <v>1.25</v>
      </c>
      <c r="E61" s="7"/>
      <c r="F61" s="9">
        <f t="shared" si="0"/>
        <v>0</v>
      </c>
    </row>
    <row r="62" spans="1:6" ht="15" customHeight="1" x14ac:dyDescent="0.35">
      <c r="A62" s="15">
        <v>29</v>
      </c>
      <c r="B62" s="27" t="s">
        <v>121</v>
      </c>
      <c r="C62" s="28" t="s">
        <v>18</v>
      </c>
      <c r="D62" s="28">
        <v>1.25</v>
      </c>
      <c r="E62" s="7"/>
      <c r="F62" s="9">
        <f t="shared" si="0"/>
        <v>0</v>
      </c>
    </row>
    <row r="63" spans="1:6" ht="15" customHeight="1" x14ac:dyDescent="0.35">
      <c r="A63" s="15">
        <v>30</v>
      </c>
      <c r="B63" s="27" t="s">
        <v>122</v>
      </c>
      <c r="C63" s="28" t="s">
        <v>18</v>
      </c>
      <c r="D63" s="28">
        <v>1.1599999999999999</v>
      </c>
      <c r="E63" s="7"/>
      <c r="F63" s="9">
        <f t="shared" si="0"/>
        <v>0</v>
      </c>
    </row>
    <row r="64" spans="1:6" ht="15" customHeight="1" x14ac:dyDescent="0.35">
      <c r="A64" s="15">
        <v>31</v>
      </c>
      <c r="B64" s="27" t="s">
        <v>123</v>
      </c>
      <c r="C64" s="28" t="s">
        <v>18</v>
      </c>
      <c r="D64" s="28">
        <v>0.8</v>
      </c>
      <c r="E64" s="7"/>
      <c r="F64" s="9">
        <f t="shared" si="0"/>
        <v>0</v>
      </c>
    </row>
    <row r="65" spans="1:6" ht="15" customHeight="1" x14ac:dyDescent="0.35">
      <c r="A65" s="15">
        <v>32</v>
      </c>
      <c r="B65" s="27" t="s">
        <v>124</v>
      </c>
      <c r="C65" s="28" t="s">
        <v>77</v>
      </c>
      <c r="D65" s="28">
        <v>0.27</v>
      </c>
      <c r="E65" s="7"/>
      <c r="F65" s="9">
        <f t="shared" si="0"/>
        <v>0</v>
      </c>
    </row>
    <row r="66" spans="1:6" ht="15" customHeight="1" x14ac:dyDescent="0.35">
      <c r="A66" s="15">
        <v>33</v>
      </c>
      <c r="B66" s="27" t="s">
        <v>125</v>
      </c>
      <c r="C66" s="28" t="s">
        <v>77</v>
      </c>
      <c r="D66" s="28">
        <v>6</v>
      </c>
      <c r="E66" s="7"/>
      <c r="F66" s="9">
        <f t="shared" si="0"/>
        <v>0</v>
      </c>
    </row>
    <row r="67" spans="1:6" ht="15" customHeight="1" x14ac:dyDescent="0.35">
      <c r="A67" s="15">
        <v>34</v>
      </c>
      <c r="B67" s="27" t="s">
        <v>126</v>
      </c>
      <c r="C67" s="28" t="s">
        <v>77</v>
      </c>
      <c r="D67" s="28">
        <v>2.14</v>
      </c>
      <c r="E67" s="7"/>
      <c r="F67" s="9">
        <f t="shared" si="0"/>
        <v>0</v>
      </c>
    </row>
    <row r="68" spans="1:6" ht="15" customHeight="1" x14ac:dyDescent="0.35">
      <c r="A68" s="15">
        <v>35</v>
      </c>
      <c r="B68" s="27" t="s">
        <v>127</v>
      </c>
      <c r="C68" s="28" t="s">
        <v>77</v>
      </c>
      <c r="D68" s="28">
        <v>2.81</v>
      </c>
      <c r="E68" s="7"/>
      <c r="F68" s="9">
        <f t="shared" si="0"/>
        <v>0</v>
      </c>
    </row>
    <row r="69" spans="1:6" ht="15" customHeight="1" x14ac:dyDescent="0.35">
      <c r="A69" s="15">
        <v>36</v>
      </c>
      <c r="B69" s="27" t="s">
        <v>128</v>
      </c>
      <c r="C69" s="28" t="s">
        <v>77</v>
      </c>
      <c r="D69" s="28">
        <v>4.0599999999999996</v>
      </c>
      <c r="E69" s="7"/>
      <c r="F69" s="9">
        <f t="shared" si="0"/>
        <v>0</v>
      </c>
    </row>
    <row r="70" spans="1:6" ht="15" customHeight="1" x14ac:dyDescent="0.35">
      <c r="A70" s="15">
        <v>37</v>
      </c>
      <c r="B70" s="27" t="s">
        <v>129</v>
      </c>
      <c r="C70" s="28" t="s">
        <v>77</v>
      </c>
      <c r="D70" s="28">
        <v>8.89</v>
      </c>
      <c r="E70" s="7"/>
      <c r="F70" s="9">
        <f t="shared" si="0"/>
        <v>0</v>
      </c>
    </row>
    <row r="71" spans="1:6" ht="15" customHeight="1" x14ac:dyDescent="0.35">
      <c r="A71" s="15">
        <v>38</v>
      </c>
      <c r="B71" s="27" t="s">
        <v>130</v>
      </c>
      <c r="C71" s="28" t="s">
        <v>77</v>
      </c>
      <c r="D71" s="28">
        <v>5.92</v>
      </c>
      <c r="E71" s="7"/>
      <c r="F71" s="9">
        <f t="shared" si="0"/>
        <v>0</v>
      </c>
    </row>
    <row r="72" spans="1:6" ht="15" customHeight="1" x14ac:dyDescent="0.35">
      <c r="A72" s="15">
        <v>39</v>
      </c>
      <c r="B72" s="27" t="s">
        <v>131</v>
      </c>
      <c r="C72" s="28" t="s">
        <v>77</v>
      </c>
      <c r="D72" s="28">
        <v>0.9</v>
      </c>
      <c r="E72" s="7"/>
      <c r="F72" s="9">
        <f t="shared" si="0"/>
        <v>0</v>
      </c>
    </row>
    <row r="73" spans="1:6" ht="15" customHeight="1" x14ac:dyDescent="0.35">
      <c r="A73" s="15">
        <v>40</v>
      </c>
      <c r="B73" s="27" t="s">
        <v>132</v>
      </c>
      <c r="C73" s="28" t="s">
        <v>77</v>
      </c>
      <c r="D73" s="28">
        <v>1.2</v>
      </c>
      <c r="E73" s="7"/>
      <c r="F73" s="9">
        <f t="shared" si="0"/>
        <v>0</v>
      </c>
    </row>
    <row r="74" spans="1:6" ht="15" customHeight="1" x14ac:dyDescent="0.35">
      <c r="A74" s="15">
        <v>41</v>
      </c>
      <c r="B74" s="27" t="s">
        <v>133</v>
      </c>
      <c r="C74" s="28" t="s">
        <v>18</v>
      </c>
      <c r="D74" s="28">
        <v>3</v>
      </c>
      <c r="E74" s="7"/>
      <c r="F74" s="9">
        <f t="shared" si="0"/>
        <v>0</v>
      </c>
    </row>
    <row r="75" spans="1:6" ht="15" customHeight="1" x14ac:dyDescent="0.35">
      <c r="A75" s="15">
        <v>42</v>
      </c>
      <c r="B75" s="27" t="s">
        <v>134</v>
      </c>
      <c r="C75" s="28" t="s">
        <v>18</v>
      </c>
      <c r="D75" s="28">
        <v>1.5</v>
      </c>
      <c r="E75" s="7"/>
      <c r="F75" s="9">
        <f t="shared" si="0"/>
        <v>0</v>
      </c>
    </row>
    <row r="76" spans="1:6" ht="15" customHeight="1" x14ac:dyDescent="0.35">
      <c r="A76" s="15">
        <v>43</v>
      </c>
      <c r="B76" s="27" t="s">
        <v>135</v>
      </c>
      <c r="C76" s="28" t="s">
        <v>18</v>
      </c>
      <c r="D76" s="28">
        <v>1.9</v>
      </c>
      <c r="E76" s="7"/>
      <c r="F76" s="9">
        <f t="shared" si="0"/>
        <v>0</v>
      </c>
    </row>
    <row r="77" spans="1:6" ht="15" customHeight="1" x14ac:dyDescent="0.35">
      <c r="A77" s="15">
        <v>44</v>
      </c>
      <c r="B77" s="27" t="s">
        <v>136</v>
      </c>
      <c r="C77" s="28" t="s">
        <v>77</v>
      </c>
      <c r="D77" s="28">
        <v>3.4</v>
      </c>
      <c r="E77" s="7"/>
      <c r="F77" s="9">
        <f t="shared" si="0"/>
        <v>0</v>
      </c>
    </row>
    <row r="78" spans="1:6" ht="15" customHeight="1" x14ac:dyDescent="0.35">
      <c r="A78" s="15">
        <v>45</v>
      </c>
      <c r="B78" s="27" t="s">
        <v>137</v>
      </c>
      <c r="C78" s="28" t="s">
        <v>77</v>
      </c>
      <c r="D78" s="28">
        <v>2.25</v>
      </c>
      <c r="E78" s="7"/>
      <c r="F78" s="9">
        <f t="shared" si="0"/>
        <v>0</v>
      </c>
    </row>
    <row r="79" spans="1:6" ht="15" customHeight="1" x14ac:dyDescent="0.35">
      <c r="A79" s="15">
        <v>46</v>
      </c>
      <c r="B79" s="27" t="s">
        <v>138</v>
      </c>
      <c r="C79" s="28" t="s">
        <v>77</v>
      </c>
      <c r="D79" s="28">
        <v>3.19</v>
      </c>
      <c r="E79" s="7"/>
      <c r="F79" s="9">
        <f t="shared" si="0"/>
        <v>0</v>
      </c>
    </row>
    <row r="80" spans="1:6" ht="15" customHeight="1" x14ac:dyDescent="0.35">
      <c r="A80" s="15">
        <v>47</v>
      </c>
      <c r="B80" s="27" t="s">
        <v>139</v>
      </c>
      <c r="C80" s="28" t="s">
        <v>77</v>
      </c>
      <c r="D80" s="28">
        <v>2.09</v>
      </c>
      <c r="E80" s="7"/>
      <c r="F80" s="9">
        <f t="shared" si="0"/>
        <v>0</v>
      </c>
    </row>
    <row r="81" spans="1:6" ht="15" customHeight="1" x14ac:dyDescent="0.35">
      <c r="A81" s="15">
        <v>48</v>
      </c>
      <c r="B81" s="27" t="s">
        <v>140</v>
      </c>
      <c r="C81" s="28" t="s">
        <v>77</v>
      </c>
      <c r="D81" s="28">
        <v>1.44</v>
      </c>
      <c r="E81" s="7"/>
      <c r="F81" s="9">
        <f t="shared" si="0"/>
        <v>0</v>
      </c>
    </row>
    <row r="82" spans="1:6" ht="15" customHeight="1" x14ac:dyDescent="0.35">
      <c r="A82" s="15">
        <v>49</v>
      </c>
      <c r="B82" s="27" t="s">
        <v>141</v>
      </c>
      <c r="C82" s="28" t="s">
        <v>77</v>
      </c>
      <c r="D82" s="28">
        <v>1.29</v>
      </c>
      <c r="E82" s="7"/>
      <c r="F82" s="9">
        <f t="shared" ref="F82:F119" si="1">D82*E82</f>
        <v>0</v>
      </c>
    </row>
    <row r="83" spans="1:6" ht="15" customHeight="1" x14ac:dyDescent="0.35">
      <c r="A83" s="15">
        <v>50</v>
      </c>
      <c r="B83" s="27" t="s">
        <v>142</v>
      </c>
      <c r="C83" s="28" t="s">
        <v>143</v>
      </c>
      <c r="D83" s="28">
        <v>7.29</v>
      </c>
      <c r="E83" s="7"/>
      <c r="F83" s="9">
        <f t="shared" si="1"/>
        <v>0</v>
      </c>
    </row>
    <row r="84" spans="1:6" ht="15" customHeight="1" x14ac:dyDescent="0.35">
      <c r="A84" s="15">
        <v>51</v>
      </c>
      <c r="B84" s="27" t="s">
        <v>144</v>
      </c>
      <c r="C84" s="28" t="s">
        <v>18</v>
      </c>
      <c r="D84" s="28">
        <v>4.5599999999999996</v>
      </c>
      <c r="E84" s="7"/>
      <c r="F84" s="9">
        <f t="shared" si="1"/>
        <v>0</v>
      </c>
    </row>
    <row r="85" spans="1:6" ht="15" customHeight="1" x14ac:dyDescent="0.35">
      <c r="A85" s="15">
        <v>52</v>
      </c>
      <c r="B85" s="27" t="s">
        <v>145</v>
      </c>
      <c r="C85" s="28" t="s">
        <v>77</v>
      </c>
      <c r="D85" s="28">
        <v>8.81</v>
      </c>
      <c r="E85" s="7"/>
      <c r="F85" s="9">
        <f t="shared" si="1"/>
        <v>0</v>
      </c>
    </row>
    <row r="86" spans="1:6" ht="15" customHeight="1" x14ac:dyDescent="0.35">
      <c r="A86" s="15">
        <v>53</v>
      </c>
      <c r="B86" s="27" t="s">
        <v>146</v>
      </c>
      <c r="C86" s="28" t="s">
        <v>77</v>
      </c>
      <c r="D86" s="28">
        <v>6.44</v>
      </c>
      <c r="E86" s="7"/>
      <c r="F86" s="9">
        <f t="shared" si="1"/>
        <v>0</v>
      </c>
    </row>
    <row r="87" spans="1:6" ht="15" customHeight="1" x14ac:dyDescent="0.35">
      <c r="A87" s="15">
        <v>54</v>
      </c>
      <c r="B87" s="27" t="s">
        <v>147</v>
      </c>
      <c r="C87" s="28" t="s">
        <v>18</v>
      </c>
      <c r="D87" s="28">
        <v>22.76</v>
      </c>
      <c r="E87" s="7"/>
      <c r="F87" s="9">
        <f t="shared" si="1"/>
        <v>0</v>
      </c>
    </row>
    <row r="88" spans="1:6" ht="15" customHeight="1" x14ac:dyDescent="0.35">
      <c r="A88" s="15">
        <v>55</v>
      </c>
      <c r="B88" s="27" t="s">
        <v>148</v>
      </c>
      <c r="C88" s="28" t="s">
        <v>18</v>
      </c>
      <c r="D88" s="28">
        <v>31.92</v>
      </c>
      <c r="E88" s="7"/>
      <c r="F88" s="9">
        <f t="shared" si="1"/>
        <v>0</v>
      </c>
    </row>
    <row r="89" spans="1:6" ht="15" customHeight="1" x14ac:dyDescent="0.35">
      <c r="A89" s="15">
        <v>56</v>
      </c>
      <c r="B89" s="27" t="s">
        <v>149</v>
      </c>
      <c r="C89" s="28" t="s">
        <v>18</v>
      </c>
      <c r="D89" s="28">
        <v>5.56</v>
      </c>
      <c r="E89" s="7"/>
      <c r="F89" s="9">
        <f t="shared" si="1"/>
        <v>0</v>
      </c>
    </row>
    <row r="90" spans="1:6" ht="15" customHeight="1" x14ac:dyDescent="0.35">
      <c r="A90" s="15">
        <v>57</v>
      </c>
      <c r="B90" s="27" t="s">
        <v>150</v>
      </c>
      <c r="C90" s="28" t="s">
        <v>18</v>
      </c>
      <c r="D90" s="28">
        <v>4.5599999999999996</v>
      </c>
      <c r="E90" s="7"/>
      <c r="F90" s="9">
        <f t="shared" si="1"/>
        <v>0</v>
      </c>
    </row>
    <row r="91" spans="1:6" ht="15" customHeight="1" x14ac:dyDescent="0.35">
      <c r="A91" s="15">
        <v>58</v>
      </c>
      <c r="B91" s="27" t="s">
        <v>151</v>
      </c>
      <c r="C91" s="28" t="s">
        <v>55</v>
      </c>
      <c r="D91" s="28">
        <v>36.479999999999997</v>
      </c>
      <c r="E91" s="7"/>
      <c r="F91" s="9">
        <f t="shared" si="1"/>
        <v>0</v>
      </c>
    </row>
    <row r="92" spans="1:6" ht="15" customHeight="1" x14ac:dyDescent="0.35">
      <c r="A92" s="15">
        <v>59</v>
      </c>
      <c r="B92" s="27" t="s">
        <v>152</v>
      </c>
      <c r="C92" s="28" t="s">
        <v>55</v>
      </c>
      <c r="D92" s="28">
        <v>42.37</v>
      </c>
      <c r="E92" s="7"/>
      <c r="F92" s="9">
        <f t="shared" si="1"/>
        <v>0</v>
      </c>
    </row>
    <row r="93" spans="1:6" ht="15" customHeight="1" x14ac:dyDescent="0.35">
      <c r="A93" s="15">
        <v>60</v>
      </c>
      <c r="B93" s="27" t="s">
        <v>153</v>
      </c>
      <c r="C93" s="28" t="s">
        <v>55</v>
      </c>
      <c r="D93" s="28">
        <v>50.66</v>
      </c>
      <c r="E93" s="7"/>
      <c r="F93" s="9">
        <f t="shared" si="1"/>
        <v>0</v>
      </c>
    </row>
    <row r="94" spans="1:6" ht="15" customHeight="1" x14ac:dyDescent="0.35">
      <c r="A94" s="15">
        <v>61</v>
      </c>
      <c r="B94" s="27" t="s">
        <v>154</v>
      </c>
      <c r="C94" s="28" t="s">
        <v>55</v>
      </c>
      <c r="D94" s="28">
        <v>8.74</v>
      </c>
      <c r="E94" s="7"/>
      <c r="F94" s="9">
        <f t="shared" si="1"/>
        <v>0</v>
      </c>
    </row>
    <row r="95" spans="1:6" ht="15" customHeight="1" x14ac:dyDescent="0.35">
      <c r="A95" s="15">
        <v>62</v>
      </c>
      <c r="B95" s="27" t="s">
        <v>155</v>
      </c>
      <c r="C95" s="28" t="s">
        <v>55</v>
      </c>
      <c r="D95" s="28">
        <v>8.1199999999999992</v>
      </c>
      <c r="E95" s="7"/>
      <c r="F95" s="9">
        <f t="shared" si="1"/>
        <v>0</v>
      </c>
    </row>
    <row r="96" spans="1:6" ht="15" customHeight="1" x14ac:dyDescent="0.35">
      <c r="A96" s="15">
        <v>63</v>
      </c>
      <c r="B96" s="27" t="s">
        <v>156</v>
      </c>
      <c r="C96" s="28" t="s">
        <v>18</v>
      </c>
      <c r="D96" s="28">
        <v>4.5599999999999996</v>
      </c>
      <c r="E96" s="7"/>
      <c r="F96" s="9">
        <f t="shared" si="1"/>
        <v>0</v>
      </c>
    </row>
    <row r="97" spans="1:6" ht="15" customHeight="1" x14ac:dyDescent="0.35">
      <c r="A97" s="15">
        <v>64</v>
      </c>
      <c r="B97" s="27" t="s">
        <v>157</v>
      </c>
      <c r="C97" s="28" t="s">
        <v>77</v>
      </c>
      <c r="D97" s="28">
        <v>0.18</v>
      </c>
      <c r="E97" s="7"/>
      <c r="F97" s="9">
        <f t="shared" si="1"/>
        <v>0</v>
      </c>
    </row>
    <row r="98" spans="1:6" ht="15" customHeight="1" x14ac:dyDescent="0.35">
      <c r="A98" s="15">
        <v>65</v>
      </c>
      <c r="B98" s="27" t="s">
        <v>158</v>
      </c>
      <c r="C98" s="28" t="s">
        <v>18</v>
      </c>
      <c r="D98" s="28">
        <v>21</v>
      </c>
      <c r="E98" s="7"/>
      <c r="F98" s="9">
        <f t="shared" si="1"/>
        <v>0</v>
      </c>
    </row>
    <row r="99" spans="1:6" ht="15" customHeight="1" x14ac:dyDescent="0.35">
      <c r="A99" s="15">
        <v>66</v>
      </c>
      <c r="B99" s="27" t="s">
        <v>159</v>
      </c>
      <c r="C99" s="28" t="s">
        <v>18</v>
      </c>
      <c r="D99" s="28">
        <v>180</v>
      </c>
      <c r="E99" s="7"/>
      <c r="F99" s="9">
        <f t="shared" si="1"/>
        <v>0</v>
      </c>
    </row>
    <row r="100" spans="1:6" ht="15" customHeight="1" x14ac:dyDescent="0.35">
      <c r="A100" s="15">
        <v>67</v>
      </c>
      <c r="B100" s="27" t="s">
        <v>160</v>
      </c>
      <c r="C100" s="28" t="s">
        <v>18</v>
      </c>
      <c r="D100" s="28">
        <v>600</v>
      </c>
      <c r="E100" s="7"/>
      <c r="F100" s="9">
        <f t="shared" si="1"/>
        <v>0</v>
      </c>
    </row>
    <row r="101" spans="1:6" ht="15" customHeight="1" x14ac:dyDescent="0.35">
      <c r="A101" s="15">
        <v>68</v>
      </c>
      <c r="B101" s="27" t="s">
        <v>161</v>
      </c>
      <c r="C101" s="28" t="s">
        <v>18</v>
      </c>
      <c r="D101" s="28">
        <v>500</v>
      </c>
      <c r="E101" s="7"/>
      <c r="F101" s="9">
        <f t="shared" si="1"/>
        <v>0</v>
      </c>
    </row>
    <row r="102" spans="1:6" ht="15" customHeight="1" x14ac:dyDescent="0.35">
      <c r="A102" s="15">
        <v>69</v>
      </c>
      <c r="B102" s="27" t="s">
        <v>162</v>
      </c>
      <c r="C102" s="28" t="s">
        <v>18</v>
      </c>
      <c r="D102" s="28">
        <v>170</v>
      </c>
      <c r="E102" s="7"/>
      <c r="F102" s="9">
        <f t="shared" si="1"/>
        <v>0</v>
      </c>
    </row>
    <row r="103" spans="1:6" ht="15" customHeight="1" x14ac:dyDescent="0.35">
      <c r="A103" s="15">
        <v>70</v>
      </c>
      <c r="B103" s="27" t="s">
        <v>163</v>
      </c>
      <c r="C103" s="28" t="s">
        <v>18</v>
      </c>
      <c r="D103" s="28">
        <v>180</v>
      </c>
      <c r="E103" s="7"/>
      <c r="F103" s="9">
        <f t="shared" si="1"/>
        <v>0</v>
      </c>
    </row>
    <row r="104" spans="1:6" ht="15" customHeight="1" x14ac:dyDescent="0.35">
      <c r="A104" s="15">
        <v>71</v>
      </c>
      <c r="B104" s="27" t="s">
        <v>164</v>
      </c>
      <c r="C104" s="28" t="s">
        <v>18</v>
      </c>
      <c r="D104" s="28">
        <v>150</v>
      </c>
      <c r="E104" s="7"/>
      <c r="F104" s="9">
        <f t="shared" si="1"/>
        <v>0</v>
      </c>
    </row>
    <row r="105" spans="1:6" ht="15" customHeight="1" x14ac:dyDescent="0.35">
      <c r="A105" s="15">
        <v>72</v>
      </c>
      <c r="B105" s="27" t="s">
        <v>165</v>
      </c>
      <c r="C105" s="28" t="s">
        <v>77</v>
      </c>
      <c r="D105" s="28">
        <v>0.84</v>
      </c>
      <c r="E105" s="7"/>
      <c r="F105" s="9">
        <f t="shared" si="1"/>
        <v>0</v>
      </c>
    </row>
    <row r="106" spans="1:6" ht="15" customHeight="1" x14ac:dyDescent="0.35">
      <c r="A106" s="15">
        <v>73</v>
      </c>
      <c r="B106" s="27" t="s">
        <v>166</v>
      </c>
      <c r="C106" s="28" t="s">
        <v>77</v>
      </c>
      <c r="D106" s="28">
        <v>0.25</v>
      </c>
      <c r="E106" s="7"/>
      <c r="F106" s="9">
        <f t="shared" si="1"/>
        <v>0</v>
      </c>
    </row>
    <row r="107" spans="1:6" ht="15" customHeight="1" x14ac:dyDescent="0.35">
      <c r="A107" s="15">
        <v>74</v>
      </c>
      <c r="B107" s="27" t="s">
        <v>167</v>
      </c>
      <c r="C107" s="28" t="s">
        <v>77</v>
      </c>
      <c r="D107" s="28">
        <v>0.44</v>
      </c>
      <c r="E107" s="7"/>
      <c r="F107" s="9">
        <f t="shared" si="1"/>
        <v>0</v>
      </c>
    </row>
    <row r="108" spans="1:6" ht="15" customHeight="1" x14ac:dyDescent="0.35">
      <c r="A108" s="15">
        <v>75</v>
      </c>
      <c r="B108" s="27" t="s">
        <v>168</v>
      </c>
      <c r="C108" s="28" t="s">
        <v>77</v>
      </c>
      <c r="D108" s="28">
        <v>0.84</v>
      </c>
      <c r="E108" s="7"/>
      <c r="F108" s="9">
        <f t="shared" si="1"/>
        <v>0</v>
      </c>
    </row>
    <row r="109" spans="1:6" ht="15" customHeight="1" x14ac:dyDescent="0.35">
      <c r="A109" s="15">
        <v>76</v>
      </c>
      <c r="B109" s="27" t="s">
        <v>169</v>
      </c>
      <c r="C109" s="28" t="s">
        <v>18</v>
      </c>
      <c r="D109" s="28">
        <v>15</v>
      </c>
      <c r="E109" s="7"/>
      <c r="F109" s="9">
        <f t="shared" si="1"/>
        <v>0</v>
      </c>
    </row>
    <row r="110" spans="1:6" ht="15" customHeight="1" x14ac:dyDescent="0.35">
      <c r="A110" s="15">
        <v>77</v>
      </c>
      <c r="B110" s="27" t="s">
        <v>170</v>
      </c>
      <c r="C110" s="28" t="s">
        <v>18</v>
      </c>
      <c r="D110" s="28">
        <v>30</v>
      </c>
      <c r="E110" s="7"/>
      <c r="F110" s="9">
        <f t="shared" si="1"/>
        <v>0</v>
      </c>
    </row>
    <row r="111" spans="1:6" ht="15" customHeight="1" x14ac:dyDescent="0.35">
      <c r="A111" s="15">
        <v>78</v>
      </c>
      <c r="B111" s="27" t="s">
        <v>171</v>
      </c>
      <c r="C111" s="28" t="s">
        <v>143</v>
      </c>
      <c r="D111" s="28">
        <v>2.5</v>
      </c>
      <c r="E111" s="7"/>
      <c r="F111" s="9">
        <f t="shared" si="1"/>
        <v>0</v>
      </c>
    </row>
    <row r="112" spans="1:6" ht="15" customHeight="1" x14ac:dyDescent="0.35">
      <c r="A112" s="15">
        <v>79</v>
      </c>
      <c r="B112" s="27" t="s">
        <v>172</v>
      </c>
      <c r="C112" s="28" t="s">
        <v>18</v>
      </c>
      <c r="D112" s="28">
        <v>95</v>
      </c>
      <c r="E112" s="7"/>
      <c r="F112" s="9">
        <f t="shared" si="1"/>
        <v>0</v>
      </c>
    </row>
    <row r="113" spans="1:6" ht="15" customHeight="1" x14ac:dyDescent="0.35">
      <c r="A113" s="15">
        <v>80</v>
      </c>
      <c r="B113" s="27" t="s">
        <v>173</v>
      </c>
      <c r="C113" s="28" t="s">
        <v>18</v>
      </c>
      <c r="D113" s="28">
        <v>4</v>
      </c>
      <c r="E113" s="7"/>
      <c r="F113" s="9">
        <f t="shared" si="1"/>
        <v>0</v>
      </c>
    </row>
    <row r="114" spans="1:6" ht="15" customHeight="1" x14ac:dyDescent="0.35">
      <c r="A114" s="15">
        <v>81</v>
      </c>
      <c r="B114" s="27" t="s">
        <v>174</v>
      </c>
      <c r="C114" s="28" t="s">
        <v>18</v>
      </c>
      <c r="D114" s="28">
        <v>6</v>
      </c>
      <c r="E114" s="7"/>
      <c r="F114" s="9">
        <f t="shared" si="1"/>
        <v>0</v>
      </c>
    </row>
    <row r="115" spans="1:6" ht="15" customHeight="1" x14ac:dyDescent="0.35">
      <c r="A115" s="15">
        <v>82</v>
      </c>
      <c r="B115" s="29" t="s">
        <v>175</v>
      </c>
      <c r="C115" s="30" t="s">
        <v>18</v>
      </c>
      <c r="D115" s="28">
        <v>0.16</v>
      </c>
      <c r="E115" s="7"/>
      <c r="F115" s="9">
        <f t="shared" si="1"/>
        <v>0</v>
      </c>
    </row>
    <row r="116" spans="1:6" ht="15" customHeight="1" x14ac:dyDescent="0.35">
      <c r="A116" s="15">
        <v>83</v>
      </c>
      <c r="B116" s="29" t="s">
        <v>176</v>
      </c>
      <c r="C116" s="30" t="s">
        <v>18</v>
      </c>
      <c r="D116" s="28">
        <v>0.19</v>
      </c>
      <c r="E116" s="7"/>
      <c r="F116" s="9">
        <f t="shared" si="1"/>
        <v>0</v>
      </c>
    </row>
    <row r="117" spans="1:6" ht="15" customHeight="1" x14ac:dyDescent="0.35">
      <c r="A117" s="15">
        <v>84</v>
      </c>
      <c r="B117" s="27" t="s">
        <v>177</v>
      </c>
      <c r="C117" s="28" t="s">
        <v>18</v>
      </c>
      <c r="D117" s="28">
        <v>8.51</v>
      </c>
      <c r="E117" s="7"/>
      <c r="F117" s="9">
        <f t="shared" si="1"/>
        <v>0</v>
      </c>
    </row>
    <row r="118" spans="1:6" ht="15" customHeight="1" x14ac:dyDescent="0.35">
      <c r="A118" s="15">
        <v>85</v>
      </c>
      <c r="B118" s="27" t="s">
        <v>178</v>
      </c>
      <c r="C118" s="28" t="s">
        <v>77</v>
      </c>
      <c r="D118" s="28">
        <v>2</v>
      </c>
      <c r="E118" s="7"/>
      <c r="F118" s="9">
        <f t="shared" si="1"/>
        <v>0</v>
      </c>
    </row>
    <row r="119" spans="1:6" ht="15" customHeight="1" x14ac:dyDescent="0.35">
      <c r="A119" s="15">
        <v>86</v>
      </c>
      <c r="B119" s="27" t="s">
        <v>179</v>
      </c>
      <c r="C119" s="28" t="s">
        <v>18</v>
      </c>
      <c r="D119" s="28">
        <v>0.27</v>
      </c>
      <c r="E119" s="7"/>
      <c r="F119" s="9">
        <f t="shared" si="1"/>
        <v>0</v>
      </c>
    </row>
    <row r="120" spans="1:6" ht="15" customHeight="1" x14ac:dyDescent="0.35">
      <c r="B120" s="16" t="s">
        <v>180</v>
      </c>
      <c r="C120" s="16" t="s">
        <v>7</v>
      </c>
    </row>
    <row r="121" spans="1:6" ht="15" customHeight="1" x14ac:dyDescent="0.35">
      <c r="A121" s="1">
        <v>87</v>
      </c>
      <c r="B121" s="17" t="s">
        <v>181</v>
      </c>
      <c r="C121" s="15" t="s">
        <v>18</v>
      </c>
    </row>
    <row r="122" spans="1:6" ht="15" customHeight="1" x14ac:dyDescent="0.35">
      <c r="A122" s="1">
        <v>88</v>
      </c>
      <c r="B122" s="17" t="s">
        <v>182</v>
      </c>
      <c r="C122" s="15" t="s">
        <v>18</v>
      </c>
    </row>
    <row r="123" spans="1:6" ht="15" customHeight="1" x14ac:dyDescent="0.35">
      <c r="A123" s="1">
        <v>89</v>
      </c>
      <c r="B123" s="17" t="s">
        <v>183</v>
      </c>
      <c r="C123" s="15" t="s">
        <v>18</v>
      </c>
    </row>
    <row r="124" spans="1:6" ht="15" customHeight="1" x14ac:dyDescent="0.35">
      <c r="A124" s="1">
        <v>90</v>
      </c>
      <c r="B124" s="17" t="s">
        <v>184</v>
      </c>
      <c r="C124" s="15" t="s">
        <v>18</v>
      </c>
    </row>
    <row r="125" spans="1:6" ht="15" customHeight="1" x14ac:dyDescent="0.35">
      <c r="A125" s="1">
        <v>91</v>
      </c>
      <c r="B125" s="17" t="s">
        <v>185</v>
      </c>
      <c r="C125" s="15" t="s">
        <v>18</v>
      </c>
    </row>
    <row r="126" spans="1:6" ht="15" customHeight="1" x14ac:dyDescent="0.35">
      <c r="A126" s="1">
        <v>92</v>
      </c>
      <c r="B126" s="17" t="s">
        <v>186</v>
      </c>
      <c r="C126" s="15" t="s">
        <v>77</v>
      </c>
    </row>
    <row r="127" spans="1:6" ht="15" customHeight="1" x14ac:dyDescent="0.35">
      <c r="A127" s="1">
        <v>93</v>
      </c>
      <c r="B127" s="17" t="s">
        <v>187</v>
      </c>
      <c r="C127" s="15" t="s">
        <v>77</v>
      </c>
    </row>
    <row r="128" spans="1:6" ht="15" customHeight="1" x14ac:dyDescent="0.35">
      <c r="A128" s="1">
        <v>94</v>
      </c>
      <c r="B128" s="17" t="s">
        <v>188</v>
      </c>
      <c r="C128" s="15" t="s">
        <v>77</v>
      </c>
    </row>
    <row r="129" spans="1:3" ht="15" customHeight="1" x14ac:dyDescent="0.35">
      <c r="A129" s="1">
        <v>95</v>
      </c>
      <c r="B129" s="17" t="s">
        <v>189</v>
      </c>
      <c r="C129" s="15" t="s">
        <v>77</v>
      </c>
    </row>
    <row r="130" spans="1:3" ht="15" customHeight="1" x14ac:dyDescent="0.35">
      <c r="A130" s="1">
        <v>96</v>
      </c>
      <c r="B130" s="17" t="s">
        <v>190</v>
      </c>
      <c r="C130" s="15" t="s">
        <v>77</v>
      </c>
    </row>
    <row r="131" spans="1:3" ht="15" customHeight="1" x14ac:dyDescent="0.35">
      <c r="A131" s="1">
        <v>97</v>
      </c>
      <c r="B131" s="17" t="s">
        <v>191</v>
      </c>
      <c r="C131" s="15" t="s">
        <v>77</v>
      </c>
    </row>
    <row r="132" spans="1:3" ht="15" customHeight="1" x14ac:dyDescent="0.35">
      <c r="A132" s="1">
        <v>98</v>
      </c>
      <c r="B132" s="17" t="s">
        <v>192</v>
      </c>
      <c r="C132" s="15" t="s">
        <v>77</v>
      </c>
    </row>
    <row r="133" spans="1:3" ht="15" customHeight="1" x14ac:dyDescent="0.35">
      <c r="A133" s="1">
        <v>99</v>
      </c>
      <c r="B133" s="17" t="s">
        <v>193</v>
      </c>
      <c r="C133" s="15" t="s">
        <v>77</v>
      </c>
    </row>
    <row r="134" spans="1:3" ht="15" customHeight="1" x14ac:dyDescent="0.35">
      <c r="A134" s="1">
        <v>100</v>
      </c>
      <c r="B134" s="17" t="s">
        <v>194</v>
      </c>
      <c r="C134" s="15" t="s">
        <v>77</v>
      </c>
    </row>
    <row r="135" spans="1:3" ht="15" customHeight="1" x14ac:dyDescent="0.35">
      <c r="A135" s="1">
        <v>101</v>
      </c>
      <c r="B135" s="17" t="s">
        <v>195</v>
      </c>
      <c r="C135" s="15" t="s">
        <v>77</v>
      </c>
    </row>
    <row r="136" spans="1:3" ht="15" customHeight="1" x14ac:dyDescent="0.35">
      <c r="A136" s="1">
        <v>102</v>
      </c>
      <c r="B136" s="17" t="s">
        <v>196</v>
      </c>
      <c r="C136" s="15" t="s">
        <v>77</v>
      </c>
    </row>
    <row r="137" spans="1:3" ht="15" customHeight="1" x14ac:dyDescent="0.35">
      <c r="A137" s="1">
        <v>103</v>
      </c>
      <c r="B137" s="17" t="s">
        <v>197</v>
      </c>
      <c r="C137" s="15" t="s">
        <v>77</v>
      </c>
    </row>
    <row r="138" spans="1:3" ht="15" customHeight="1" x14ac:dyDescent="0.35">
      <c r="A138" s="1">
        <v>104</v>
      </c>
      <c r="B138" s="17" t="s">
        <v>198</v>
      </c>
      <c r="C138" s="15" t="s">
        <v>18</v>
      </c>
    </row>
    <row r="139" spans="1:3" ht="15" customHeight="1" x14ac:dyDescent="0.35">
      <c r="A139" s="1">
        <v>105</v>
      </c>
      <c r="B139" s="17" t="s">
        <v>199</v>
      </c>
      <c r="C139" s="15" t="s">
        <v>18</v>
      </c>
    </row>
    <row r="140" spans="1:3" ht="15" customHeight="1" x14ac:dyDescent="0.35">
      <c r="A140" s="1">
        <v>106</v>
      </c>
      <c r="B140" s="17" t="s">
        <v>200</v>
      </c>
      <c r="C140" s="15" t="s">
        <v>18</v>
      </c>
    </row>
    <row r="141" spans="1:3" ht="15" customHeight="1" x14ac:dyDescent="0.35">
      <c r="A141" s="1">
        <v>107</v>
      </c>
      <c r="B141" s="17" t="s">
        <v>201</v>
      </c>
      <c r="C141" s="15" t="s">
        <v>77</v>
      </c>
    </row>
    <row r="142" spans="1:3" ht="15" customHeight="1" x14ac:dyDescent="0.35">
      <c r="A142" s="1">
        <v>108</v>
      </c>
      <c r="B142" s="17" t="s">
        <v>202</v>
      </c>
      <c r="C142" s="15" t="s">
        <v>77</v>
      </c>
    </row>
    <row r="143" spans="1:3" ht="15" customHeight="1" x14ac:dyDescent="0.35">
      <c r="A143" s="1">
        <v>109</v>
      </c>
      <c r="B143" s="17" t="s">
        <v>203</v>
      </c>
      <c r="C143" s="15" t="s">
        <v>77</v>
      </c>
    </row>
    <row r="144" spans="1:3" ht="15" customHeight="1" x14ac:dyDescent="0.35">
      <c r="A144" s="1">
        <v>110</v>
      </c>
      <c r="B144" s="17" t="s">
        <v>204</v>
      </c>
      <c r="C144" s="15" t="s">
        <v>77</v>
      </c>
    </row>
    <row r="145" spans="1:3" ht="15" customHeight="1" x14ac:dyDescent="0.35">
      <c r="A145" s="1">
        <v>111</v>
      </c>
      <c r="B145" s="17" t="s">
        <v>205</v>
      </c>
      <c r="C145" s="15" t="s">
        <v>77</v>
      </c>
    </row>
    <row r="146" spans="1:3" ht="15" customHeight="1" x14ac:dyDescent="0.35">
      <c r="A146" s="1">
        <v>112</v>
      </c>
      <c r="B146" s="17" t="s">
        <v>206</v>
      </c>
      <c r="C146" s="15" t="s">
        <v>18</v>
      </c>
    </row>
    <row r="147" spans="1:3" ht="15" customHeight="1" x14ac:dyDescent="0.35">
      <c r="A147" s="1">
        <v>113</v>
      </c>
      <c r="B147" s="17" t="s">
        <v>207</v>
      </c>
      <c r="C147" s="15" t="s">
        <v>18</v>
      </c>
    </row>
    <row r="148" spans="1:3" ht="15" customHeight="1" x14ac:dyDescent="0.35">
      <c r="A148" s="1">
        <v>114</v>
      </c>
      <c r="B148" s="17" t="s">
        <v>208</v>
      </c>
      <c r="C148" s="15" t="s">
        <v>18</v>
      </c>
    </row>
    <row r="149" spans="1:3" ht="15" customHeight="1" x14ac:dyDescent="0.35">
      <c r="A149" s="1">
        <v>115</v>
      </c>
      <c r="B149" s="17" t="s">
        <v>209</v>
      </c>
      <c r="C149" s="15" t="s">
        <v>18</v>
      </c>
    </row>
    <row r="150" spans="1:3" ht="15" customHeight="1" x14ac:dyDescent="0.35">
      <c r="A150" s="1">
        <v>116</v>
      </c>
      <c r="B150" s="17" t="s">
        <v>210</v>
      </c>
      <c r="C150" s="15" t="s">
        <v>18</v>
      </c>
    </row>
    <row r="151" spans="1:3" ht="15" customHeight="1" x14ac:dyDescent="0.35">
      <c r="A151" s="1">
        <v>117</v>
      </c>
      <c r="B151" s="17" t="s">
        <v>211</v>
      </c>
      <c r="C151" s="15" t="s">
        <v>18</v>
      </c>
    </row>
    <row r="152" spans="1:3" ht="15" customHeight="1" x14ac:dyDescent="0.35">
      <c r="A152" s="1">
        <v>118</v>
      </c>
      <c r="B152" s="17" t="s">
        <v>212</v>
      </c>
      <c r="C152" s="15" t="s">
        <v>18</v>
      </c>
    </row>
    <row r="153" spans="1:3" ht="15" customHeight="1" x14ac:dyDescent="0.35">
      <c r="A153" s="1">
        <v>119</v>
      </c>
      <c r="B153" s="17" t="s">
        <v>213</v>
      </c>
      <c r="C153" s="15" t="s">
        <v>18</v>
      </c>
    </row>
    <row r="154" spans="1:3" ht="15" customHeight="1" x14ac:dyDescent="0.35">
      <c r="A154" s="1">
        <v>120</v>
      </c>
      <c r="B154" s="17" t="s">
        <v>214</v>
      </c>
      <c r="C154" s="15" t="s">
        <v>18</v>
      </c>
    </row>
    <row r="155" spans="1:3" ht="15" customHeight="1" x14ac:dyDescent="0.35">
      <c r="A155" s="1">
        <v>121</v>
      </c>
      <c r="B155" s="17" t="s">
        <v>215</v>
      </c>
      <c r="C155" s="15" t="s">
        <v>18</v>
      </c>
    </row>
    <row r="156" spans="1:3" ht="15" customHeight="1" x14ac:dyDescent="0.35">
      <c r="A156" s="1">
        <v>122</v>
      </c>
      <c r="B156" s="17" t="s">
        <v>216</v>
      </c>
      <c r="C156" s="15" t="s">
        <v>18</v>
      </c>
    </row>
    <row r="157" spans="1:3" ht="15" customHeight="1" x14ac:dyDescent="0.35">
      <c r="A157" s="1">
        <v>123</v>
      </c>
      <c r="B157" s="17" t="s">
        <v>217</v>
      </c>
      <c r="C157" s="15" t="s">
        <v>18</v>
      </c>
    </row>
    <row r="158" spans="1:3" ht="15" customHeight="1" x14ac:dyDescent="0.35">
      <c r="A158" s="1">
        <v>124</v>
      </c>
      <c r="B158" s="17" t="s">
        <v>218</v>
      </c>
      <c r="C158" s="15" t="s">
        <v>18</v>
      </c>
    </row>
    <row r="159" spans="1:3" ht="15" customHeight="1" x14ac:dyDescent="0.35">
      <c r="A159" s="1">
        <v>125</v>
      </c>
      <c r="B159" s="17" t="s">
        <v>219</v>
      </c>
      <c r="C159" s="15" t="s">
        <v>18</v>
      </c>
    </row>
    <row r="160" spans="1:3" ht="15" customHeight="1" x14ac:dyDescent="0.35">
      <c r="A160" s="1">
        <v>126</v>
      </c>
      <c r="B160" s="17" t="s">
        <v>220</v>
      </c>
      <c r="C160" s="15" t="s">
        <v>18</v>
      </c>
    </row>
    <row r="161" spans="1:3" ht="15" customHeight="1" x14ac:dyDescent="0.35">
      <c r="A161" s="1">
        <v>127</v>
      </c>
      <c r="B161" s="17" t="s">
        <v>221</v>
      </c>
      <c r="C161" s="15" t="s">
        <v>18</v>
      </c>
    </row>
    <row r="162" spans="1:3" ht="15" customHeight="1" x14ac:dyDescent="0.35">
      <c r="A162" s="1">
        <v>128</v>
      </c>
      <c r="B162" s="17" t="s">
        <v>222</v>
      </c>
      <c r="C162" s="15" t="s">
        <v>18</v>
      </c>
    </row>
    <row r="163" spans="1:3" ht="15" customHeight="1" x14ac:dyDescent="0.35">
      <c r="A163" s="1">
        <v>129</v>
      </c>
      <c r="B163" s="17" t="s">
        <v>223</v>
      </c>
      <c r="C163" s="15" t="s">
        <v>18</v>
      </c>
    </row>
    <row r="164" spans="1:3" ht="15" customHeight="1" x14ac:dyDescent="0.35">
      <c r="A164" s="1">
        <v>130</v>
      </c>
      <c r="B164" s="17" t="s">
        <v>224</v>
      </c>
      <c r="C164" s="15" t="s">
        <v>18</v>
      </c>
    </row>
    <row r="165" spans="1:3" ht="15" customHeight="1" x14ac:dyDescent="0.35">
      <c r="A165" s="1">
        <v>131</v>
      </c>
      <c r="B165" s="17" t="s">
        <v>225</v>
      </c>
      <c r="C165" s="15" t="s">
        <v>18</v>
      </c>
    </row>
  </sheetData>
  <autoFilter ref="A2:F165" xr:uid="{00000000-0009-0000-0000-000001000000}"/>
  <mergeCells count="1">
    <mergeCell ref="A1:F1"/>
  </mergeCells>
  <pageMargins left="0.7" right="0.7" top="0.75" bottom="0.75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Centralizator FO Proconect</vt:lpstr>
      <vt:lpstr>Anexa 3</vt:lpstr>
      <vt:lpstr>'Centralizator FO Proconect'!Print_Area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Felix TIBREA</dc:creator>
  <cp:keywords/>
  <dc:description/>
  <cp:lastModifiedBy>Sorin Zubasco</cp:lastModifiedBy>
  <cp:revision/>
  <dcterms:created xsi:type="dcterms:W3CDTF">2022-12-12T07:51:48Z</dcterms:created>
  <dcterms:modified xsi:type="dcterms:W3CDTF">2026-07-27T05:39:32Z</dcterms:modified>
  <cp:category/>
  <cp:contentStatus/>
</cp:coreProperties>
</file>