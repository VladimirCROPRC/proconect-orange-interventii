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proconectro-my.sharepoint.com/personal/acceptante_proconect_ro/Documents/OROC + ORO/Orange/"/>
    </mc:Choice>
  </mc:AlternateContent>
  <xr:revisionPtr revIDLastSave="77624" documentId="8_{F8E0E993-35B1-4805-B5F6-7D8A28C7F740}" xr6:coauthVersionLast="47" xr6:coauthVersionMax="47" xr10:uidLastSave="{2290C91A-3D5F-4BA7-99DC-3D23CC818A12}"/>
  <bookViews>
    <workbookView xWindow="28680" yWindow="-195" windowWidth="29040" windowHeight="15720" firstSheet="5" activeTab="5" xr2:uid="{0AC19861-1B49-47FF-AFA3-53566B4026BB}"/>
  </bookViews>
  <sheets>
    <sheet name="PBM" sheetId="3" r:id="rId1"/>
    <sheet name="Status QAF - 2024" sheetId="7" state="hidden" r:id="rId2"/>
    <sheet name="Lucrari build WO" sheetId="5" state="hidden" r:id="rId3"/>
    <sheet name="WO" sheetId="10" r:id="rId4"/>
    <sheet name="SLA" sheetId="9" r:id="rId5"/>
    <sheet name="Tichete corective Orange" sheetId="2" r:id="rId6"/>
    <sheet name="Lucrari programate SW" sheetId="4" r:id="rId7"/>
    <sheet name="Predare de amplasement" sheetId="8" r:id="rId8"/>
  </sheets>
  <definedNames>
    <definedName name="_xlnm._FilterDatabase" localSheetId="5" hidden="1">'Tichete corective Orange'!$D$1040:$D$1040</definedName>
    <definedName name="N1P1">'Tichete corective Orange'!$O$1:$O$1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01" i="2" l="1"/>
  <c r="A1902" i="2"/>
  <c r="A1903" i="2"/>
  <c r="A1904" i="2"/>
  <c r="A1905" i="2"/>
  <c r="A1906" i="2"/>
  <c r="A1907" i="2"/>
  <c r="A1908" i="2"/>
  <c r="A1909" i="2"/>
  <c r="A1910" i="2"/>
  <c r="A1911" i="2"/>
  <c r="A1912" i="2"/>
  <c r="A1913" i="2"/>
  <c r="A1914" i="2"/>
  <c r="A1915" i="2"/>
  <c r="A1916" i="2"/>
  <c r="A1917" i="2"/>
  <c r="A1918" i="2"/>
  <c r="A1900" i="2"/>
  <c r="A1899" i="2"/>
  <c r="A1898" i="2"/>
  <c r="A1897" i="2"/>
  <c r="A1877" i="2"/>
  <c r="A1868" i="2"/>
  <c r="A1870" i="2"/>
  <c r="A1871" i="2"/>
  <c r="A1872" i="2"/>
  <c r="A1873" i="2"/>
  <c r="A1874" i="2"/>
  <c r="A1875" i="2"/>
  <c r="A1876" i="2"/>
  <c r="A1878" i="2"/>
  <c r="A1879" i="2"/>
  <c r="A1880" i="2"/>
  <c r="A1881" i="2"/>
  <c r="A1882" i="2"/>
  <c r="A1883" i="2"/>
  <c r="A1884" i="2"/>
  <c r="A1885" i="2"/>
  <c r="A1886" i="2"/>
  <c r="A1887" i="2"/>
  <c r="A1888" i="2"/>
  <c r="A1889" i="2"/>
  <c r="A1890" i="2"/>
  <c r="A1891" i="2"/>
  <c r="A1892" i="2"/>
  <c r="A1893" i="2"/>
  <c r="A1894" i="2"/>
  <c r="A1895" i="2"/>
  <c r="A1860" i="2"/>
  <c r="A1866" i="2"/>
  <c r="A1867" i="2"/>
  <c r="A1869" i="2"/>
  <c r="A1896" i="2"/>
  <c r="A1865" i="2"/>
  <c r="A1838" i="2"/>
  <c r="A1839" i="2"/>
  <c r="A1840" i="2"/>
  <c r="A1841" i="2"/>
  <c r="A1842" i="2"/>
  <c r="A1843" i="2"/>
  <c r="A1844" i="2"/>
  <c r="A1845" i="2"/>
  <c r="A1846" i="2"/>
  <c r="A1847" i="2"/>
  <c r="A1848" i="2"/>
  <c r="A1849" i="2"/>
  <c r="A1850" i="2"/>
  <c r="A1851" i="2"/>
  <c r="A1852" i="2"/>
  <c r="A1853" i="2"/>
  <c r="A1854" i="2"/>
  <c r="A1855" i="2"/>
  <c r="A1856" i="2"/>
  <c r="A1857" i="2"/>
  <c r="A1858" i="2"/>
  <c r="A1859" i="2"/>
  <c r="A1861" i="2"/>
  <c r="A1862" i="2"/>
  <c r="A1863" i="2"/>
  <c r="A1864" i="2"/>
  <c r="A1837" i="2"/>
  <c r="A1831" i="2"/>
  <c r="A1832" i="2"/>
  <c r="A1833" i="2"/>
  <c r="A1834" i="2"/>
  <c r="A1835" i="2"/>
  <c r="A1836" i="2"/>
  <c r="A1830" i="2"/>
  <c r="A1829" i="2"/>
  <c r="A1828" i="2"/>
  <c r="A1827" i="2"/>
  <c r="A1826" i="2"/>
  <c r="A1825" i="2"/>
  <c r="A1824" i="2"/>
  <c r="A1823" i="2"/>
  <c r="A1822" i="2"/>
  <c r="A1821" i="2"/>
  <c r="A1820" i="2"/>
  <c r="A1819" i="2"/>
  <c r="A1818" i="2"/>
  <c r="A1817" i="2"/>
  <c r="A1815" i="2"/>
  <c r="A1816" i="2"/>
  <c r="A1808" i="2"/>
  <c r="A1809" i="2"/>
  <c r="A1810" i="2"/>
  <c r="A1811" i="2"/>
  <c r="A1812" i="2"/>
  <c r="A1813" i="2"/>
  <c r="A1814" i="2"/>
  <c r="A1631" i="2"/>
  <c r="A1807" i="2"/>
  <c r="A1806" i="2"/>
  <c r="A1805" i="2"/>
  <c r="A1804" i="2"/>
  <c r="A1803" i="2"/>
  <c r="A1802" i="2"/>
  <c r="A1801" i="2"/>
  <c r="A1800" i="2"/>
  <c r="A1799" i="2"/>
  <c r="A1798" i="2"/>
  <c r="A1794" i="2"/>
  <c r="A1795" i="2"/>
  <c r="A1796" i="2"/>
  <c r="A1797" i="2"/>
  <c r="A1793" i="2"/>
  <c r="A1792" i="2"/>
  <c r="A1791" i="2"/>
  <c r="A1790" i="2"/>
  <c r="A1789" i="2"/>
  <c r="A1788" i="2"/>
  <c r="A1787" i="2"/>
  <c r="A1786" i="2"/>
  <c r="A1785" i="2"/>
  <c r="A1768" i="2"/>
  <c r="A1772" i="2"/>
  <c r="A1773" i="2"/>
  <c r="A1774" i="2"/>
  <c r="A1775" i="2"/>
  <c r="A1776" i="2"/>
  <c r="A1777" i="2"/>
  <c r="A1778" i="2"/>
  <c r="A1751" i="2"/>
  <c r="A1753" i="2"/>
  <c r="A1766" i="2"/>
  <c r="A1767" i="2"/>
  <c r="A1769" i="2"/>
  <c r="A1770" i="2"/>
  <c r="A1771" i="2"/>
  <c r="A1779" i="2"/>
  <c r="A1780" i="2"/>
  <c r="A1781" i="2"/>
  <c r="A1782" i="2"/>
  <c r="A1783" i="2"/>
  <c r="A1784" i="2"/>
  <c r="A1765" i="2"/>
  <c r="A1764" i="2"/>
  <c r="A1763" i="2"/>
  <c r="A1762" i="2"/>
  <c r="A1761" i="2"/>
  <c r="A1749" i="2"/>
  <c r="A1744" i="2"/>
  <c r="A1745" i="2"/>
  <c r="A1746" i="2"/>
  <c r="A1747" i="2"/>
  <c r="A1748" i="2"/>
  <c r="A1750" i="2"/>
  <c r="A1752" i="2"/>
  <c r="A1754" i="2"/>
  <c r="A1755" i="2"/>
  <c r="A1756" i="2"/>
  <c r="A1757" i="2"/>
  <c r="A1758" i="2"/>
  <c r="A1759" i="2"/>
  <c r="A1760" i="2"/>
  <c r="A1609" i="2"/>
  <c r="A1735" i="2"/>
  <c r="A1736" i="2"/>
  <c r="A1737" i="2"/>
  <c r="A1738" i="2"/>
  <c r="A1739" i="2"/>
  <c r="A1740" i="2"/>
  <c r="A1741" i="2"/>
  <c r="A1742" i="2"/>
  <c r="A1743" i="2"/>
  <c r="A1726" i="2"/>
  <c r="A1727" i="2"/>
  <c r="A1728" i="2"/>
  <c r="A1729" i="2"/>
  <c r="A1730" i="2"/>
  <c r="A1731" i="2"/>
  <c r="A1732" i="2"/>
  <c r="A1733" i="2"/>
  <c r="A1716" i="2"/>
  <c r="A1717" i="2"/>
  <c r="A1718" i="2"/>
  <c r="A1719" i="2"/>
  <c r="A1720" i="2"/>
  <c r="A1721" i="2"/>
  <c r="A1722" i="2"/>
  <c r="A1723" i="2"/>
  <c r="A1724" i="2"/>
  <c r="A1725" i="2"/>
  <c r="A1734" i="2"/>
  <c r="A1715" i="2"/>
  <c r="A1714" i="2"/>
  <c r="A1713" i="2"/>
  <c r="A1712" i="2"/>
  <c r="A1711" i="2"/>
  <c r="A1710" i="2"/>
  <c r="A1709" i="2"/>
  <c r="A1708" i="2"/>
  <c r="A1707" i="2"/>
  <c r="A1706" i="2"/>
  <c r="A1705" i="2"/>
  <c r="A1704" i="2"/>
  <c r="A1703" i="2"/>
  <c r="A1702" i="2"/>
  <c r="A1701" i="2"/>
  <c r="A1700" i="2"/>
  <c r="A1699" i="2"/>
  <c r="A1698" i="2"/>
  <c r="A1693" i="2"/>
  <c r="A1694" i="2"/>
  <c r="A1695" i="2"/>
  <c r="A1696" i="2"/>
  <c r="A1697" i="2"/>
  <c r="A1692" i="2"/>
  <c r="A1691" i="2"/>
  <c r="A1690" i="2"/>
  <c r="A1689" i="2"/>
  <c r="A1608" i="2"/>
  <c r="A1670" i="2"/>
  <c r="A1671" i="2"/>
  <c r="A1672" i="2"/>
  <c r="A1673" i="2"/>
  <c r="A1674" i="2"/>
  <c r="A1675" i="2"/>
  <c r="A1676" i="2"/>
  <c r="A1677" i="2"/>
  <c r="A1678" i="2"/>
  <c r="A1666" i="2"/>
  <c r="A1667" i="2"/>
  <c r="A1668" i="2"/>
  <c r="A1669" i="2"/>
  <c r="A1679" i="2"/>
  <c r="A1680" i="2"/>
  <c r="A1681" i="2"/>
  <c r="A1682" i="2"/>
  <c r="A1683" i="2"/>
  <c r="A1684" i="2"/>
  <c r="A1685" i="2"/>
  <c r="A1686" i="2"/>
  <c r="A1687" i="2"/>
  <c r="A1657" i="2"/>
  <c r="A1658" i="2"/>
  <c r="A1659" i="2"/>
  <c r="A1660" i="2"/>
  <c r="A1661" i="2"/>
  <c r="A1662" i="2"/>
  <c r="A1663" i="2"/>
  <c r="A1664" i="2"/>
  <c r="A1665" i="2"/>
  <c r="A1688" i="2"/>
  <c r="A1650" i="2"/>
  <c r="A1651" i="2"/>
  <c r="A1652" i="2"/>
  <c r="A1653" i="2"/>
  <c r="A1654" i="2"/>
  <c r="A1655" i="2"/>
  <c r="A1656" i="2"/>
  <c r="A1628" i="2"/>
  <c r="A1629" i="2"/>
  <c r="A1630" i="2"/>
  <c r="A1632" i="2"/>
  <c r="A1633" i="2"/>
  <c r="A1634" i="2"/>
  <c r="A1635" i="2"/>
  <c r="A1636" i="2"/>
  <c r="A1637" i="2"/>
  <c r="A1638" i="2"/>
  <c r="A1639" i="2"/>
  <c r="A1640" i="2"/>
  <c r="A1641" i="2"/>
  <c r="A1642" i="2"/>
  <c r="A1643" i="2"/>
  <c r="A1644" i="2"/>
  <c r="A1645" i="2"/>
  <c r="A1646" i="2"/>
  <c r="A1647" i="2"/>
  <c r="A1648" i="2"/>
  <c r="A1649" i="2"/>
  <c r="A1627" i="2"/>
  <c r="A1626" i="2"/>
  <c r="A1625" i="2"/>
  <c r="A1624" i="2"/>
  <c r="A1623" i="2"/>
  <c r="A1202" i="2"/>
  <c r="A1617" i="2"/>
  <c r="A1618" i="2"/>
  <c r="A1619" i="2"/>
  <c r="A1620" i="2"/>
  <c r="A1621" i="2"/>
  <c r="A1622" i="2"/>
  <c r="A1578" i="2"/>
  <c r="A1577" i="2"/>
  <c r="A1576" i="2"/>
  <c r="A1575" i="2"/>
  <c r="A1574" i="2"/>
  <c r="A1573" i="2"/>
  <c r="A1607" i="2"/>
  <c r="A1610" i="2"/>
  <c r="A1611" i="2"/>
  <c r="A1612" i="2"/>
  <c r="A1613" i="2"/>
  <c r="A1598" i="2"/>
  <c r="A1599" i="2"/>
  <c r="A1600" i="2"/>
  <c r="A1601" i="2"/>
  <c r="A1602" i="2"/>
  <c r="A1603" i="2"/>
  <c r="A1604" i="2"/>
  <c r="A1605" i="2"/>
  <c r="A1606" i="2"/>
  <c r="A1614" i="2"/>
  <c r="A1615" i="2"/>
  <c r="A1579" i="2"/>
  <c r="A1584" i="2"/>
  <c r="A1572" i="2"/>
  <c r="A1580" i="2"/>
  <c r="A1581" i="2"/>
  <c r="A1582" i="2"/>
  <c r="A1583" i="2"/>
  <c r="A1585" i="2"/>
  <c r="A1586" i="2"/>
  <c r="A1587" i="2"/>
  <c r="A1588" i="2"/>
  <c r="A1589" i="2"/>
  <c r="A1590" i="2"/>
  <c r="A1591" i="2"/>
  <c r="A1592" i="2"/>
  <c r="A1593" i="2"/>
  <c r="A1594" i="2"/>
  <c r="A1595" i="2"/>
  <c r="A1596" i="2"/>
  <c r="A1597" i="2"/>
  <c r="A1616" i="2"/>
  <c r="A1565" i="2"/>
  <c r="A1566" i="2"/>
  <c r="A1567" i="2"/>
  <c r="A1568" i="2"/>
  <c r="A1569" i="2"/>
  <c r="A1570" i="2"/>
  <c r="A1571" i="2"/>
  <c r="A1552" i="2"/>
  <c r="A1564" i="2"/>
  <c r="A1563" i="2"/>
  <c r="A1562" i="2"/>
  <c r="A1551" i="2"/>
  <c r="A1553" i="2"/>
  <c r="A1554" i="2"/>
  <c r="A1555" i="2"/>
  <c r="A1556" i="2"/>
  <c r="A1557" i="2"/>
  <c r="A1558" i="2"/>
  <c r="A1559" i="2"/>
  <c r="A1560" i="2"/>
  <c r="A1561" i="2"/>
  <c r="A1550" i="2"/>
  <c r="A1549" i="2"/>
  <c r="A1548" i="2"/>
  <c r="A1547" i="2"/>
  <c r="A1546" i="2"/>
  <c r="A1545" i="2"/>
  <c r="A1544" i="2"/>
  <c r="A1543" i="2"/>
  <c r="A1542" i="2"/>
  <c r="A1541" i="2"/>
  <c r="A1540" i="2"/>
  <c r="A1539" i="2"/>
  <c r="A1538" i="2"/>
  <c r="A1537" i="2"/>
  <c r="A1536" i="2"/>
  <c r="A1527" i="2"/>
  <c r="A1528" i="2"/>
  <c r="A1529" i="2"/>
  <c r="A1530" i="2"/>
  <c r="A1531" i="2"/>
  <c r="A1532" i="2"/>
  <c r="A1533" i="2"/>
  <c r="A1534" i="2"/>
  <c r="A1535" i="2"/>
  <c r="A1526" i="2"/>
  <c r="A1525" i="2"/>
  <c r="A1524" i="2"/>
  <c r="A1523" i="2"/>
  <c r="A1522" i="2"/>
  <c r="A1521" i="2"/>
  <c r="A1520" i="2"/>
  <c r="A1519" i="2"/>
  <c r="A1518" i="2"/>
  <c r="A1517" i="2"/>
  <c r="A1506" i="2"/>
  <c r="A1507" i="2"/>
  <c r="A1508" i="2"/>
  <c r="A1509" i="2"/>
  <c r="A1510" i="2"/>
  <c r="A1511" i="2"/>
  <c r="A1512" i="2"/>
  <c r="A1513" i="2"/>
  <c r="A1514" i="2"/>
  <c r="A1515" i="2"/>
  <c r="A1516" i="2"/>
  <c r="A1505" i="2"/>
  <c r="A1504" i="2"/>
  <c r="A1503" i="2"/>
  <c r="A1502" i="2"/>
  <c r="A1501" i="2"/>
  <c r="A1500" i="2"/>
  <c r="A1499" i="2"/>
  <c r="A1498" i="2"/>
  <c r="A1485" i="2"/>
  <c r="A1486" i="2"/>
  <c r="A1487" i="2"/>
  <c r="A1488" i="2"/>
  <c r="A1489" i="2"/>
  <c r="A1490" i="2"/>
  <c r="A1491" i="2"/>
  <c r="A1492" i="2"/>
  <c r="A1493" i="2"/>
  <c r="A1494" i="2"/>
  <c r="A1495" i="2"/>
  <c r="A1496" i="2"/>
  <c r="A1497" i="2"/>
  <c r="A1484" i="2"/>
  <c r="A1478" i="2"/>
  <c r="A1479" i="2"/>
  <c r="A1480" i="2"/>
  <c r="A1481" i="2"/>
  <c r="A1482" i="2"/>
  <c r="A1483" i="2"/>
  <c r="A1477" i="2"/>
  <c r="A1476" i="2"/>
  <c r="A1475" i="2"/>
  <c r="A1474" i="2"/>
  <c r="A1473" i="2"/>
  <c r="A1472" i="2"/>
  <c r="A1471" i="2"/>
  <c r="A1470" i="2"/>
  <c r="A1469" i="2"/>
  <c r="A1468" i="2"/>
  <c r="A1467" i="2"/>
  <c r="A1466" i="2"/>
  <c r="A1465" i="2"/>
  <c r="A1464" i="2"/>
  <c r="A1463" i="2"/>
  <c r="A1462" i="2"/>
  <c r="A1461" i="2"/>
  <c r="A1460" i="2"/>
  <c r="A1454" i="2"/>
  <c r="A1455" i="2"/>
  <c r="A1456" i="2"/>
  <c r="A1457" i="2"/>
  <c r="A1458" i="2"/>
  <c r="A1459" i="2"/>
  <c r="A1453" i="2"/>
  <c r="A1452" i="2"/>
  <c r="A1451" i="2"/>
  <c r="A1450" i="2"/>
  <c r="A1449" i="2"/>
  <c r="A1448" i="2"/>
  <c r="A1447" i="2"/>
  <c r="A1434" i="2"/>
  <c r="A1435" i="2"/>
  <c r="A1436" i="2"/>
  <c r="A1437" i="2"/>
  <c r="A1438" i="2"/>
  <c r="A1439" i="2"/>
  <c r="A1440" i="2"/>
  <c r="A1441" i="2"/>
  <c r="A1442" i="2"/>
  <c r="A1443" i="2"/>
  <c r="A1444" i="2"/>
  <c r="A1445" i="2"/>
  <c r="A1446" i="2"/>
  <c r="A1433" i="2"/>
  <c r="A1388" i="2"/>
  <c r="A1404" i="2"/>
  <c r="A1408" i="2"/>
  <c r="A1407" i="2"/>
  <c r="A1409" i="2"/>
  <c r="A1410" i="2"/>
  <c r="A1411" i="2"/>
  <c r="A1412" i="2"/>
  <c r="A1413" i="2"/>
  <c r="A1414" i="2"/>
  <c r="A1415" i="2"/>
  <c r="A1416" i="2"/>
  <c r="A1417" i="2"/>
  <c r="A1418" i="2"/>
  <c r="A1419" i="2"/>
  <c r="A1420" i="2"/>
  <c r="A1421" i="2"/>
  <c r="A1422" i="2"/>
  <c r="A1423" i="2"/>
  <c r="A1424" i="2"/>
  <c r="A1425" i="2"/>
  <c r="A1400" i="2"/>
  <c r="A1401" i="2"/>
  <c r="A1402" i="2"/>
  <c r="A1403" i="2"/>
  <c r="A1405" i="2"/>
  <c r="A1406" i="2"/>
  <c r="A1426" i="2"/>
  <c r="A1427" i="2"/>
  <c r="A1428" i="2"/>
  <c r="A1429" i="2"/>
  <c r="A1430" i="2"/>
  <c r="A1431" i="2"/>
  <c r="A1432" i="2"/>
  <c r="A1399" i="2"/>
  <c r="A1398" i="2"/>
  <c r="A1396" i="2"/>
  <c r="A1397" i="2"/>
  <c r="A1395" i="2"/>
  <c r="A1394" i="2"/>
  <c r="A1393" i="2"/>
  <c r="A1392" i="2"/>
  <c r="A1391" i="2"/>
  <c r="A1390" i="2"/>
  <c r="A1389" i="2"/>
  <c r="A1387" i="2"/>
  <c r="A1386" i="2"/>
  <c r="A1385" i="2"/>
  <c r="A1384" i="2"/>
  <c r="A1383" i="2"/>
  <c r="A1382" i="2"/>
  <c r="A1381" i="2"/>
  <c r="A1380" i="2"/>
  <c r="A1379" i="2"/>
  <c r="A1378" i="2"/>
  <c r="A1377" i="2"/>
  <c r="A1376" i="2"/>
  <c r="A1375" i="2"/>
  <c r="A1374" i="2"/>
  <c r="A1373" i="2"/>
  <c r="A1372" i="2"/>
  <c r="A1354" i="2"/>
  <c r="A1355" i="2"/>
  <c r="A1356" i="2"/>
  <c r="A1357" i="2"/>
  <c r="A1358" i="2"/>
  <c r="A1359" i="2"/>
  <c r="A1360" i="2"/>
  <c r="A1361" i="2"/>
  <c r="A1362" i="2"/>
  <c r="A1343" i="2"/>
  <c r="A1344" i="2"/>
  <c r="A1345" i="2"/>
  <c r="A1346" i="2"/>
  <c r="A1347" i="2"/>
  <c r="A1348" i="2"/>
  <c r="A1349" i="2"/>
  <c r="A1350" i="2"/>
  <c r="A1351" i="2"/>
  <c r="A1352" i="2"/>
  <c r="A1353" i="2"/>
  <c r="A1363" i="2"/>
  <c r="A1364" i="2"/>
  <c r="A1365" i="2"/>
  <c r="A1331" i="2"/>
  <c r="A1332" i="2"/>
  <c r="A1333" i="2"/>
  <c r="A1334" i="2"/>
  <c r="A1335" i="2"/>
  <c r="A1336" i="2"/>
  <c r="A1337" i="2"/>
  <c r="A1338" i="2"/>
  <c r="A1339" i="2"/>
  <c r="A1340" i="2"/>
  <c r="A1341" i="2"/>
  <c r="A1342" i="2"/>
  <c r="A1366" i="2"/>
  <c r="A1367" i="2"/>
  <c r="A1368" i="2"/>
  <c r="A1369" i="2"/>
  <c r="A1320" i="2"/>
  <c r="A1321" i="2"/>
  <c r="A1322" i="2"/>
  <c r="A1323" i="2"/>
  <c r="A1324" i="2"/>
  <c r="A1325" i="2"/>
  <c r="A1326" i="2"/>
  <c r="A1327" i="2"/>
  <c r="A1328" i="2"/>
  <c r="A1329" i="2"/>
  <c r="A1330" i="2"/>
  <c r="A1370" i="2"/>
  <c r="A1371" i="2"/>
  <c r="A1318" i="2"/>
  <c r="A1319" i="2"/>
  <c r="A1307" i="2"/>
  <c r="A1308" i="2"/>
  <c r="A1309" i="2"/>
  <c r="A1310" i="2"/>
  <c r="A1311" i="2"/>
  <c r="A1312" i="2"/>
  <c r="A1313" i="2"/>
  <c r="A1314" i="2"/>
  <c r="A1315" i="2"/>
  <c r="A1316" i="2"/>
  <c r="A1317" i="2"/>
  <c r="A1306" i="2"/>
  <c r="A1305" i="2"/>
  <c r="A1304" i="2"/>
  <c r="A1297" i="2"/>
  <c r="A1298" i="2"/>
  <c r="A1299" i="2"/>
  <c r="A1300" i="2"/>
  <c r="A1301" i="2"/>
  <c r="A1302" i="2"/>
  <c r="A1303" i="2"/>
  <c r="A1296" i="2"/>
  <c r="A1295" i="2"/>
  <c r="A1294" i="2"/>
  <c r="A1293" i="2"/>
  <c r="A1292" i="2"/>
  <c r="A1280" i="2"/>
  <c r="A1281" i="2"/>
  <c r="A1282" i="2"/>
  <c r="A1283" i="2"/>
  <c r="A1284" i="2"/>
  <c r="A1285" i="2"/>
  <c r="A1286" i="2"/>
  <c r="A1287" i="2"/>
  <c r="A1288" i="2"/>
  <c r="A1289" i="2"/>
  <c r="A1290" i="2"/>
  <c r="A1291" i="2"/>
  <c r="A1273" i="2"/>
  <c r="A1268" i="2"/>
  <c r="A1269" i="2"/>
  <c r="A1270" i="2"/>
  <c r="A1271" i="2"/>
  <c r="A1272" i="2"/>
  <c r="A1274" i="2"/>
  <c r="A1275" i="2"/>
  <c r="A1276" i="2"/>
  <c r="A1277" i="2"/>
  <c r="A1278" i="2"/>
  <c r="A1279" i="2"/>
  <c r="A1267" i="2"/>
  <c r="A1266" i="2"/>
  <c r="A1265" i="2"/>
  <c r="A1264" i="2"/>
  <c r="A1263" i="2"/>
  <c r="A1262" i="2"/>
  <c r="A1261" i="2"/>
  <c r="A1260" i="2"/>
  <c r="A1259" i="2"/>
  <c r="A1258" i="2"/>
  <c r="A1257" i="2"/>
  <c r="A1256" i="2"/>
  <c r="A1255" i="2"/>
  <c r="A1254" i="2"/>
  <c r="A1253" i="2"/>
  <c r="A1252" i="2"/>
  <c r="A1251" i="2"/>
  <c r="A1241" i="2"/>
  <c r="A1242" i="2"/>
  <c r="A1243" i="2"/>
  <c r="A1244" i="2"/>
  <c r="A1245" i="2"/>
  <c r="A1246" i="2"/>
  <c r="A1247" i="2"/>
  <c r="A1248" i="2"/>
  <c r="A1249" i="2"/>
  <c r="A1250" i="2"/>
  <c r="A1240" i="2"/>
  <c r="A1239" i="2"/>
  <c r="A1238" i="2"/>
  <c r="A1237" i="2"/>
  <c r="A1236" i="2"/>
  <c r="A1235" i="2"/>
  <c r="A1234" i="2"/>
  <c r="A1233" i="2"/>
  <c r="A1232" i="2"/>
  <c r="A1231" i="2"/>
  <c r="A1230" i="2"/>
  <c r="A1229" i="2"/>
  <c r="A1154" i="2"/>
  <c r="A1210" i="2"/>
  <c r="A1211" i="2"/>
  <c r="A1212" i="2"/>
  <c r="A1213" i="2"/>
  <c r="A1214" i="2"/>
  <c r="A1215" i="2"/>
  <c r="A1216" i="2"/>
  <c r="A1217" i="2"/>
  <c r="A1218" i="2"/>
  <c r="A1219" i="2"/>
  <c r="A1220" i="2"/>
  <c r="A1221" i="2"/>
  <c r="A1222" i="2"/>
  <c r="A1223" i="2"/>
  <c r="A1224" i="2"/>
  <c r="A1225" i="2"/>
  <c r="A1226" i="2"/>
  <c r="A1228" i="2"/>
  <c r="A1227" i="2"/>
  <c r="A1209" i="2"/>
  <c r="A1208" i="2"/>
  <c r="A1193" i="2"/>
  <c r="A1194" i="2"/>
  <c r="A1195" i="2"/>
  <c r="A1196" i="2"/>
  <c r="A1197" i="2"/>
  <c r="A1198" i="2"/>
  <c r="A1199" i="2"/>
  <c r="A1200" i="2"/>
  <c r="A1201" i="2"/>
  <c r="A1203" i="2"/>
  <c r="A1204" i="2"/>
  <c r="A1205" i="2"/>
  <c r="A1207" i="2"/>
  <c r="A1206" i="2"/>
  <c r="A1192" i="2"/>
  <c r="A1191" i="2"/>
  <c r="A1190" i="2"/>
  <c r="A1189" i="2"/>
  <c r="A1188" i="2"/>
  <c r="A1187" i="2"/>
  <c r="A1186" i="2"/>
  <c r="A1185" i="2"/>
  <c r="A1184" i="2"/>
  <c r="A1183" i="2"/>
  <c r="A1182" i="2"/>
  <c r="A1181" i="2"/>
  <c r="A1180" i="2"/>
  <c r="A1179" i="2"/>
  <c r="A1178" i="2"/>
  <c r="A1177" i="2"/>
  <c r="A1176" i="2"/>
  <c r="A1175" i="2"/>
  <c r="A1174" i="2"/>
  <c r="A1173" i="2"/>
  <c r="A1172" i="2"/>
  <c r="A1171" i="2"/>
  <c r="A1170" i="2"/>
  <c r="A1169" i="2"/>
  <c r="A1168" i="2"/>
  <c r="A1167" i="2"/>
  <c r="A1166" i="2"/>
  <c r="A1165" i="2"/>
  <c r="A1164" i="2"/>
  <c r="A1163" i="2"/>
  <c r="A1162" i="2"/>
  <c r="A1161" i="2"/>
  <c r="A1160" i="2"/>
  <c r="A1159" i="2"/>
  <c r="A1158" i="2"/>
  <c r="A1157" i="2"/>
  <c r="A1156" i="2"/>
  <c r="A1155" i="2"/>
  <c r="A1146" i="2"/>
  <c r="A1153" i="2"/>
  <c r="A1152" i="2"/>
  <c r="A1129" i="2"/>
  <c r="A1130" i="2"/>
  <c r="A1131" i="2"/>
  <c r="A1132" i="2"/>
  <c r="A1133" i="2"/>
  <c r="A1134" i="2"/>
  <c r="A1135" i="2"/>
  <c r="A1136" i="2"/>
  <c r="A1137" i="2"/>
  <c r="A1138" i="2"/>
  <c r="A1139" i="2"/>
  <c r="A1118" i="2"/>
  <c r="A1119" i="2"/>
  <c r="A1120" i="2"/>
  <c r="A1121" i="2"/>
  <c r="A1122" i="2"/>
  <c r="A1123" i="2"/>
  <c r="A1124" i="2"/>
  <c r="A1125" i="2"/>
  <c r="A1126" i="2"/>
  <c r="A1127" i="2"/>
  <c r="A1128" i="2"/>
  <c r="A1140" i="2"/>
  <c r="A1141" i="2"/>
  <c r="A1142" i="2"/>
  <c r="A1143" i="2"/>
  <c r="A1144" i="2"/>
  <c r="A1145" i="2"/>
  <c r="A1147" i="2"/>
  <c r="A1148" i="2"/>
  <c r="A1149" i="2"/>
  <c r="A1150" i="2"/>
  <c r="A1151" i="2"/>
  <c r="A1117" i="2"/>
  <c r="A1102" i="2"/>
  <c r="A1103" i="2"/>
  <c r="A1104" i="2"/>
  <c r="A1105" i="2"/>
  <c r="A1106" i="2"/>
  <c r="A1107" i="2"/>
  <c r="A1108" i="2"/>
  <c r="A1109" i="2"/>
  <c r="A1110" i="2"/>
  <c r="A1111" i="2"/>
  <c r="A1112" i="2"/>
  <c r="A1113" i="2"/>
  <c r="A1114" i="2"/>
  <c r="A1115" i="2"/>
  <c r="A1116" i="2"/>
  <c r="A1101" i="2"/>
  <c r="A1100" i="2"/>
  <c r="A1099" i="2"/>
  <c r="A1098" i="2"/>
  <c r="A1096" i="2"/>
  <c r="A1097" i="2"/>
  <c r="A1095" i="2"/>
  <c r="A1076" i="2"/>
  <c r="A1077" i="2"/>
  <c r="A1078" i="2"/>
  <c r="A1079" i="2"/>
  <c r="A1080" i="2"/>
  <c r="A1081" i="2"/>
  <c r="A1082" i="2"/>
  <c r="A1083" i="2"/>
  <c r="A1084" i="2"/>
  <c r="A1085" i="2"/>
  <c r="A1086" i="2"/>
  <c r="A1087" i="2"/>
  <c r="A1088" i="2"/>
  <c r="A1089" i="2"/>
  <c r="A1090" i="2"/>
  <c r="A1091" i="2"/>
  <c r="A1092" i="2"/>
  <c r="A1093" i="2"/>
  <c r="A1094" i="2"/>
  <c r="A1060" i="2"/>
  <c r="A1061" i="2"/>
  <c r="A1062" i="2"/>
  <c r="A1063" i="2"/>
  <c r="A1064" i="2"/>
  <c r="A1065" i="2"/>
  <c r="A1066" i="2"/>
  <c r="A1067" i="2"/>
  <c r="A1068" i="2"/>
  <c r="A1069" i="2"/>
  <c r="A1070" i="2"/>
  <c r="A1071" i="2"/>
  <c r="A1072" i="2"/>
  <c r="A1073" i="2"/>
  <c r="A1054" i="2"/>
  <c r="A1055" i="2"/>
  <c r="A1056" i="2"/>
  <c r="A1057" i="2"/>
  <c r="A1058" i="2"/>
  <c r="A1059" i="2"/>
  <c r="A1074" i="2"/>
  <c r="A1075" i="2"/>
  <c r="A1043" i="2"/>
  <c r="A1044" i="2"/>
  <c r="A1045" i="2"/>
  <c r="A1046" i="2"/>
  <c r="A1047" i="2"/>
  <c r="A1048" i="2"/>
  <c r="A1049" i="2"/>
  <c r="A1050" i="2"/>
  <c r="A1051" i="2"/>
  <c r="A1052" i="2"/>
  <c r="A1053" i="2"/>
  <c r="A1042" i="2"/>
  <c r="A1041" i="2"/>
  <c r="A1040" i="2"/>
  <c r="A1027" i="2"/>
  <c r="A1028" i="2"/>
  <c r="A1029" i="2"/>
  <c r="A1030" i="2"/>
  <c r="A1031" i="2"/>
  <c r="A1032" i="2"/>
  <c r="A1033" i="2"/>
  <c r="A1034" i="2"/>
  <c r="A1035" i="2"/>
  <c r="A1036" i="2"/>
  <c r="A1037" i="2"/>
  <c r="A1038" i="2"/>
  <c r="A1039" i="2"/>
  <c r="P914" i="2"/>
  <c r="O914" i="2"/>
  <c r="P897" i="2"/>
  <c r="O897" i="2"/>
  <c r="P895" i="2"/>
  <c r="O895" i="2"/>
  <c r="P893" i="2"/>
  <c r="O893" i="2"/>
  <c r="P892" i="2"/>
  <c r="O892" i="2"/>
  <c r="P891" i="2"/>
  <c r="O891" i="2"/>
  <c r="P890" i="2"/>
  <c r="O890" i="2"/>
  <c r="P887" i="2"/>
  <c r="O887" i="2"/>
  <c r="P872" i="2"/>
  <c r="O872" i="2"/>
  <c r="A1016" i="2"/>
  <c r="A1017" i="2"/>
  <c r="A1018" i="2"/>
  <c r="A1019" i="2"/>
  <c r="A1020" i="2"/>
  <c r="A1021" i="2"/>
  <c r="A1022" i="2"/>
  <c r="A1023" i="2"/>
  <c r="A1024" i="2"/>
  <c r="A1025" i="2"/>
  <c r="A1026" i="2"/>
  <c r="A1015" i="2"/>
  <c r="A1014" i="2"/>
  <c r="A1013" i="2"/>
  <c r="A1012" i="2"/>
  <c r="A1011" i="2"/>
  <c r="A1005" i="2"/>
  <c r="A1006" i="2"/>
  <c r="A1007" i="2"/>
  <c r="A1008" i="2"/>
  <c r="A1009" i="2"/>
  <c r="A1010" i="2"/>
  <c r="A720" i="2"/>
  <c r="A991" i="2"/>
  <c r="A992" i="2"/>
  <c r="A993" i="2"/>
  <c r="A994" i="2"/>
  <c r="A995" i="2"/>
  <c r="A996" i="2"/>
  <c r="A997" i="2"/>
  <c r="A998" i="2"/>
  <c r="A999" i="2"/>
  <c r="A1000" i="2"/>
  <c r="A1001" i="2"/>
  <c r="A1002" i="2"/>
  <c r="A1003" i="2"/>
  <c r="A976" i="2"/>
  <c r="A975" i="2"/>
  <c r="A974" i="2"/>
  <c r="A973" i="2"/>
  <c r="A970" i="2"/>
  <c r="A971" i="2"/>
  <c r="A972" i="2"/>
  <c r="A968" i="2"/>
  <c r="A969" i="2"/>
  <c r="A977" i="2"/>
  <c r="A978" i="2"/>
  <c r="A979" i="2"/>
  <c r="A980" i="2"/>
  <c r="A981" i="2"/>
  <c r="A982" i="2"/>
  <c r="A983" i="2"/>
  <c r="A984" i="2"/>
  <c r="A985" i="2"/>
  <c r="A986" i="2"/>
  <c r="A987" i="2"/>
  <c r="A988" i="2"/>
  <c r="A989" i="2"/>
  <c r="A990" i="2"/>
  <c r="A959" i="2"/>
  <c r="A960" i="2"/>
  <c r="A961" i="2"/>
  <c r="A962" i="2"/>
  <c r="A963" i="2"/>
  <c r="A964" i="2"/>
  <c r="A965" i="2"/>
  <c r="A966" i="2"/>
  <c r="A967" i="2"/>
  <c r="A1004" i="2"/>
  <c r="A953" i="2"/>
  <c r="A954" i="2"/>
  <c r="A955" i="2"/>
  <c r="A956" i="2"/>
  <c r="A957" i="2"/>
  <c r="A958" i="2"/>
  <c r="A945" i="2"/>
  <c r="A946" i="2"/>
  <c r="A947" i="2"/>
  <c r="A948" i="2"/>
  <c r="A949" i="2"/>
  <c r="A950" i="2"/>
  <c r="A951" i="2"/>
  <c r="A952" i="2"/>
  <c r="A944" i="2"/>
  <c r="A943" i="2"/>
  <c r="A942" i="2"/>
  <c r="A941" i="2"/>
  <c r="A940" i="2"/>
  <c r="A932" i="2"/>
  <c r="A933" i="2"/>
  <c r="A934" i="2"/>
  <c r="A935" i="2"/>
  <c r="A936" i="2"/>
  <c r="A937" i="2"/>
  <c r="A938" i="2"/>
  <c r="A939" i="2"/>
  <c r="A931" i="2"/>
  <c r="A923" i="2"/>
  <c r="A924" i="2"/>
  <c r="A925" i="2"/>
  <c r="A926" i="2"/>
  <c r="A927" i="2"/>
  <c r="A928" i="2"/>
  <c r="A929" i="2"/>
  <c r="A930" i="2"/>
  <c r="A913" i="2"/>
  <c r="A914" i="2"/>
  <c r="A915" i="2"/>
  <c r="A916" i="2"/>
  <c r="A917" i="2"/>
  <c r="A918" i="2"/>
  <c r="A919" i="2"/>
  <c r="A920" i="2"/>
  <c r="A921" i="2"/>
  <c r="A922" i="2"/>
  <c r="A912" i="2"/>
  <c r="A911" i="2"/>
  <c r="A910" i="2"/>
  <c r="A909" i="2"/>
  <c r="A908" i="2"/>
  <c r="A907" i="2"/>
  <c r="A906" i="2"/>
  <c r="A905" i="2"/>
  <c r="A904" i="2"/>
  <c r="A903" i="2"/>
  <c r="A902" i="2"/>
  <c r="A901" i="2"/>
  <c r="A900" i="2"/>
  <c r="A899" i="2"/>
  <c r="A898" i="2"/>
  <c r="A897" i="2"/>
  <c r="A896" i="2"/>
  <c r="A895" i="2"/>
  <c r="A890" i="2"/>
  <c r="A891" i="2"/>
  <c r="A892" i="2"/>
  <c r="A893" i="2"/>
  <c r="A894"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54" i="2"/>
  <c r="A851" i="2"/>
  <c r="A852" i="2"/>
  <c r="A853" i="2"/>
  <c r="A855" i="2"/>
  <c r="A856" i="2"/>
  <c r="A857" i="2"/>
  <c r="A858" i="2"/>
  <c r="A859" i="2"/>
  <c r="A860" i="2"/>
  <c r="A838" i="2"/>
  <c r="A839" i="2"/>
  <c r="A840" i="2"/>
  <c r="A841" i="2"/>
  <c r="A842" i="2"/>
  <c r="A843" i="2"/>
  <c r="A844" i="2"/>
  <c r="A845" i="2"/>
  <c r="A846" i="2"/>
  <c r="A847" i="2"/>
  <c r="A848" i="2"/>
  <c r="A849" i="2"/>
  <c r="A850" i="2"/>
  <c r="A861" i="2"/>
  <c r="A862" i="2"/>
  <c r="A863" i="2"/>
  <c r="A837" i="2"/>
  <c r="A836" i="2"/>
  <c r="A831" i="2"/>
  <c r="A832" i="2"/>
  <c r="A833" i="2"/>
  <c r="A834" i="2"/>
  <c r="A835" i="2"/>
  <c r="A814" i="2"/>
  <c r="A815" i="2"/>
  <c r="A816" i="2"/>
  <c r="A817" i="2"/>
  <c r="A818" i="2"/>
  <c r="A819" i="2"/>
  <c r="A820" i="2"/>
  <c r="A821" i="2"/>
  <c r="A822" i="2"/>
  <c r="A823" i="2"/>
  <c r="A824" i="2"/>
  <c r="A825" i="2"/>
  <c r="A826" i="2"/>
  <c r="A827" i="2"/>
  <c r="A828" i="2"/>
  <c r="A829" i="2"/>
  <c r="A830" i="2"/>
  <c r="A813" i="2"/>
  <c r="A808" i="2"/>
  <c r="A809" i="2"/>
  <c r="A810" i="2"/>
  <c r="A811" i="2"/>
  <c r="A812" i="2"/>
  <c r="A807" i="2"/>
  <c r="A805" i="2"/>
  <c r="A806" i="2"/>
  <c r="A804" i="2"/>
  <c r="A796" i="2"/>
  <c r="A797" i="2"/>
  <c r="A798" i="2"/>
  <c r="A799" i="2"/>
  <c r="A800" i="2"/>
  <c r="A801" i="2"/>
  <c r="A802" i="2"/>
  <c r="A803" i="2"/>
  <c r="A795" i="2"/>
  <c r="A794" i="2"/>
  <c r="A793" i="2"/>
  <c r="A792" i="2"/>
  <c r="A779" i="2"/>
  <c r="A780" i="2"/>
  <c r="A781" i="2"/>
  <c r="A782" i="2"/>
  <c r="A783" i="2"/>
  <c r="A784" i="2"/>
  <c r="A785" i="2"/>
  <c r="A786" i="2"/>
  <c r="A787" i="2"/>
  <c r="A788" i="2"/>
  <c r="A789" i="2"/>
  <c r="A790" i="2"/>
  <c r="A791" i="2"/>
  <c r="A778" i="2"/>
  <c r="A777" i="2"/>
  <c r="A776" i="2"/>
  <c r="A775" i="2"/>
  <c r="A774" i="2"/>
  <c r="A773" i="2"/>
  <c r="A547" i="2"/>
  <c r="A768" i="2"/>
  <c r="A769" i="2"/>
  <c r="A770" i="2"/>
  <c r="A771" i="2"/>
  <c r="A772" i="2"/>
  <c r="A764" i="2"/>
  <c r="A765" i="2"/>
  <c r="A766" i="2"/>
  <c r="A767" i="2"/>
  <c r="A745" i="2"/>
  <c r="A746" i="2"/>
  <c r="A747" i="2"/>
  <c r="A755" i="2"/>
  <c r="A756" i="2"/>
  <c r="A757" i="2"/>
  <c r="A758" i="2"/>
  <c r="A759" i="2"/>
  <c r="A760" i="2"/>
  <c r="A761" i="2"/>
  <c r="A762" i="2"/>
  <c r="A763" i="2"/>
  <c r="A748" i="2"/>
  <c r="A749" i="2"/>
  <c r="A750" i="2"/>
  <c r="A751" i="2"/>
  <c r="A752" i="2"/>
  <c r="A753" i="2"/>
  <c r="A754" i="2"/>
  <c r="A736" i="2"/>
  <c r="A737" i="2"/>
  <c r="A738" i="2"/>
  <c r="A739" i="2"/>
  <c r="A740" i="2"/>
  <c r="A741" i="2"/>
  <c r="A742" i="2"/>
  <c r="A743" i="2"/>
  <c r="A744" i="2"/>
  <c r="A731" i="2"/>
  <c r="A732" i="2"/>
  <c r="A733" i="2"/>
  <c r="A734" i="2"/>
  <c r="A735" i="2"/>
  <c r="A730" i="2"/>
  <c r="A719" i="2"/>
  <c r="A722" i="2"/>
  <c r="A715" i="2"/>
  <c r="A716" i="2"/>
  <c r="A717" i="2"/>
  <c r="A718" i="2"/>
  <c r="A721" i="2"/>
  <c r="A723" i="2"/>
  <c r="A698" i="2"/>
  <c r="A699" i="2"/>
  <c r="A700" i="2"/>
  <c r="A703" i="2"/>
  <c r="A704" i="2"/>
  <c r="A705" i="2"/>
  <c r="A724" i="2"/>
  <c r="A725" i="2"/>
  <c r="A726" i="2"/>
  <c r="A727" i="2"/>
  <c r="A728" i="2"/>
  <c r="A729" i="2"/>
  <c r="A697" i="2"/>
  <c r="A696" i="2"/>
  <c r="A695" i="2"/>
  <c r="A694" i="2"/>
  <c r="A693" i="2"/>
  <c r="A687" i="2" l="1"/>
  <c r="A688" i="2"/>
  <c r="A689" i="2"/>
  <c r="A690" i="2"/>
  <c r="A691" i="2"/>
  <c r="A692" i="2"/>
  <c r="A686" i="2"/>
  <c r="A685" i="2"/>
  <c r="A684" i="2"/>
  <c r="A683" i="2"/>
  <c r="A682" i="2"/>
  <c r="A678" i="2"/>
  <c r="A670" i="2"/>
  <c r="A671" i="2"/>
  <c r="A672" i="2"/>
  <c r="A673" i="2"/>
  <c r="A674" i="2"/>
  <c r="A675" i="2"/>
  <c r="A676" i="2"/>
  <c r="A677" i="2"/>
  <c r="A679" i="2"/>
  <c r="A680" i="2"/>
  <c r="A681" i="2"/>
  <c r="A669" i="2"/>
  <c r="A658" i="2"/>
  <c r="A668" i="2"/>
  <c r="A667" i="2"/>
  <c r="A666" i="2"/>
  <c r="A665" i="2"/>
  <c r="A664" i="2"/>
  <c r="A656" i="2"/>
  <c r="A657" i="2"/>
  <c r="A659" i="2"/>
  <c r="A660" i="2"/>
  <c r="A661" i="2"/>
  <c r="A662" i="2"/>
  <c r="A663" i="2"/>
  <c r="A655" i="2"/>
  <c r="A654" i="2"/>
  <c r="A651" i="2"/>
  <c r="A652" i="2"/>
  <c r="A653" i="2"/>
  <c r="A639" i="2"/>
  <c r="A640" i="2"/>
  <c r="A641" i="2"/>
  <c r="A642" i="2"/>
  <c r="A643" i="2"/>
  <c r="A644" i="2"/>
  <c r="A645" i="2"/>
  <c r="A646" i="2"/>
  <c r="A647" i="2"/>
  <c r="A648" i="2"/>
  <c r="A649" i="2"/>
  <c r="A650" i="2"/>
  <c r="A638" i="2"/>
  <c r="A637" i="2"/>
  <c r="A636" i="2"/>
  <c r="A635" i="2"/>
  <c r="A634" i="2"/>
  <c r="A633" i="2"/>
  <c r="A632" i="2"/>
  <c r="A627" i="2"/>
  <c r="A626" i="2"/>
  <c r="A625"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202"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2" i="3"/>
  <c r="A3" i="7"/>
  <c r="A2" i="8"/>
  <c r="A3" i="8"/>
  <c r="A4" i="8"/>
  <c r="A5" i="8"/>
  <c r="A6" i="8"/>
  <c r="A7" i="8"/>
  <c r="A8" i="8"/>
  <c r="C20" i="7"/>
  <c r="C21" i="7"/>
  <c r="C22"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C2" i="7"/>
  <c r="C3" i="7"/>
  <c r="C4" i="7"/>
  <c r="C5" i="7"/>
  <c r="C6" i="7"/>
  <c r="C7" i="7"/>
  <c r="C8" i="7"/>
  <c r="C9" i="7"/>
  <c r="C10" i="7"/>
  <c r="C11" i="7"/>
  <c r="C12" i="7"/>
  <c r="C13" i="7"/>
  <c r="C14" i="7"/>
  <c r="C15" i="7"/>
  <c r="C16" i="7"/>
  <c r="C17" i="7"/>
  <c r="C18" i="7"/>
  <c r="C19"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B36" i="7"/>
  <c r="B37" i="7"/>
  <c r="B38" i="7"/>
  <c r="B39" i="7"/>
  <c r="B40" i="7"/>
  <c r="B41" i="7"/>
  <c r="B42" i="7"/>
  <c r="B43" i="7"/>
  <c r="B44" i="7"/>
  <c r="B45" i="7"/>
  <c r="B46" i="7"/>
  <c r="B47" i="7"/>
  <c r="B48" i="7"/>
  <c r="B49" i="7"/>
  <c r="B50" i="7"/>
  <c r="B51" i="7"/>
  <c r="B52" i="7"/>
  <c r="B53" i="7"/>
  <c r="B54" i="7"/>
  <c r="B55" i="7"/>
  <c r="B56" i="7"/>
  <c r="B57" i="7"/>
  <c r="B58" i="7"/>
  <c r="B18" i="7"/>
  <c r="B19" i="7"/>
  <c r="B20" i="7"/>
  <c r="B21" i="7"/>
  <c r="B22" i="7"/>
  <c r="B23" i="7"/>
  <c r="B24" i="7"/>
  <c r="B25" i="7"/>
  <c r="B26" i="7"/>
  <c r="B27" i="7"/>
  <c r="B28" i="7"/>
  <c r="B29" i="7"/>
  <c r="B30" i="7"/>
  <c r="B31" i="7"/>
  <c r="B32" i="7"/>
  <c r="B33" i="7"/>
  <c r="B34" i="7"/>
  <c r="B35" i="7"/>
  <c r="B3" i="7"/>
  <c r="B4" i="7"/>
  <c r="B5" i="7"/>
  <c r="B6" i="7"/>
  <c r="B7" i="7"/>
  <c r="B8" i="7"/>
  <c r="B9" i="7"/>
  <c r="B10" i="7"/>
  <c r="B11" i="7"/>
  <c r="B12" i="7"/>
  <c r="B13" i="7"/>
  <c r="B14" i="7"/>
  <c r="B15" i="7"/>
  <c r="B16" i="7"/>
  <c r="B17" i="7"/>
  <c r="B2" i="7"/>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2" i="7"/>
  <c r="A5" i="7"/>
  <c r="A4"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3" i="3" l="1"/>
  <c r="A4" i="3" s="1"/>
  <c r="A5" i="3"/>
  <c r="A6" i="3" s="1"/>
  <c r="A7" i="3" s="1"/>
  <c r="A8" i="3" s="1"/>
  <c r="A9" i="3" s="1"/>
  <c r="A10" i="3"/>
  <c r="A11" i="3"/>
  <c r="A12" i="3"/>
  <c r="A13" i="3"/>
  <c r="A14" i="3"/>
  <c r="A15" i="3"/>
  <c r="A16" i="3"/>
  <c r="A17" i="3"/>
  <c r="A18" i="3"/>
  <c r="A19" i="3"/>
  <c r="A20" i="3"/>
  <c r="A21" i="3"/>
  <c r="A22" i="3"/>
  <c r="A23"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24"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2">
    <bk>
      <extLst>
        <ext uri="{3e2802c4-a4d2-4d8b-9148-e3be6c30e623}">
          <xlrd:rvb i="0"/>
        </ext>
      </extLst>
    </bk>
    <bk>
      <extLst>
        <ext uri="{3e2802c4-a4d2-4d8b-9148-e3be6c30e623}">
          <xlrd:rvb i="18"/>
        </ext>
      </extLst>
    </bk>
    <bk>
      <extLst>
        <ext uri="{3e2802c4-a4d2-4d8b-9148-e3be6c30e623}">
          <xlrd:rvb i="35"/>
        </ext>
      </extLst>
    </bk>
    <bk>
      <extLst>
        <ext uri="{3e2802c4-a4d2-4d8b-9148-e3be6c30e623}">
          <xlrd:rvb i="45"/>
        </ext>
      </extLst>
    </bk>
    <bk>
      <extLst>
        <ext uri="{3e2802c4-a4d2-4d8b-9148-e3be6c30e623}">
          <xlrd:rvb i="46"/>
        </ext>
      </extLst>
    </bk>
    <bk>
      <extLst>
        <ext uri="{3e2802c4-a4d2-4d8b-9148-e3be6c30e623}">
          <xlrd:rvb i="70"/>
        </ext>
      </extLst>
    </bk>
    <bk>
      <extLst>
        <ext uri="{3e2802c4-a4d2-4d8b-9148-e3be6c30e623}">
          <xlrd:rvb i="71"/>
        </ext>
      </extLst>
    </bk>
    <bk>
      <extLst>
        <ext uri="{3e2802c4-a4d2-4d8b-9148-e3be6c30e623}">
          <xlrd:rvb i="87"/>
        </ext>
      </extLst>
    </bk>
    <bk>
      <extLst>
        <ext uri="{3e2802c4-a4d2-4d8b-9148-e3be6c30e623}">
          <xlrd:rvb i="97"/>
        </ext>
      </extLst>
    </bk>
    <bk>
      <extLst>
        <ext uri="{3e2802c4-a4d2-4d8b-9148-e3be6c30e623}">
          <xlrd:rvb i="98"/>
        </ext>
      </extLst>
    </bk>
    <bk>
      <extLst>
        <ext uri="{3e2802c4-a4d2-4d8b-9148-e3be6c30e623}">
          <xlrd:rvb i="113"/>
        </ext>
      </extLst>
    </bk>
    <bk>
      <extLst>
        <ext uri="{3e2802c4-a4d2-4d8b-9148-e3be6c30e623}">
          <xlrd:rvb i="120"/>
        </ext>
      </extLst>
    </bk>
    <bk>
      <extLst>
        <ext uri="{3e2802c4-a4d2-4d8b-9148-e3be6c30e623}">
          <xlrd:rvb i="137"/>
        </ext>
      </extLst>
    </bk>
    <bk>
      <extLst>
        <ext uri="{3e2802c4-a4d2-4d8b-9148-e3be6c30e623}">
          <xlrd:rvb i="147"/>
        </ext>
      </extLst>
    </bk>
    <bk>
      <extLst>
        <ext uri="{3e2802c4-a4d2-4d8b-9148-e3be6c30e623}">
          <xlrd:rvb i="157"/>
        </ext>
      </extLst>
    </bk>
    <bk>
      <extLst>
        <ext uri="{3e2802c4-a4d2-4d8b-9148-e3be6c30e623}">
          <xlrd:rvb i="158"/>
        </ext>
      </extLst>
    </bk>
    <bk>
      <extLst>
        <ext uri="{3e2802c4-a4d2-4d8b-9148-e3be6c30e623}">
          <xlrd:rvb i="184"/>
        </ext>
      </extLst>
    </bk>
    <bk>
      <extLst>
        <ext uri="{3e2802c4-a4d2-4d8b-9148-e3be6c30e623}">
          <xlrd:rvb i="208"/>
        </ext>
      </extLst>
    </bk>
    <bk>
      <extLst>
        <ext uri="{3e2802c4-a4d2-4d8b-9148-e3be6c30e623}">
          <xlrd:rvb i="209"/>
        </ext>
      </extLst>
    </bk>
    <bk>
      <extLst>
        <ext uri="{3e2802c4-a4d2-4d8b-9148-e3be6c30e623}">
          <xlrd:rvb i="235"/>
        </ext>
      </extLst>
    </bk>
    <bk>
      <extLst>
        <ext uri="{3e2802c4-a4d2-4d8b-9148-e3be6c30e623}">
          <xlrd:rvb i="236"/>
        </ext>
      </extLst>
    </bk>
    <bk>
      <extLst>
        <ext uri="{3e2802c4-a4d2-4d8b-9148-e3be6c30e623}">
          <xlrd:rvb i="261"/>
        </ext>
      </extLst>
    </bk>
    <bk>
      <extLst>
        <ext uri="{3e2802c4-a4d2-4d8b-9148-e3be6c30e623}">
          <xlrd:rvb i="305"/>
        </ext>
      </extLst>
    </bk>
    <bk>
      <extLst>
        <ext uri="{3e2802c4-a4d2-4d8b-9148-e3be6c30e623}">
          <xlrd:rvb i="320"/>
        </ext>
      </extLst>
    </bk>
    <bk>
      <extLst>
        <ext uri="{3e2802c4-a4d2-4d8b-9148-e3be6c30e623}">
          <xlrd:rvb i="269"/>
        </ext>
      </extLst>
    </bk>
    <bk>
      <extLst>
        <ext uri="{3e2802c4-a4d2-4d8b-9148-e3be6c30e623}">
          <xlrd:rvb i="330"/>
        </ext>
      </extLst>
    </bk>
    <bk>
      <extLst>
        <ext uri="{3e2802c4-a4d2-4d8b-9148-e3be6c30e623}">
          <xlrd:rvb i="346"/>
        </ext>
      </extLst>
    </bk>
    <bk>
      <extLst>
        <ext uri="{3e2802c4-a4d2-4d8b-9148-e3be6c30e623}">
          <xlrd:rvb i="356"/>
        </ext>
      </extLst>
    </bk>
    <bk>
      <extLst>
        <ext uri="{3e2802c4-a4d2-4d8b-9148-e3be6c30e623}">
          <xlrd:rvb i="383"/>
        </ext>
      </extLst>
    </bk>
    <bk>
      <extLst>
        <ext uri="{3e2802c4-a4d2-4d8b-9148-e3be6c30e623}">
          <xlrd:rvb i="391"/>
        </ext>
      </extLst>
    </bk>
    <bk>
      <extLst>
        <ext uri="{3e2802c4-a4d2-4d8b-9148-e3be6c30e623}">
          <xlrd:rvb i="357"/>
        </ext>
      </extLst>
    </bk>
    <bk>
      <extLst>
        <ext uri="{3e2802c4-a4d2-4d8b-9148-e3be6c30e623}">
          <xlrd:rvb i="407"/>
        </ext>
      </extLst>
    </bk>
    <bk>
      <extLst>
        <ext uri="{3e2802c4-a4d2-4d8b-9148-e3be6c30e623}">
          <xlrd:rvb i="417"/>
        </ext>
      </extLst>
    </bk>
    <bk>
      <extLst>
        <ext uri="{3e2802c4-a4d2-4d8b-9148-e3be6c30e623}">
          <xlrd:rvb i="424"/>
        </ext>
      </extLst>
    </bk>
    <bk>
      <extLst>
        <ext uri="{3e2802c4-a4d2-4d8b-9148-e3be6c30e623}">
          <xlrd:rvb i="434"/>
        </ext>
      </extLst>
    </bk>
    <bk>
      <extLst>
        <ext uri="{3e2802c4-a4d2-4d8b-9148-e3be6c30e623}">
          <xlrd:rvb i="450"/>
        </ext>
      </extLst>
    </bk>
    <bk>
      <extLst>
        <ext uri="{3e2802c4-a4d2-4d8b-9148-e3be6c30e623}">
          <xlrd:rvb i="460"/>
        </ext>
      </extLst>
    </bk>
    <bk>
      <extLst>
        <ext uri="{3e2802c4-a4d2-4d8b-9148-e3be6c30e623}">
          <xlrd:rvb i="485"/>
        </ext>
      </extLst>
    </bk>
    <bk>
      <extLst>
        <ext uri="{3e2802c4-a4d2-4d8b-9148-e3be6c30e623}">
          <xlrd:rvb i="495"/>
        </ext>
      </extLst>
    </bk>
    <bk>
      <extLst>
        <ext uri="{3e2802c4-a4d2-4d8b-9148-e3be6c30e623}">
          <xlrd:rvb i="512"/>
        </ext>
      </extLst>
    </bk>
    <bk>
      <extLst>
        <ext uri="{3e2802c4-a4d2-4d8b-9148-e3be6c30e623}">
          <xlrd:rvb i="528"/>
        </ext>
      </extLst>
    </bk>
    <bk>
      <extLst>
        <ext uri="{3e2802c4-a4d2-4d8b-9148-e3be6c30e623}">
          <xlrd:rvb i="538"/>
        </ext>
      </extLst>
    </bk>
    <bk>
      <extLst>
        <ext uri="{3e2802c4-a4d2-4d8b-9148-e3be6c30e623}">
          <xlrd:rvb i="554"/>
        </ext>
      </extLst>
    </bk>
    <bk>
      <extLst>
        <ext uri="{3e2802c4-a4d2-4d8b-9148-e3be6c30e623}">
          <xlrd:rvb i="564"/>
        </ext>
      </extLst>
    </bk>
    <bk>
      <extLst>
        <ext uri="{3e2802c4-a4d2-4d8b-9148-e3be6c30e623}">
          <xlrd:rvb i="574"/>
        </ext>
      </extLst>
    </bk>
    <bk>
      <extLst>
        <ext uri="{3e2802c4-a4d2-4d8b-9148-e3be6c30e623}">
          <xlrd:rvb i="581"/>
        </ext>
      </extLst>
    </bk>
    <bk>
      <extLst>
        <ext uri="{3e2802c4-a4d2-4d8b-9148-e3be6c30e623}">
          <xlrd:rvb i="597"/>
        </ext>
      </extLst>
    </bk>
    <bk>
      <extLst>
        <ext uri="{3e2802c4-a4d2-4d8b-9148-e3be6c30e623}">
          <xlrd:rvb i="605"/>
        </ext>
      </extLst>
    </bk>
    <bk>
      <extLst>
        <ext uri="{3e2802c4-a4d2-4d8b-9148-e3be6c30e623}">
          <xlrd:rvb i="615"/>
        </ext>
      </extLst>
    </bk>
    <bk>
      <extLst>
        <ext uri="{3e2802c4-a4d2-4d8b-9148-e3be6c30e623}">
          <xlrd:rvb i="631"/>
        </ext>
      </extLst>
    </bk>
    <bk>
      <extLst>
        <ext uri="{3e2802c4-a4d2-4d8b-9148-e3be6c30e623}">
          <xlrd:rvb i="638"/>
        </ext>
      </extLst>
    </bk>
    <bk>
      <extLst>
        <ext uri="{3e2802c4-a4d2-4d8b-9148-e3be6c30e623}">
          <xlrd:rvb i="655"/>
        </ext>
      </extLst>
    </bk>
    <bk>
      <extLst>
        <ext uri="{3e2802c4-a4d2-4d8b-9148-e3be6c30e623}">
          <xlrd:rvb i="122"/>
        </ext>
      </extLst>
    </bk>
    <bk>
      <extLst>
        <ext uri="{3e2802c4-a4d2-4d8b-9148-e3be6c30e623}">
          <xlrd:rvb i="665"/>
        </ext>
      </extLst>
    </bk>
    <bk>
      <extLst>
        <ext uri="{3e2802c4-a4d2-4d8b-9148-e3be6c30e623}">
          <xlrd:rvb i="675"/>
        </ext>
      </extLst>
    </bk>
    <bk>
      <extLst>
        <ext uri="{3e2802c4-a4d2-4d8b-9148-e3be6c30e623}">
          <xlrd:rvb i="436"/>
        </ext>
      </extLst>
    </bk>
    <bk>
      <extLst>
        <ext uri="{3e2802c4-a4d2-4d8b-9148-e3be6c30e623}">
          <xlrd:rvb i="733"/>
        </ext>
      </extLst>
    </bk>
    <bk>
      <extLst>
        <ext uri="{3e2802c4-a4d2-4d8b-9148-e3be6c30e623}">
          <xlrd:rvb i="743"/>
        </ext>
      </extLst>
    </bk>
    <bk>
      <extLst>
        <ext uri="{3e2802c4-a4d2-4d8b-9148-e3be6c30e623}">
          <xlrd:rvb i="753"/>
        </ext>
      </extLst>
    </bk>
    <bk>
      <extLst>
        <ext uri="{3e2802c4-a4d2-4d8b-9148-e3be6c30e623}">
          <xlrd:rvb i="761"/>
        </ext>
      </extLst>
    </bk>
    <bk>
      <extLst>
        <ext uri="{3e2802c4-a4d2-4d8b-9148-e3be6c30e623}">
          <xlrd:rvb i="769"/>
        </ext>
      </extLst>
    </bk>
    <bk>
      <extLst>
        <ext uri="{3e2802c4-a4d2-4d8b-9148-e3be6c30e623}">
          <xlrd:rvb i="368"/>
        </ext>
      </extLst>
    </bk>
    <bk>
      <extLst>
        <ext uri="{3e2802c4-a4d2-4d8b-9148-e3be6c30e623}">
          <xlrd:rvb i="779"/>
        </ext>
      </extLst>
    </bk>
    <bk>
      <extLst>
        <ext uri="{3e2802c4-a4d2-4d8b-9148-e3be6c30e623}">
          <xlrd:rvb i="789"/>
        </ext>
      </extLst>
    </bk>
    <bk>
      <extLst>
        <ext uri="{3e2802c4-a4d2-4d8b-9148-e3be6c30e623}">
          <xlrd:rvb i="220"/>
        </ext>
      </extLst>
    </bk>
    <bk>
      <extLst>
        <ext uri="{3e2802c4-a4d2-4d8b-9148-e3be6c30e623}">
          <xlrd:rvb i="799"/>
        </ext>
      </extLst>
    </bk>
    <bk>
      <extLst>
        <ext uri="{3e2802c4-a4d2-4d8b-9148-e3be6c30e623}">
          <xlrd:rvb i="809"/>
        </ext>
      </extLst>
    </bk>
    <bk>
      <extLst>
        <ext uri="{3e2802c4-a4d2-4d8b-9148-e3be6c30e623}">
          <xlrd:rvb i="332"/>
        </ext>
      </extLst>
    </bk>
    <bk>
      <extLst>
        <ext uri="{3e2802c4-a4d2-4d8b-9148-e3be6c30e623}">
          <xlrd:rvb i="817"/>
        </ext>
      </extLst>
    </bk>
    <bk>
      <extLst>
        <ext uri="{3e2802c4-a4d2-4d8b-9148-e3be6c30e623}">
          <xlrd:rvb i="827"/>
        </ext>
      </extLst>
    </bk>
    <bk>
      <extLst>
        <ext uri="{3e2802c4-a4d2-4d8b-9148-e3be6c30e623}">
          <xlrd:rvb i="837"/>
        </ext>
      </extLst>
    </bk>
    <bk>
      <extLst>
        <ext uri="{3e2802c4-a4d2-4d8b-9148-e3be6c30e623}">
          <xlrd:rvb i="263"/>
        </ext>
      </extLst>
    </bk>
    <bk>
      <extLst>
        <ext uri="{3e2802c4-a4d2-4d8b-9148-e3be6c30e623}">
          <xlrd:rvb i="847"/>
        </ext>
      </extLst>
    </bk>
    <bk>
      <extLst>
        <ext uri="{3e2802c4-a4d2-4d8b-9148-e3be6c30e623}">
          <xlrd:rvb i="857"/>
        </ext>
      </extLst>
    </bk>
    <bk>
      <extLst>
        <ext uri="{3e2802c4-a4d2-4d8b-9148-e3be6c30e623}">
          <xlrd:rvb i="867"/>
        </ext>
      </extLst>
    </bk>
    <bk>
      <extLst>
        <ext uri="{3e2802c4-a4d2-4d8b-9148-e3be6c30e623}">
          <xlrd:rvb i="878"/>
        </ext>
      </extLst>
    </bk>
    <bk>
      <extLst>
        <ext uri="{3e2802c4-a4d2-4d8b-9148-e3be6c30e623}">
          <xlrd:rvb i="583"/>
        </ext>
      </extLst>
    </bk>
    <bk>
      <extLst>
        <ext uri="{3e2802c4-a4d2-4d8b-9148-e3be6c30e623}">
          <xlrd:rvb i="514"/>
        </ext>
      </extLst>
    </bk>
    <bk>
      <extLst>
        <ext uri="{3e2802c4-a4d2-4d8b-9148-e3be6c30e623}">
          <xlrd:rvb i="289"/>
        </ext>
      </extLst>
    </bk>
    <bk>
      <extLst>
        <ext uri="{3e2802c4-a4d2-4d8b-9148-e3be6c30e623}">
          <xlrd:rvb i="888"/>
        </ext>
      </extLst>
    </bk>
    <bk>
      <extLst>
        <ext uri="{3e2802c4-a4d2-4d8b-9148-e3be6c30e623}">
          <xlrd:rvb i="895"/>
        </ext>
      </extLst>
    </bk>
    <bk>
      <extLst>
        <ext uri="{3e2802c4-a4d2-4d8b-9148-e3be6c30e623}">
          <xlrd:rvb i="905"/>
        </ext>
      </extLst>
    </bk>
    <bk>
      <extLst>
        <ext uri="{3e2802c4-a4d2-4d8b-9148-e3be6c30e623}">
          <xlrd:rvb i="464"/>
        </ext>
      </extLst>
    </bk>
    <bk>
      <extLst>
        <ext uri="{3e2802c4-a4d2-4d8b-9148-e3be6c30e623}">
          <xlrd:rvb i="915"/>
        </ext>
      </extLst>
    </bk>
    <bk>
      <extLst>
        <ext uri="{3e2802c4-a4d2-4d8b-9148-e3be6c30e623}">
          <xlrd:rvb i="925"/>
        </ext>
      </extLst>
    </bk>
    <bk>
      <extLst>
        <ext uri="{3e2802c4-a4d2-4d8b-9148-e3be6c30e623}">
          <xlrd:rvb i="935"/>
        </ext>
      </extLst>
    </bk>
    <bk>
      <extLst>
        <ext uri="{3e2802c4-a4d2-4d8b-9148-e3be6c30e623}">
          <xlrd:rvb i="945"/>
        </ext>
      </extLst>
    </bk>
    <bk>
      <extLst>
        <ext uri="{3e2802c4-a4d2-4d8b-9148-e3be6c30e623}">
          <xlrd:rvb i="955"/>
        </ext>
      </extLst>
    </bk>
    <bk>
      <extLst>
        <ext uri="{3e2802c4-a4d2-4d8b-9148-e3be6c30e623}">
          <xlrd:rvb i="965"/>
        </ext>
      </extLst>
    </bk>
    <bk>
      <extLst>
        <ext uri="{3e2802c4-a4d2-4d8b-9148-e3be6c30e623}">
          <xlrd:rvb i="972"/>
        </ext>
      </extLst>
    </bk>
    <bk>
      <extLst>
        <ext uri="{3e2802c4-a4d2-4d8b-9148-e3be6c30e623}">
          <xlrd:rvb i="982"/>
        </ext>
      </extLst>
    </bk>
    <bk>
      <extLst>
        <ext uri="{3e2802c4-a4d2-4d8b-9148-e3be6c30e623}">
          <xlrd:rvb i="992"/>
        </ext>
      </extLst>
    </bk>
    <bk>
      <extLst>
        <ext uri="{3e2802c4-a4d2-4d8b-9148-e3be6c30e623}">
          <xlrd:rvb i="1002"/>
        </ext>
      </extLst>
    </bk>
    <bk>
      <extLst>
        <ext uri="{3e2802c4-a4d2-4d8b-9148-e3be6c30e623}">
          <xlrd:rvb i="1012"/>
        </ext>
      </extLst>
    </bk>
    <bk>
      <extLst>
        <ext uri="{3e2802c4-a4d2-4d8b-9148-e3be6c30e623}">
          <xlrd:rvb i="1022"/>
        </ext>
      </extLst>
    </bk>
    <bk>
      <extLst>
        <ext uri="{3e2802c4-a4d2-4d8b-9148-e3be6c30e623}">
          <xlrd:rvb i="1032"/>
        </ext>
      </extLst>
    </bk>
    <bk>
      <extLst>
        <ext uri="{3e2802c4-a4d2-4d8b-9148-e3be6c30e623}">
          <xlrd:rvb i="1042"/>
        </ext>
      </extLst>
    </bk>
    <bk>
      <extLst>
        <ext uri="{3e2802c4-a4d2-4d8b-9148-e3be6c30e623}">
          <xlrd:rvb i="1051"/>
        </ext>
      </extLst>
    </bk>
    <bk>
      <extLst>
        <ext uri="{3e2802c4-a4d2-4d8b-9148-e3be6c30e623}">
          <xlrd:rvb i="1061"/>
        </ext>
      </extLst>
    </bk>
    <bk>
      <extLst>
        <ext uri="{3e2802c4-a4d2-4d8b-9148-e3be6c30e623}">
          <xlrd:rvb i="1071"/>
        </ext>
      </extLst>
    </bk>
    <bk>
      <extLst>
        <ext uri="{3e2802c4-a4d2-4d8b-9148-e3be6c30e623}">
          <xlrd:rvb i="1081"/>
        </ext>
      </extLst>
    </bk>
    <bk>
      <extLst>
        <ext uri="{3e2802c4-a4d2-4d8b-9148-e3be6c30e623}">
          <xlrd:rvb i="1086"/>
        </ext>
      </extLst>
    </bk>
    <bk>
      <extLst>
        <ext uri="{3e2802c4-a4d2-4d8b-9148-e3be6c30e623}">
          <xlrd:rvb i="1096"/>
        </ext>
      </extLst>
    </bk>
    <bk>
      <extLst>
        <ext uri="{3e2802c4-a4d2-4d8b-9148-e3be6c30e623}">
          <xlrd:rvb i="2"/>
        </ext>
      </extLst>
    </bk>
    <bk>
      <extLst>
        <ext uri="{3e2802c4-a4d2-4d8b-9148-e3be6c30e623}">
          <xlrd:rvb i="393"/>
        </ext>
      </extLst>
    </bk>
    <bk>
      <extLst>
        <ext uri="{3e2802c4-a4d2-4d8b-9148-e3be6c30e623}">
          <xlrd:rvb i="1106"/>
        </ext>
      </extLst>
    </bk>
    <bk>
      <extLst>
        <ext uri="{3e2802c4-a4d2-4d8b-9148-e3be6c30e623}">
          <xlrd:rvb i="1116"/>
        </ext>
      </extLst>
    </bk>
    <bk>
      <extLst>
        <ext uri="{3e2802c4-a4d2-4d8b-9148-e3be6c30e623}">
          <xlrd:rvb i="265"/>
        </ext>
      </extLst>
    </bk>
    <bk>
      <extLst>
        <ext uri="{3e2802c4-a4d2-4d8b-9148-e3be6c30e623}">
          <xlrd:rvb i="1126"/>
        </ext>
      </extLst>
    </bk>
    <bk>
      <extLst>
        <ext uri="{3e2802c4-a4d2-4d8b-9148-e3be6c30e623}">
          <xlrd:rvb i="617"/>
        </ext>
      </extLst>
    </bk>
    <bk>
      <extLst>
        <ext uri="{3e2802c4-a4d2-4d8b-9148-e3be6c30e623}">
          <xlrd:rvb i="1136"/>
        </ext>
      </extLst>
    </bk>
    <bk>
      <extLst>
        <ext uri="{3e2802c4-a4d2-4d8b-9148-e3be6c30e623}">
          <xlrd:rvb i="1144"/>
        </ext>
      </extLst>
    </bk>
    <bk>
      <extLst>
        <ext uri="{3e2802c4-a4d2-4d8b-9148-e3be6c30e623}">
          <xlrd:rvb i="1152"/>
        </ext>
      </extLst>
    </bk>
    <bk>
      <extLst>
        <ext uri="{3e2802c4-a4d2-4d8b-9148-e3be6c30e623}">
          <xlrd:rvb i="1160"/>
        </ext>
      </extLst>
    </bk>
    <bk>
      <extLst>
        <ext uri="{3e2802c4-a4d2-4d8b-9148-e3be6c30e623}">
          <xlrd:rvb i="1170"/>
        </ext>
      </extLst>
    </bk>
    <bk>
      <extLst>
        <ext uri="{3e2802c4-a4d2-4d8b-9148-e3be6c30e623}">
          <xlrd:rvb i="540"/>
        </ext>
      </extLst>
    </bk>
    <bk>
      <extLst>
        <ext uri="{3e2802c4-a4d2-4d8b-9148-e3be6c30e623}">
          <xlrd:rvb i="1180"/>
        </ext>
      </extLst>
    </bk>
    <bk>
      <extLst>
        <ext uri="{3e2802c4-a4d2-4d8b-9148-e3be6c30e623}">
          <xlrd:rvb i="1190"/>
        </ext>
      </extLst>
    </bk>
    <bk>
      <extLst>
        <ext uri="{3e2802c4-a4d2-4d8b-9148-e3be6c30e623}">
          <xlrd:rvb i="1200"/>
        </ext>
      </extLst>
    </bk>
    <bk>
      <extLst>
        <ext uri="{3e2802c4-a4d2-4d8b-9148-e3be6c30e623}">
          <xlrd:rvb i="1210"/>
        </ext>
      </extLst>
    </bk>
    <bk>
      <extLst>
        <ext uri="{3e2802c4-a4d2-4d8b-9148-e3be6c30e623}">
          <xlrd:rvb i="186"/>
        </ext>
      </extLst>
    </bk>
    <bk>
      <extLst>
        <ext uri="{3e2802c4-a4d2-4d8b-9148-e3be6c30e623}">
          <xlrd:rvb i="1220"/>
        </ext>
      </extLst>
    </bk>
    <bk>
      <extLst>
        <ext uri="{3e2802c4-a4d2-4d8b-9148-e3be6c30e623}">
          <xlrd:rvb i="1228"/>
        </ext>
      </extLst>
    </bk>
    <bk>
      <extLst>
        <ext uri="{3e2802c4-a4d2-4d8b-9148-e3be6c30e623}">
          <xlrd:rvb i="1239"/>
        </ext>
      </extLst>
    </bk>
    <bk>
      <extLst>
        <ext uri="{3e2802c4-a4d2-4d8b-9148-e3be6c30e623}">
          <xlrd:rvb i="1249"/>
        </ext>
      </extLst>
    </bk>
    <bk>
      <extLst>
        <ext uri="{3e2802c4-a4d2-4d8b-9148-e3be6c30e623}">
          <xlrd:rvb i="1259"/>
        </ext>
      </extLst>
    </bk>
    <bk>
      <extLst>
        <ext uri="{3e2802c4-a4d2-4d8b-9148-e3be6c30e623}">
          <xlrd:rvb i="1269"/>
        </ext>
      </extLst>
    </bk>
    <bk>
      <extLst>
        <ext uri="{3e2802c4-a4d2-4d8b-9148-e3be6c30e623}">
          <xlrd:rvb i="1279"/>
        </ext>
      </extLst>
    </bk>
    <bk>
      <extLst>
        <ext uri="{3e2802c4-a4d2-4d8b-9148-e3be6c30e623}">
          <xlrd:rvb i="1289"/>
        </ext>
      </extLst>
    </bk>
    <bk>
      <extLst>
        <ext uri="{3e2802c4-a4d2-4d8b-9148-e3be6c30e623}">
          <xlrd:rvb i="1299"/>
        </ext>
      </extLst>
    </bk>
    <bk>
      <extLst>
        <ext uri="{3e2802c4-a4d2-4d8b-9148-e3be6c30e623}">
          <xlrd:rvb i="1308"/>
        </ext>
      </extLst>
    </bk>
    <bk>
      <extLst>
        <ext uri="{3e2802c4-a4d2-4d8b-9148-e3be6c30e623}">
          <xlrd:rvb i="1318"/>
        </ext>
      </extLst>
    </bk>
    <bk>
      <extLst>
        <ext uri="{3e2802c4-a4d2-4d8b-9148-e3be6c30e623}">
          <xlrd:rvb i="1328"/>
        </ext>
      </extLst>
    </bk>
    <bk>
      <extLst>
        <ext uri="{3e2802c4-a4d2-4d8b-9148-e3be6c30e623}">
          <xlrd:rvb i="1338"/>
        </ext>
      </extLst>
    </bk>
    <bk>
      <extLst>
        <ext uri="{3e2802c4-a4d2-4d8b-9148-e3be6c30e623}">
          <xlrd:rvb i="1347"/>
        </ext>
      </extLst>
    </bk>
    <bk>
      <extLst>
        <ext uri="{3e2802c4-a4d2-4d8b-9148-e3be6c30e623}">
          <xlrd:rvb i="1355"/>
        </ext>
      </extLst>
    </bk>
    <bk>
      <extLst>
        <ext uri="{3e2802c4-a4d2-4d8b-9148-e3be6c30e623}">
          <xlrd:rvb i="1365"/>
        </ext>
      </extLst>
    </bk>
    <bk>
      <extLst>
        <ext uri="{3e2802c4-a4d2-4d8b-9148-e3be6c30e623}">
          <xlrd:rvb i="55"/>
        </ext>
      </extLst>
    </bk>
    <bk>
      <extLst>
        <ext uri="{3e2802c4-a4d2-4d8b-9148-e3be6c30e623}">
          <xlrd:rvb i="1375"/>
        </ext>
      </extLst>
    </bk>
    <bk>
      <extLst>
        <ext uri="{3e2802c4-a4d2-4d8b-9148-e3be6c30e623}">
          <xlrd:rvb i="1384"/>
        </ext>
      </extLst>
    </bk>
    <bk>
      <extLst>
        <ext uri="{3e2802c4-a4d2-4d8b-9148-e3be6c30e623}">
          <xlrd:rvb i="1394"/>
        </ext>
      </extLst>
    </bk>
    <bk>
      <extLst>
        <ext uri="{3e2802c4-a4d2-4d8b-9148-e3be6c30e623}">
          <xlrd:rvb i="1403"/>
        </ext>
      </extLst>
    </bk>
    <bk>
      <extLst>
        <ext uri="{3e2802c4-a4d2-4d8b-9148-e3be6c30e623}">
          <xlrd:rvb i="1412"/>
        </ext>
      </extLst>
    </bk>
    <bk>
      <extLst>
        <ext uri="{3e2802c4-a4d2-4d8b-9148-e3be6c30e623}">
          <xlrd:rvb i="497"/>
        </ext>
      </extLst>
    </bk>
    <bk>
      <extLst>
        <ext uri="{3e2802c4-a4d2-4d8b-9148-e3be6c30e623}">
          <xlrd:rvb i="1421"/>
        </ext>
      </extLst>
    </bk>
    <bk>
      <extLst>
        <ext uri="{3e2802c4-a4d2-4d8b-9148-e3be6c30e623}">
          <xlrd:rvb i="1429"/>
        </ext>
      </extLst>
    </bk>
    <bk>
      <extLst>
        <ext uri="{3e2802c4-a4d2-4d8b-9148-e3be6c30e623}">
          <xlrd:rvb i="1439"/>
        </ext>
      </extLst>
    </bk>
    <bk>
      <extLst>
        <ext uri="{3e2802c4-a4d2-4d8b-9148-e3be6c30e623}">
          <xlrd:rvb i="1449"/>
        </ext>
      </extLst>
    </bk>
    <bk>
      <extLst>
        <ext uri="{3e2802c4-a4d2-4d8b-9148-e3be6c30e623}">
          <xlrd:rvb i="1457"/>
        </ext>
      </extLst>
    </bk>
    <bk>
      <extLst>
        <ext uri="{3e2802c4-a4d2-4d8b-9148-e3be6c30e623}">
          <xlrd:rvb i="1467"/>
        </ext>
      </extLst>
    </bk>
    <bk>
      <extLst>
        <ext uri="{3e2802c4-a4d2-4d8b-9148-e3be6c30e623}">
          <xlrd:rvb i="1475"/>
        </ext>
      </extLst>
    </bk>
    <bk>
      <extLst>
        <ext uri="{3e2802c4-a4d2-4d8b-9148-e3be6c30e623}">
          <xlrd:rvb i="1483"/>
        </ext>
      </extLst>
    </bk>
    <bk>
      <extLst>
        <ext uri="{3e2802c4-a4d2-4d8b-9148-e3be6c30e623}">
          <xlrd:rvb i="307"/>
        </ext>
      </extLst>
    </bk>
    <bk>
      <extLst>
        <ext uri="{3e2802c4-a4d2-4d8b-9148-e3be6c30e623}">
          <xlrd:rvb i="1492"/>
        </ext>
      </extLst>
    </bk>
    <bk>
      <extLst>
        <ext uri="{3e2802c4-a4d2-4d8b-9148-e3be6c30e623}">
          <xlrd:rvb i="1502"/>
        </ext>
      </extLst>
    </bk>
    <bk>
      <extLst>
        <ext uri="{3e2802c4-a4d2-4d8b-9148-e3be6c30e623}">
          <xlrd:rvb i="1512"/>
        </ext>
      </extLst>
    </bk>
    <bk>
      <extLst>
        <ext uri="{3e2802c4-a4d2-4d8b-9148-e3be6c30e623}">
          <xlrd:rvb i="1522"/>
        </ext>
      </extLst>
    </bk>
    <bk>
      <extLst>
        <ext uri="{3e2802c4-a4d2-4d8b-9148-e3be6c30e623}">
          <xlrd:rvb i="1532"/>
        </ext>
      </extLst>
    </bk>
    <bk>
      <extLst>
        <ext uri="{3e2802c4-a4d2-4d8b-9148-e3be6c30e623}">
          <xlrd:rvb i="1542"/>
        </ext>
      </extLst>
    </bk>
    <bk>
      <extLst>
        <ext uri="{3e2802c4-a4d2-4d8b-9148-e3be6c30e623}">
          <xlrd:rvb i="1552"/>
        </ext>
      </extLst>
    </bk>
    <bk>
      <extLst>
        <ext uri="{3e2802c4-a4d2-4d8b-9148-e3be6c30e623}">
          <xlrd:rvb i="1562"/>
        </ext>
      </extLst>
    </bk>
    <bk>
      <extLst>
        <ext uri="{3e2802c4-a4d2-4d8b-9148-e3be6c30e623}">
          <xlrd:rvb i="1572"/>
        </ext>
      </extLst>
    </bk>
    <bk>
      <extLst>
        <ext uri="{3e2802c4-a4d2-4d8b-9148-e3be6c30e623}">
          <xlrd:rvb i="1582"/>
        </ext>
      </extLst>
    </bk>
    <bk>
      <extLst>
        <ext uri="{3e2802c4-a4d2-4d8b-9148-e3be6c30e623}">
          <xlrd:rvb i="1591"/>
        </ext>
      </extLst>
    </bk>
    <bk>
      <extLst>
        <ext uri="{3e2802c4-a4d2-4d8b-9148-e3be6c30e623}">
          <xlrd:rvb i="1601"/>
        </ext>
      </extLst>
    </bk>
    <bk>
      <extLst>
        <ext uri="{3e2802c4-a4d2-4d8b-9148-e3be6c30e623}">
          <xlrd:rvb i="1609"/>
        </ext>
      </extLst>
    </bk>
    <bk>
      <extLst>
        <ext uri="{3e2802c4-a4d2-4d8b-9148-e3be6c30e623}">
          <xlrd:rvb i="1618"/>
        </ext>
      </extLst>
    </bk>
    <bk>
      <extLst>
        <ext uri="{3e2802c4-a4d2-4d8b-9148-e3be6c30e623}">
          <xlrd:rvb i="1628"/>
        </ext>
      </extLst>
    </bk>
    <bk>
      <extLst>
        <ext uri="{3e2802c4-a4d2-4d8b-9148-e3be6c30e623}">
          <xlrd:rvb i="1638"/>
        </ext>
      </extLst>
    </bk>
    <bk>
      <extLst>
        <ext uri="{3e2802c4-a4d2-4d8b-9148-e3be6c30e623}">
          <xlrd:rvb i="1648"/>
        </ext>
      </extLst>
    </bk>
    <bk>
      <extLst>
        <ext uri="{3e2802c4-a4d2-4d8b-9148-e3be6c30e623}">
          <xlrd:rvb i="1658"/>
        </ext>
      </extLst>
    </bk>
    <bk>
      <extLst>
        <ext uri="{3e2802c4-a4d2-4d8b-9148-e3be6c30e623}">
          <xlrd:rvb i="1666"/>
        </ext>
      </extLst>
    </bk>
    <bk>
      <extLst>
        <ext uri="{3e2802c4-a4d2-4d8b-9148-e3be6c30e623}">
          <xlrd:rvb i="1676"/>
        </ext>
      </extLst>
    </bk>
    <bk>
      <extLst>
        <ext uri="{3e2802c4-a4d2-4d8b-9148-e3be6c30e623}">
          <xlrd:rvb i="1686"/>
        </ext>
      </extLst>
    </bk>
    <bk>
      <extLst>
        <ext uri="{3e2802c4-a4d2-4d8b-9148-e3be6c30e623}">
          <xlrd:rvb i="1696"/>
        </ext>
      </extLst>
    </bk>
    <bk>
      <extLst>
        <ext uri="{3e2802c4-a4d2-4d8b-9148-e3be6c30e623}">
          <xlrd:rvb i="1706"/>
        </ext>
      </extLst>
    </bk>
    <bk>
      <extLst>
        <ext uri="{3e2802c4-a4d2-4d8b-9148-e3be6c30e623}">
          <xlrd:rvb i="462"/>
        </ext>
      </extLst>
    </bk>
    <bk>
      <extLst>
        <ext uri="{3e2802c4-a4d2-4d8b-9148-e3be6c30e623}">
          <xlrd:rvb i="1715"/>
        </ext>
      </extLst>
    </bk>
    <bk>
      <extLst>
        <ext uri="{3e2802c4-a4d2-4d8b-9148-e3be6c30e623}">
          <xlrd:rvb i="1723"/>
        </ext>
      </extLst>
    </bk>
    <bk>
      <extLst>
        <ext uri="{3e2802c4-a4d2-4d8b-9148-e3be6c30e623}">
          <xlrd:rvb i="169"/>
        </ext>
      </extLst>
    </bk>
    <bk>
      <extLst>
        <ext uri="{3e2802c4-a4d2-4d8b-9148-e3be6c30e623}">
          <xlrd:rvb i="1733"/>
        </ext>
      </extLst>
    </bk>
    <bk>
      <extLst>
        <ext uri="{3e2802c4-a4d2-4d8b-9148-e3be6c30e623}">
          <xlrd:rvb i="1743"/>
        </ext>
      </extLst>
    </bk>
    <bk>
      <extLst>
        <ext uri="{3e2802c4-a4d2-4d8b-9148-e3be6c30e623}">
          <xlrd:rvb i="1753"/>
        </ext>
      </extLst>
    </bk>
    <bk>
      <extLst>
        <ext uri="{3e2802c4-a4d2-4d8b-9148-e3be6c30e623}">
          <xlrd:rvb i="1763"/>
        </ext>
      </extLst>
    </bk>
    <bk>
      <extLst>
        <ext uri="{3e2802c4-a4d2-4d8b-9148-e3be6c30e623}">
          <xlrd:rvb i="1773"/>
        </ext>
      </extLst>
    </bk>
    <bk>
      <extLst>
        <ext uri="{3e2802c4-a4d2-4d8b-9148-e3be6c30e623}">
          <xlrd:rvb i="1782"/>
        </ext>
      </extLst>
    </bk>
    <bk>
      <extLst>
        <ext uri="{3e2802c4-a4d2-4d8b-9148-e3be6c30e623}">
          <xlrd:rvb i="1789"/>
        </ext>
      </extLst>
    </bk>
    <bk>
      <extLst>
        <ext uri="{3e2802c4-a4d2-4d8b-9148-e3be6c30e623}">
          <xlrd:rvb i="1799"/>
        </ext>
      </extLst>
    </bk>
    <bk>
      <extLst>
        <ext uri="{3e2802c4-a4d2-4d8b-9148-e3be6c30e623}">
          <xlrd:rvb i="1809"/>
        </ext>
      </extLst>
    </bk>
    <bk>
      <extLst>
        <ext uri="{3e2802c4-a4d2-4d8b-9148-e3be6c30e623}">
          <xlrd:rvb i="1819"/>
        </ext>
      </extLst>
    </bk>
    <bk>
      <extLst>
        <ext uri="{3e2802c4-a4d2-4d8b-9148-e3be6c30e623}">
          <xlrd:rvb i="1829"/>
        </ext>
      </extLst>
    </bk>
    <bk>
      <extLst>
        <ext uri="{3e2802c4-a4d2-4d8b-9148-e3be6c30e623}">
          <xlrd:rvb i="1839"/>
        </ext>
      </extLst>
    </bk>
    <bk>
      <extLst>
        <ext uri="{3e2802c4-a4d2-4d8b-9148-e3be6c30e623}">
          <xlrd:rvb i="1848"/>
        </ext>
      </extLst>
    </bk>
    <bk>
      <extLst>
        <ext uri="{3e2802c4-a4d2-4d8b-9148-e3be6c30e623}">
          <xlrd:rvb i="1858"/>
        </ext>
      </extLst>
    </bk>
    <bk>
      <extLst>
        <ext uri="{3e2802c4-a4d2-4d8b-9148-e3be6c30e623}">
          <xlrd:rvb i="1868"/>
        </ext>
      </extLst>
    </bk>
    <bk>
      <extLst>
        <ext uri="{3e2802c4-a4d2-4d8b-9148-e3be6c30e623}">
          <xlrd:rvb i="1878"/>
        </ext>
      </extLst>
    </bk>
    <bk>
      <extLst>
        <ext uri="{3e2802c4-a4d2-4d8b-9148-e3be6c30e623}">
          <xlrd:rvb i="1888"/>
        </ext>
      </extLst>
    </bk>
    <bk>
      <extLst>
        <ext uri="{3e2802c4-a4d2-4d8b-9148-e3be6c30e623}">
          <xlrd:rvb i="1898"/>
        </ext>
      </extLst>
    </bk>
    <bk>
      <extLst>
        <ext uri="{3e2802c4-a4d2-4d8b-9148-e3be6c30e623}">
          <xlrd:rvb i="1908"/>
        </ext>
      </extLst>
    </bk>
    <bk>
      <extLst>
        <ext uri="{3e2802c4-a4d2-4d8b-9148-e3be6c30e623}">
          <xlrd:rvb i="188"/>
        </ext>
      </extLst>
    </bk>
    <bk>
      <extLst>
        <ext uri="{3e2802c4-a4d2-4d8b-9148-e3be6c30e623}">
          <xlrd:rvb i="1918"/>
        </ext>
      </extLst>
    </bk>
    <bk>
      <extLst>
        <ext uri="{3e2802c4-a4d2-4d8b-9148-e3be6c30e623}">
          <xlrd:rvb i="1928"/>
        </ext>
      </extLst>
    </bk>
    <bk>
      <extLst>
        <ext uri="{3e2802c4-a4d2-4d8b-9148-e3be6c30e623}">
          <xlrd:rvb i="1938"/>
        </ext>
      </extLst>
    </bk>
    <bk>
      <extLst>
        <ext uri="{3e2802c4-a4d2-4d8b-9148-e3be6c30e623}">
          <xlrd:rvb i="1948"/>
        </ext>
      </extLst>
    </bk>
    <bk>
      <extLst>
        <ext uri="{3e2802c4-a4d2-4d8b-9148-e3be6c30e623}">
          <xlrd:rvb i="1958"/>
        </ext>
      </extLst>
    </bk>
    <bk>
      <extLst>
        <ext uri="{3e2802c4-a4d2-4d8b-9148-e3be6c30e623}">
          <xlrd:rvb i="1966"/>
        </ext>
      </extLst>
    </bk>
    <bk>
      <extLst>
        <ext uri="{3e2802c4-a4d2-4d8b-9148-e3be6c30e623}">
          <xlrd:rvb i="1974"/>
        </ext>
      </extLst>
    </bk>
    <bk>
      <extLst>
        <ext uri="{3e2802c4-a4d2-4d8b-9148-e3be6c30e623}">
          <xlrd:rvb i="1982"/>
        </ext>
      </extLst>
    </bk>
    <bk>
      <extLst>
        <ext uri="{3e2802c4-a4d2-4d8b-9148-e3be6c30e623}">
          <xlrd:rvb i="1991"/>
        </ext>
      </extLst>
    </bk>
    <bk>
      <extLst>
        <ext uri="{3e2802c4-a4d2-4d8b-9148-e3be6c30e623}">
          <xlrd:rvb i="2001"/>
        </ext>
      </extLst>
    </bk>
    <bk>
      <extLst>
        <ext uri="{3e2802c4-a4d2-4d8b-9148-e3be6c30e623}">
          <xlrd:rvb i="2009"/>
        </ext>
      </extLst>
    </bk>
    <bk>
      <extLst>
        <ext uri="{3e2802c4-a4d2-4d8b-9148-e3be6c30e623}">
          <xlrd:rvb i="2018"/>
        </ext>
      </extLst>
    </bk>
    <bk>
      <extLst>
        <ext uri="{3e2802c4-a4d2-4d8b-9148-e3be6c30e623}">
          <xlrd:rvb i="2026"/>
        </ext>
      </extLst>
    </bk>
    <bk>
      <extLst>
        <ext uri="{3e2802c4-a4d2-4d8b-9148-e3be6c30e623}">
          <xlrd:rvb i="2035"/>
        </ext>
      </extLst>
    </bk>
    <bk>
      <extLst>
        <ext uri="{3e2802c4-a4d2-4d8b-9148-e3be6c30e623}">
          <xlrd:rvb i="2045"/>
        </ext>
      </extLst>
    </bk>
    <bk>
      <extLst>
        <ext uri="{3e2802c4-a4d2-4d8b-9148-e3be6c30e623}">
          <xlrd:rvb i="2052"/>
        </ext>
      </extLst>
    </bk>
    <bk>
      <extLst>
        <ext uri="{3e2802c4-a4d2-4d8b-9148-e3be6c30e623}">
          <xlrd:rvb i="2062"/>
        </ext>
      </extLst>
    </bk>
    <bk>
      <extLst>
        <ext uri="{3e2802c4-a4d2-4d8b-9148-e3be6c30e623}">
          <xlrd:rvb i="2072"/>
        </ext>
      </extLst>
    </bk>
    <bk>
      <extLst>
        <ext uri="{3e2802c4-a4d2-4d8b-9148-e3be6c30e623}">
          <xlrd:rvb i="2078"/>
        </ext>
      </extLst>
    </bk>
    <bk>
      <extLst>
        <ext uri="{3e2802c4-a4d2-4d8b-9148-e3be6c30e623}">
          <xlrd:rvb i="2088"/>
        </ext>
      </extLst>
    </bk>
    <bk>
      <extLst>
        <ext uri="{3e2802c4-a4d2-4d8b-9148-e3be6c30e623}">
          <xlrd:rvb i="2098"/>
        </ext>
      </extLst>
    </bk>
    <bk>
      <extLst>
        <ext uri="{3e2802c4-a4d2-4d8b-9148-e3be6c30e623}">
          <xlrd:rvb i="2108"/>
        </ext>
      </extLst>
    </bk>
    <bk>
      <extLst>
        <ext uri="{3e2802c4-a4d2-4d8b-9148-e3be6c30e623}">
          <xlrd:rvb i="2116"/>
        </ext>
      </extLst>
    </bk>
    <bk>
      <extLst>
        <ext uri="{3e2802c4-a4d2-4d8b-9148-e3be6c30e623}">
          <xlrd:rvb i="2124"/>
        </ext>
      </extLst>
    </bk>
    <bk>
      <extLst>
        <ext uri="{3e2802c4-a4d2-4d8b-9148-e3be6c30e623}">
          <xlrd:rvb i="247"/>
        </ext>
      </extLst>
    </bk>
    <bk>
      <extLst>
        <ext uri="{3e2802c4-a4d2-4d8b-9148-e3be6c30e623}">
          <xlrd:rvb i="2134"/>
        </ext>
      </extLst>
    </bk>
    <bk>
      <extLst>
        <ext uri="{3e2802c4-a4d2-4d8b-9148-e3be6c30e623}">
          <xlrd:rvb i="2144"/>
        </ext>
      </extLst>
    </bk>
    <bk>
      <extLst>
        <ext uri="{3e2802c4-a4d2-4d8b-9148-e3be6c30e623}">
          <xlrd:rvb i="2154"/>
        </ext>
      </extLst>
    </bk>
    <bk>
      <extLst>
        <ext uri="{3e2802c4-a4d2-4d8b-9148-e3be6c30e623}">
          <xlrd:rvb i="20"/>
        </ext>
      </extLst>
    </bk>
    <bk>
      <extLst>
        <ext uri="{3e2802c4-a4d2-4d8b-9148-e3be6c30e623}">
          <xlrd:rvb i="2164"/>
        </ext>
      </extLst>
    </bk>
    <bk>
      <extLst>
        <ext uri="{3e2802c4-a4d2-4d8b-9148-e3be6c30e623}">
          <xlrd:rvb i="2174"/>
        </ext>
      </extLst>
    </bk>
    <bk>
      <extLst>
        <ext uri="{3e2802c4-a4d2-4d8b-9148-e3be6c30e623}">
          <xlrd:rvb i="2184"/>
        </ext>
      </extLst>
    </bk>
    <bk>
      <extLst>
        <ext uri="{3e2802c4-a4d2-4d8b-9148-e3be6c30e623}">
          <xlrd:rvb i="2192"/>
        </ext>
      </extLst>
    </bk>
    <bk>
      <extLst>
        <ext uri="{3e2802c4-a4d2-4d8b-9148-e3be6c30e623}">
          <xlrd:rvb i="2202"/>
        </ext>
      </extLst>
    </bk>
    <bk>
      <extLst>
        <ext uri="{3e2802c4-a4d2-4d8b-9148-e3be6c30e623}">
          <xlrd:rvb i="2212"/>
        </ext>
      </extLst>
    </bk>
    <bk>
      <extLst>
        <ext uri="{3e2802c4-a4d2-4d8b-9148-e3be6c30e623}">
          <xlrd:rvb i="2221"/>
        </ext>
      </extLst>
    </bk>
    <bk>
      <extLst>
        <ext uri="{3e2802c4-a4d2-4d8b-9148-e3be6c30e623}">
          <xlrd:rvb i="2230"/>
        </ext>
      </extLst>
    </bk>
    <bk>
      <extLst>
        <ext uri="{3e2802c4-a4d2-4d8b-9148-e3be6c30e623}">
          <xlrd:rvb i="2240"/>
        </ext>
      </extLst>
    </bk>
    <bk>
      <extLst>
        <ext uri="{3e2802c4-a4d2-4d8b-9148-e3be6c30e623}">
          <xlrd:rvb i="2247"/>
        </ext>
      </extLst>
    </bk>
    <bk>
      <extLst>
        <ext uri="{3e2802c4-a4d2-4d8b-9148-e3be6c30e623}">
          <xlrd:rvb i="2257"/>
        </ext>
      </extLst>
    </bk>
    <bk>
      <extLst>
        <ext uri="{3e2802c4-a4d2-4d8b-9148-e3be6c30e623}">
          <xlrd:rvb i="2266"/>
        </ext>
      </extLst>
    </bk>
    <bk>
      <extLst>
        <ext uri="{3e2802c4-a4d2-4d8b-9148-e3be6c30e623}">
          <xlrd:rvb i="2276"/>
        </ext>
      </extLst>
    </bk>
    <bk>
      <extLst>
        <ext uri="{3e2802c4-a4d2-4d8b-9148-e3be6c30e623}">
          <xlrd:rvb i="2286"/>
        </ext>
      </extLst>
    </bk>
    <bk>
      <extLst>
        <ext uri="{3e2802c4-a4d2-4d8b-9148-e3be6c30e623}">
          <xlrd:rvb i="2296"/>
        </ext>
      </extLst>
    </bk>
    <bk>
      <extLst>
        <ext uri="{3e2802c4-a4d2-4d8b-9148-e3be6c30e623}">
          <xlrd:rvb i="2306"/>
        </ext>
      </extLst>
    </bk>
    <bk>
      <extLst>
        <ext uri="{3e2802c4-a4d2-4d8b-9148-e3be6c30e623}">
          <xlrd:rvb i="2316"/>
        </ext>
      </extLst>
    </bk>
    <bk>
      <extLst>
        <ext uri="{3e2802c4-a4d2-4d8b-9148-e3be6c30e623}">
          <xlrd:rvb i="2326"/>
        </ext>
      </extLst>
    </bk>
    <bk>
      <extLst>
        <ext uri="{3e2802c4-a4d2-4d8b-9148-e3be6c30e623}">
          <xlrd:rvb i="2336"/>
        </ext>
      </extLst>
    </bk>
    <bk>
      <extLst>
        <ext uri="{3e2802c4-a4d2-4d8b-9148-e3be6c30e623}">
          <xlrd:rvb i="2346"/>
        </ext>
      </extLst>
    </bk>
    <bk>
      <extLst>
        <ext uri="{3e2802c4-a4d2-4d8b-9148-e3be6c30e623}">
          <xlrd:rvb i="2356"/>
        </ext>
      </extLst>
    </bk>
    <bk>
      <extLst>
        <ext uri="{3e2802c4-a4d2-4d8b-9148-e3be6c30e623}">
          <xlrd:rvb i="2366"/>
        </ext>
      </extLst>
    </bk>
    <bk>
      <extLst>
        <ext uri="{3e2802c4-a4d2-4d8b-9148-e3be6c30e623}">
          <xlrd:rvb i="2375"/>
        </ext>
      </extLst>
    </bk>
    <bk>
      <extLst>
        <ext uri="{3e2802c4-a4d2-4d8b-9148-e3be6c30e623}">
          <xlrd:rvb i="640"/>
        </ext>
      </extLst>
    </bk>
    <bk>
      <extLst>
        <ext uri="{3e2802c4-a4d2-4d8b-9148-e3be6c30e623}">
          <xlrd:rvb i="2383"/>
        </ext>
      </extLst>
    </bk>
    <bk>
      <extLst>
        <ext uri="{3e2802c4-a4d2-4d8b-9148-e3be6c30e623}">
          <xlrd:rvb i="2393"/>
        </ext>
      </extLst>
    </bk>
    <bk>
      <extLst>
        <ext uri="{3e2802c4-a4d2-4d8b-9148-e3be6c30e623}">
          <xlrd:rvb i="2403"/>
        </ext>
      </extLst>
    </bk>
    <bk>
      <extLst>
        <ext uri="{3e2802c4-a4d2-4d8b-9148-e3be6c30e623}">
          <xlrd:rvb i="2413"/>
        </ext>
      </extLst>
    </bk>
    <bk>
      <extLst>
        <ext uri="{3e2802c4-a4d2-4d8b-9148-e3be6c30e623}">
          <xlrd:rvb i="2423"/>
        </ext>
      </extLst>
    </bk>
    <bk>
      <extLst>
        <ext uri="{3e2802c4-a4d2-4d8b-9148-e3be6c30e623}">
          <xlrd:rvb i="2432"/>
        </ext>
      </extLst>
    </bk>
    <bk>
      <extLst>
        <ext uri="{3e2802c4-a4d2-4d8b-9148-e3be6c30e623}">
          <xlrd:rvb i="2442"/>
        </ext>
      </extLst>
    </bk>
    <bk>
      <extLst>
        <ext uri="{3e2802c4-a4d2-4d8b-9148-e3be6c30e623}">
          <xlrd:rvb i="2451"/>
        </ext>
      </extLst>
    </bk>
    <bk>
      <extLst>
        <ext uri="{3e2802c4-a4d2-4d8b-9148-e3be6c30e623}">
          <xlrd:rvb i="2461"/>
        </ext>
      </extLst>
    </bk>
    <bk>
      <extLst>
        <ext uri="{3e2802c4-a4d2-4d8b-9148-e3be6c30e623}">
          <xlrd:rvb i="2470"/>
        </ext>
      </extLst>
    </bk>
    <bk>
      <extLst>
        <ext uri="{3e2802c4-a4d2-4d8b-9148-e3be6c30e623}">
          <xlrd:rvb i="2480"/>
        </ext>
      </extLst>
    </bk>
    <bk>
      <extLst>
        <ext uri="{3e2802c4-a4d2-4d8b-9148-e3be6c30e623}">
          <xlrd:rvb i="2490"/>
        </ext>
      </extLst>
    </bk>
    <bk>
      <extLst>
        <ext uri="{3e2802c4-a4d2-4d8b-9148-e3be6c30e623}">
          <xlrd:rvb i="2501"/>
        </ext>
      </extLst>
    </bk>
    <bk>
      <extLst>
        <ext uri="{3e2802c4-a4d2-4d8b-9148-e3be6c30e623}">
          <xlrd:rvb i="2511"/>
        </ext>
      </extLst>
    </bk>
    <bk>
      <extLst>
        <ext uri="{3e2802c4-a4d2-4d8b-9148-e3be6c30e623}">
          <xlrd:rvb i="2521"/>
        </ext>
      </extLst>
    </bk>
    <bk>
      <extLst>
        <ext uri="{3e2802c4-a4d2-4d8b-9148-e3be6c30e623}">
          <xlrd:rvb i="2531"/>
        </ext>
      </extLst>
    </bk>
    <bk>
      <extLst>
        <ext uri="{3e2802c4-a4d2-4d8b-9148-e3be6c30e623}">
          <xlrd:rvb i="2541"/>
        </ext>
      </extLst>
    </bk>
    <bk>
      <extLst>
        <ext uri="{3e2802c4-a4d2-4d8b-9148-e3be6c30e623}">
          <xlrd:rvb i="2551"/>
        </ext>
      </extLst>
    </bk>
    <bk>
      <extLst>
        <ext uri="{3e2802c4-a4d2-4d8b-9148-e3be6c30e623}">
          <xlrd:rvb i="2561"/>
        </ext>
      </extLst>
    </bk>
    <bk>
      <extLst>
        <ext uri="{3e2802c4-a4d2-4d8b-9148-e3be6c30e623}">
          <xlrd:rvb i="2571"/>
        </ext>
      </extLst>
    </bk>
    <bk>
      <extLst>
        <ext uri="{3e2802c4-a4d2-4d8b-9148-e3be6c30e623}">
          <xlrd:rvb i="2581"/>
        </ext>
      </extLst>
    </bk>
    <bk>
      <extLst>
        <ext uri="{3e2802c4-a4d2-4d8b-9148-e3be6c30e623}">
          <xlrd:rvb i="2589"/>
        </ext>
      </extLst>
    </bk>
    <bk>
      <extLst>
        <ext uri="{3e2802c4-a4d2-4d8b-9148-e3be6c30e623}">
          <xlrd:rvb i="2599"/>
        </ext>
      </extLst>
    </bk>
    <bk>
      <extLst>
        <ext uri="{3e2802c4-a4d2-4d8b-9148-e3be6c30e623}">
          <xlrd:rvb i="2609"/>
        </ext>
      </extLst>
    </bk>
    <bk>
      <extLst>
        <ext uri="{3e2802c4-a4d2-4d8b-9148-e3be6c30e623}">
          <xlrd:rvb i="2619"/>
        </ext>
      </extLst>
    </bk>
    <bk>
      <extLst>
        <ext uri="{3e2802c4-a4d2-4d8b-9148-e3be6c30e623}">
          <xlrd:rvb i="2627"/>
        </ext>
      </extLst>
    </bk>
    <bk>
      <extLst>
        <ext uri="{3e2802c4-a4d2-4d8b-9148-e3be6c30e623}">
          <xlrd:rvb i="2637"/>
        </ext>
      </extLst>
    </bk>
    <bk>
      <extLst>
        <ext uri="{3e2802c4-a4d2-4d8b-9148-e3be6c30e623}">
          <xlrd:rvb i="2647"/>
        </ext>
      </extLst>
    </bk>
    <bk>
      <extLst>
        <ext uri="{3e2802c4-a4d2-4d8b-9148-e3be6c30e623}">
          <xlrd:rvb i="2657"/>
        </ext>
      </extLst>
    </bk>
    <bk>
      <extLst>
        <ext uri="{3e2802c4-a4d2-4d8b-9148-e3be6c30e623}">
          <xlrd:rvb i="2667"/>
        </ext>
      </extLst>
    </bk>
    <bk>
      <extLst>
        <ext uri="{3e2802c4-a4d2-4d8b-9148-e3be6c30e623}">
          <xlrd:rvb i="2678"/>
        </ext>
      </extLst>
    </bk>
    <bk>
      <extLst>
        <ext uri="{3e2802c4-a4d2-4d8b-9148-e3be6c30e623}">
          <xlrd:rvb i="2689"/>
        </ext>
      </extLst>
    </bk>
    <bk>
      <extLst>
        <ext uri="{3e2802c4-a4d2-4d8b-9148-e3be6c30e623}">
          <xlrd:rvb i="2698"/>
        </ext>
      </extLst>
    </bk>
    <bk>
      <extLst>
        <ext uri="{3e2802c4-a4d2-4d8b-9148-e3be6c30e623}">
          <xlrd:rvb i="2708"/>
        </ext>
      </extLst>
    </bk>
    <bk>
      <extLst>
        <ext uri="{3e2802c4-a4d2-4d8b-9148-e3be6c30e623}">
          <xlrd:rvb i="2718"/>
        </ext>
      </extLst>
    </bk>
    <bk>
      <extLst>
        <ext uri="{3e2802c4-a4d2-4d8b-9148-e3be6c30e623}">
          <xlrd:rvb i="2728"/>
        </ext>
      </extLst>
    </bk>
    <bk>
      <extLst>
        <ext uri="{3e2802c4-a4d2-4d8b-9148-e3be6c30e623}">
          <xlrd:rvb i="2738"/>
        </ext>
      </extLst>
    </bk>
    <bk>
      <extLst>
        <ext uri="{3e2802c4-a4d2-4d8b-9148-e3be6c30e623}">
          <xlrd:rvb i="2747"/>
        </ext>
      </extLst>
    </bk>
    <bk>
      <extLst>
        <ext uri="{3e2802c4-a4d2-4d8b-9148-e3be6c30e623}">
          <xlrd:rvb i="2757"/>
        </ext>
      </extLst>
    </bk>
    <bk>
      <extLst>
        <ext uri="{3e2802c4-a4d2-4d8b-9148-e3be6c30e623}">
          <xlrd:rvb i="2767"/>
        </ext>
      </extLst>
    </bk>
    <bk>
      <extLst>
        <ext uri="{3e2802c4-a4d2-4d8b-9148-e3be6c30e623}">
          <xlrd:rvb i="2777"/>
        </ext>
      </extLst>
    </bk>
    <bk>
      <extLst>
        <ext uri="{3e2802c4-a4d2-4d8b-9148-e3be6c30e623}">
          <xlrd:rvb i="2787"/>
        </ext>
      </extLst>
    </bk>
    <bk>
      <extLst>
        <ext uri="{3e2802c4-a4d2-4d8b-9148-e3be6c30e623}">
          <xlrd:rvb i="2798"/>
        </ext>
      </extLst>
    </bk>
    <bk>
      <extLst>
        <ext uri="{3e2802c4-a4d2-4d8b-9148-e3be6c30e623}">
          <xlrd:rvb i="2808"/>
        </ext>
      </extLst>
    </bk>
    <bk>
      <extLst>
        <ext uri="{3e2802c4-a4d2-4d8b-9148-e3be6c30e623}">
          <xlrd:rvb i="2816"/>
        </ext>
      </extLst>
    </bk>
    <bk>
      <extLst>
        <ext uri="{3e2802c4-a4d2-4d8b-9148-e3be6c30e623}">
          <xlrd:rvb i="2825"/>
        </ext>
      </extLst>
    </bk>
    <bk>
      <extLst>
        <ext uri="{3e2802c4-a4d2-4d8b-9148-e3be6c30e623}">
          <xlrd:rvb i="2835"/>
        </ext>
      </extLst>
    </bk>
    <bk>
      <extLst>
        <ext uri="{3e2802c4-a4d2-4d8b-9148-e3be6c30e623}">
          <xlrd:rvb i="2844"/>
        </ext>
      </extLst>
    </bk>
    <bk>
      <extLst>
        <ext uri="{3e2802c4-a4d2-4d8b-9148-e3be6c30e623}">
          <xlrd:rvb i="2854"/>
        </ext>
      </extLst>
    </bk>
  </futureMetadata>
  <valueMetadata count="30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valueMetadata>
</metadata>
</file>

<file path=xl/sharedStrings.xml><?xml version="1.0" encoding="utf-8"?>
<sst xmlns="http://schemas.openxmlformats.org/spreadsheetml/2006/main" count="27323" uniqueCount="7734">
  <si>
    <t>Crt</t>
  </si>
  <si>
    <t>Responsabil</t>
  </si>
  <si>
    <t>SITE</t>
  </si>
  <si>
    <t>TRONSON FO</t>
  </si>
  <si>
    <t>Volumetrie</t>
  </si>
  <si>
    <t>Descriere PBM</t>
  </si>
  <si>
    <t>status</t>
  </si>
  <si>
    <t>Domeniu PBM</t>
  </si>
  <si>
    <t>Ticket ID</t>
  </si>
  <si>
    <t>coment</t>
  </si>
  <si>
    <t>Column2</t>
  </si>
  <si>
    <t>NICM</t>
  </si>
  <si>
    <t>Column1</t>
  </si>
  <si>
    <t>Finalizare raport</t>
  </si>
  <si>
    <t>SLA PBM</t>
  </si>
  <si>
    <t>Data  si  ora solicitare interventie</t>
  </si>
  <si>
    <t xml:space="preserve">Echipa </t>
  </si>
  <si>
    <t>Prelucrat OPS</t>
  </si>
  <si>
    <t>STOKY</t>
  </si>
  <si>
    <t>ETA</t>
  </si>
  <si>
    <t>data si ora masuratori OTDR</t>
  </si>
  <si>
    <t>data si ora prlecare echipa</t>
  </si>
  <si>
    <t>data si ora ajungere in zona incidentului</t>
  </si>
  <si>
    <t>data si ora localizare incident</t>
  </si>
  <si>
    <t>data si ora finalizare incident incident</t>
  </si>
  <si>
    <t>data si ora confirmare functionalitate servii Orange</t>
  </si>
  <si>
    <t>data si ora confirmare functionalitate servii clienti</t>
  </si>
  <si>
    <t>cauza incident</t>
  </si>
  <si>
    <t>descriere incident</t>
  </si>
  <si>
    <t>descriere remediere</t>
  </si>
  <si>
    <t>coordonate incident</t>
  </si>
  <si>
    <t>PBM in SLA</t>
  </si>
  <si>
    <t>Necesar update NICM</t>
  </si>
  <si>
    <t>link raport</t>
  </si>
  <si>
    <t>Column3</t>
  </si>
  <si>
    <t>Column4</t>
  </si>
  <si>
    <t>Bogdan</t>
  </si>
  <si>
    <t>Rezolvat</t>
  </si>
  <si>
    <t>Nu e necesar</t>
  </si>
  <si>
    <t>Florin Zubasco</t>
  </si>
  <si>
    <t>Serban</t>
  </si>
  <si>
    <t>TM_INFRA3</t>
  </si>
  <si>
    <t>Vlad</t>
  </si>
  <si>
    <t>Raport finalizat</t>
  </si>
  <si>
    <t>Zsolt</t>
  </si>
  <si>
    <t>Dacrin</t>
  </si>
  <si>
    <t>Proconex</t>
  </si>
  <si>
    <t>Aloton</t>
  </si>
  <si>
    <t>Vlad Maftei</t>
  </si>
  <si>
    <t>Resolved</t>
  </si>
  <si>
    <t>n/a</t>
  </si>
  <si>
    <t>S-au realizat doar masuratori din TI0445 pentru confirmare lipsa atenuari  pe fibra</t>
  </si>
  <si>
    <t>n</t>
  </si>
  <si>
    <t>Ernest</t>
  </si>
  <si>
    <t>ProConex</t>
  </si>
  <si>
    <t>PROCONEX</t>
  </si>
  <si>
    <t>Vasile Ofrim</t>
  </si>
  <si>
    <t>Ionut Pascau</t>
  </si>
  <si>
    <t>Mircea Banciu</t>
  </si>
  <si>
    <t>Marius Tene</t>
  </si>
  <si>
    <t>NU E NECESAR</t>
  </si>
  <si>
    <t>Nu s-a intervenit</t>
  </si>
  <si>
    <t>Echipa Vlad Maftei</t>
  </si>
  <si>
    <t>Marius Tene + Marius Cinca</t>
  </si>
  <si>
    <t>SM+SJ</t>
  </si>
  <si>
    <t>Marius Tene+civile Paius</t>
  </si>
  <si>
    <t>Nadasan</t>
  </si>
  <si>
    <t>Y-implementat</t>
  </si>
  <si>
    <t>Vasile Vultur</t>
  </si>
  <si>
    <t>Serban/Bogdan</t>
  </si>
  <si>
    <t>N</t>
  </si>
  <si>
    <t>Satu Mare</t>
  </si>
  <si>
    <t>Cosmin Pau</t>
  </si>
  <si>
    <t>Victor Lazar</t>
  </si>
  <si>
    <t xml:space="preserve">Serban </t>
  </si>
  <si>
    <t xml:space="preserve">n </t>
  </si>
  <si>
    <t>Fara interventie</t>
  </si>
  <si>
    <t>PBM dublat cu PBM48697 si PBM</t>
  </si>
  <si>
    <t>DATA ZYX</t>
  </si>
  <si>
    <t>Madalin Roman</t>
  </si>
  <si>
    <t>Erno + Cosmin Pau</t>
  </si>
  <si>
    <t>Marius Tene + Vali</t>
  </si>
  <si>
    <t>Alin Ardean</t>
  </si>
  <si>
    <t>Marin</t>
  </si>
  <si>
    <t>FP CONNECT</t>
  </si>
  <si>
    <t>Alin Borgovan</t>
  </si>
  <si>
    <t>Medium</t>
  </si>
  <si>
    <t>Serban&amp;Marin</t>
  </si>
  <si>
    <t xml:space="preserve">Mota </t>
  </si>
  <si>
    <t>Zsolt/Criste</t>
  </si>
  <si>
    <t>Crt.</t>
  </si>
  <si>
    <t>Nr tichet</t>
  </si>
  <si>
    <t>DATA</t>
  </si>
  <si>
    <t>Coordonator</t>
  </si>
  <si>
    <t>Status QAF</t>
  </si>
  <si>
    <t>Echipa</t>
  </si>
  <si>
    <t>OPS</t>
  </si>
  <si>
    <t>OBSERVATII</t>
  </si>
  <si>
    <t>INCARCAT SERVER</t>
  </si>
  <si>
    <t>WO</t>
  </si>
  <si>
    <t>Descriere WO</t>
  </si>
  <si>
    <t>Data solicitare</t>
  </si>
  <si>
    <t>Data finalizare</t>
  </si>
  <si>
    <t>Descriere lucrare</t>
  </si>
  <si>
    <t>WO00621307</t>
  </si>
  <si>
    <t xml:space="preserve">	relocare FO Valcea IMO000000058500</t>
  </si>
  <si>
    <t>Oprea Bals</t>
  </si>
  <si>
    <t>relocare in subteran.S-a instalat 250m de cablu FO48 + doua cutii de jonctiune +10m de sapatura</t>
  </si>
  <si>
    <t>No</t>
  </si>
  <si>
    <t>Imlocuire cablu strada Sofiei</t>
  </si>
  <si>
    <t>E2E SLA for FO backbone/backhaul and Local Intervention + FO Measurement :</t>
  </si>
  <si>
    <t>Incidente FO local si BB</t>
  </si>
  <si>
    <t>SLA = 8+2 = 10 hours, except the cases where concurrent FO incidents impacting the backbone segments occurs than below SLA will apply :</t>
  </si>
  <si>
    <t>SLA = 6+2 = 8 hours for the second concurrent incident</t>
  </si>
  <si>
    <t>SLA = 4+2 = 6 hours for the third concurrent incident</t>
  </si>
  <si>
    <t>The backbone segments are defined as the ones that are transporting 100Gbps IP links (interconnecting the core IP backbone infrastructure)</t>
  </si>
  <si>
    <t>Tichete FTTH</t>
  </si>
  <si>
    <t>E2E SLA for VHBB/FTTH (on site FO measurement is included)</t>
  </si>
  <si>
    <t>SLA = 12 hours for Minor incident (less than 150 B2C customers)</t>
  </si>
  <si>
    <t>SLA = 8 hours for Major incident (between 150 to 300 B2C customers)</t>
  </si>
  <si>
    <t>SLA = 4 hours for Critical incident (more 300 B2C customers or at least 1 B2B customer affected)</t>
  </si>
  <si>
    <t>PBM</t>
  </si>
  <si>
    <r>
      <rPr>
        <b/>
        <sz val="11"/>
        <color rgb="FF000000"/>
        <rFont val="Calibri"/>
        <family val="2"/>
      </rPr>
      <t xml:space="preserve">Major priority Problems means:
</t>
    </r>
    <r>
      <rPr>
        <sz val="11"/>
        <color rgb="FF000000"/>
        <rFont val="Calibri"/>
        <family val="2"/>
      </rPr>
      <t xml:space="preserve">(a) Problems arising as a result of any Critical Incident; or
(b) Problems that may affect Health and Safety
c) E2E Ticket Target: 2 working days; 
d) Working Patry Target: 1 working days 
</t>
    </r>
    <r>
      <rPr>
        <b/>
        <sz val="11"/>
        <color rgb="FF000000"/>
        <rFont val="Calibri"/>
        <family val="2"/>
      </rPr>
      <t xml:space="preserve">Medium priority Problems means:
</t>
    </r>
    <r>
      <rPr>
        <sz val="11"/>
        <color rgb="FF000000"/>
        <rFont val="Calibri"/>
        <family val="2"/>
      </rPr>
      <t xml:space="preserve">(a) Problems triggered by repetitive Faults, Major Incidents or Minor Incidents; or
(b) Problems that affect Telecommunication Services owing to deviation from the PIs
c) E2E Ticket Target: 10 working days; 
d) Working Party Target: 4 working days 
</t>
    </r>
    <r>
      <rPr>
        <b/>
        <sz val="11"/>
        <color rgb="FF000000"/>
        <rFont val="Calibri"/>
        <family val="2"/>
      </rPr>
      <t xml:space="preserve">Minor priority Problems refer to all problem tickets except for the Major and Medium as defined above
</t>
    </r>
    <r>
      <rPr>
        <sz val="11"/>
        <color rgb="FF000000"/>
        <rFont val="Calibri"/>
        <family val="2"/>
      </rPr>
      <t xml:space="preserve">a) E2E Ticket Target: 25 working days; 
b) Working Party Target: 7 working days </t>
    </r>
  </si>
  <si>
    <t>s</t>
  </si>
  <si>
    <t>Tronson FO</t>
  </si>
  <si>
    <t>Localitate</t>
  </si>
  <si>
    <t>Judet</t>
  </si>
  <si>
    <t>Topologie tonson</t>
  </si>
  <si>
    <t>Status report</t>
  </si>
  <si>
    <t>SLA tichet</t>
  </si>
  <si>
    <t>Solutie finalizare tichet</t>
  </si>
  <si>
    <t>Echipa initiala</t>
  </si>
  <si>
    <t>Echipa finalizare</t>
  </si>
  <si>
    <t>Data si ora sosire in zona incidentului</t>
  </si>
  <si>
    <t>Data si ora localizare incident</t>
  </si>
  <si>
    <t>Data si ora finalizare incident</t>
  </si>
  <si>
    <t>Capacitate cablu</t>
  </si>
  <si>
    <t>Cauza incident</t>
  </si>
  <si>
    <t>Autor incident</t>
  </si>
  <si>
    <t>Descriere incident</t>
  </si>
  <si>
    <t>Descriere remediere</t>
  </si>
  <si>
    <t>Coordonate incident</t>
  </si>
  <si>
    <t>Alte detalii</t>
  </si>
  <si>
    <t>Incident in SLA</t>
  </si>
  <si>
    <t>Conciliere</t>
  </si>
  <si>
    <t>Operat stoky</t>
  </si>
  <si>
    <t>OBS PROCONECT</t>
  </si>
  <si>
    <t>Image</t>
  </si>
  <si>
    <t>OLT1-BR0553 / Slot : 3 PON3/11, PON3/11</t>
  </si>
  <si>
    <t xml:space="preserve">FITT00000096688 </t>
  </si>
  <si>
    <t>Rosia</t>
  </si>
  <si>
    <t>Leonte</t>
  </si>
  <si>
    <t>VHBB</t>
  </si>
  <si>
    <t>Minor 12h</t>
  </si>
  <si>
    <t>Solutie finala</t>
  </si>
  <si>
    <t>Netconstruct -Alex Nadasan</t>
  </si>
  <si>
    <t>BR0553FAN1DP22OSC22 inghetat. A fost dezghetat OSC-ul. Clienti up</t>
  </si>
  <si>
    <t>N/a - temperaturi scazute</t>
  </si>
  <si>
    <t>Y</t>
  </si>
  <si>
    <t>BE0813FAN1ODB27</t>
  </si>
  <si>
    <t xml:space="preserve">FITT00000096705 </t>
  </si>
  <si>
    <t>Poienarii Muscel</t>
  </si>
  <si>
    <t>George Zamfir</t>
  </si>
  <si>
    <t>Fibra rupta de taierile de copaci. Instalat 130 m FO12 si 2 OSC noi</t>
  </si>
  <si>
    <t>Necunoscut</t>
  </si>
  <si>
    <t>BE0159FAN1ODB60</t>
  </si>
  <si>
    <t xml:space="preserve">FITT00000096700 </t>
  </si>
  <si>
    <t>Fibra rupta inainte de ODB60. Instalat 120 m FO12 intre ODB si OSC nou</t>
  </si>
  <si>
    <t>OLT1-CL0430</t>
  </si>
  <si>
    <t xml:space="preserve">FITT00000096555 </t>
  </si>
  <si>
    <t xml:space="preserve">Solutie finala   </t>
  </si>
  <si>
    <t>Cablu de 96 rupt la 2496m de CL0430. S-a eliberat rezerva si s-a instalat un OSC. Serviciile au fost restabilite. Porturile up. Clientii up de la 19:15. PON 2/2 a ramas offline. S-a masurat din site PON18 si firul se duce 9048m si intra intr-un spl de nivel 1. Dinspre Echipamente este power. Un singur client pe 2/2 din ODB27, si necesita echipa de lastmile. Posibile cauze: cablul de lastmile rupt sau echipament fara power (ori lipsa curent in zona ori clientul nu este acasa). Echipa nu a ajuns la ODB deoarece acesta este in padure si izolat si este noapte.</t>
  </si>
  <si>
    <t>BR0541FAN1ODB122</t>
  </si>
  <si>
    <t xml:space="preserve">FITT00000096655 </t>
  </si>
  <si>
    <t>Sebastian</t>
  </si>
  <si>
    <t>Raport Finalizat</t>
  </si>
  <si>
    <t>Echipa Vass Harghita</t>
  </si>
  <si>
    <t>FITT00000096650</t>
  </si>
  <si>
    <t>N/a</t>
  </si>
  <si>
    <t>N/A</t>
  </si>
  <si>
    <t>BR0541FAN1ODB116</t>
  </si>
  <si>
    <t xml:space="preserve">FITT00000096650 </t>
  </si>
  <si>
    <t>Sudura inghetata in ODB 116</t>
  </si>
  <si>
    <t>Refacut sudura</t>
  </si>
  <si>
    <t>EDFA64-01-CL0713</t>
  </si>
  <si>
    <t>FITT00000097016</t>
  </si>
  <si>
    <t xml:space="preserve">Marin </t>
  </si>
  <si>
    <t xml:space="preserve">Dan Belea </t>
  </si>
  <si>
    <t xml:space="preserve">Cablu afectat in tronson OROC </t>
  </si>
  <si>
    <t>Jonctiune inghetatata</t>
  </si>
  <si>
    <t>OLT3-CR2950 / Slot : 2 PON2/5, PON2/9 OLT3-CR2950 / Slot : 3 PON3/1, PON3/2, PON3/3, PON3/4</t>
  </si>
  <si>
    <t>FITT00000097036</t>
  </si>
  <si>
    <t>Cablu ros de soareci in canaluzatue</t>
  </si>
  <si>
    <t>rozatoare</t>
  </si>
  <si>
    <t>Refacut cabu complet in DP</t>
  </si>
  <si>
    <t>OLT3-CR2950 / Slot : 3 PON3/5, PON3/8</t>
  </si>
  <si>
    <t>FITT00000097039</t>
  </si>
  <si>
    <t>COMUN CU FITT00000097036</t>
  </si>
  <si>
    <t>TI0075FAN2ODB2216</t>
  </si>
  <si>
    <t>FITT00000097222</t>
  </si>
  <si>
    <t>Vladimir</t>
  </si>
  <si>
    <t>pigtails rupti pe ambele splittere din ODB</t>
  </si>
  <si>
    <t>s-au inlocuit cele doua splittere</t>
  </si>
  <si>
    <t>y</t>
  </si>
  <si>
    <t>BR0423-OLT1</t>
  </si>
  <si>
    <t>FITT00000097366</t>
  </si>
  <si>
    <t>Zsolt+Him Raj + Manit</t>
  </si>
  <si>
    <t>fire rupte in DP9</t>
  </si>
  <si>
    <t>s-au resudat firele</t>
  </si>
  <si>
    <t>BR2727-OLT1</t>
  </si>
  <si>
    <t>FITT00000097443</t>
  </si>
  <si>
    <t xml:space="preserve">Raport finalizat </t>
  </si>
  <si>
    <t>Echipa Mircea Banciu</t>
  </si>
  <si>
    <t>FO48 rupt</t>
  </si>
  <si>
    <t>80m FO48, un OSC nou si refacut DP20</t>
  </si>
  <si>
    <t>CR0289FAN1ODB1224</t>
  </si>
  <si>
    <t>FITT00000097453</t>
  </si>
  <si>
    <t>Denis Parciu</t>
  </si>
  <si>
    <t>OSC1000 inghetat, fir atenuat.</t>
  </si>
  <si>
    <t xml:space="preserve"> S-a dezghetat jonctiune, resudat si rearanjat.</t>
  </si>
  <si>
    <t>CL0704-Olt1</t>
  </si>
  <si>
    <t>FITT00000097636</t>
  </si>
  <si>
    <t>patch defect in site CL0704</t>
  </si>
  <si>
    <t>s-a inlocuit patch-ul</t>
  </si>
  <si>
    <t>CL0335FAN1ODB1711</t>
  </si>
  <si>
    <t>FITT00000097468</t>
  </si>
  <si>
    <t>Sieut</t>
  </si>
  <si>
    <t>Vlad Giurgiuman</t>
  </si>
  <si>
    <t>FO12 rupt</t>
  </si>
  <si>
    <t>eliberat rezerva si instalat un OSC nou</t>
  </si>
  <si>
    <t>TI0401-Olt2</t>
  </si>
  <si>
    <t>FITT00000097649</t>
  </si>
  <si>
    <t>Ernest + Cristi Schiller</t>
  </si>
  <si>
    <t>F012 rupt</t>
  </si>
  <si>
    <t>300m FO12 si un OSC nou</t>
  </si>
  <si>
    <t>Lipsa coordonate jonctiune</t>
  </si>
  <si>
    <t>CR0039-Olt1</t>
  </si>
  <si>
    <t>FITT00000097678</t>
  </si>
  <si>
    <t>FO72 rupt la traversare</t>
  </si>
  <si>
    <t>s-a eliberat rezerva si s-a instalat un OSC nou</t>
  </si>
  <si>
    <t>FO Local</t>
  </si>
  <si>
    <t>BE0110FAN2ODB74</t>
  </si>
  <si>
    <t>FITT00000097688</t>
  </si>
  <si>
    <t>FO12 afectat de arc electric</t>
  </si>
  <si>
    <t>s-a instalat un OSC nou</t>
  </si>
  <si>
    <t>FO BB</t>
  </si>
  <si>
    <t>CR0039FAN1ODB1123</t>
  </si>
  <si>
    <t>FITT00000097837</t>
  </si>
  <si>
    <t xml:space="preserve">ODB cazut de pe stalp, fibra rupta. </t>
  </si>
  <si>
    <t>Refacut ODB, necesar interventie last mile pentru refacere clienti. Masurat cu pm, valori ok.</t>
  </si>
  <si>
    <t>Hunedoara</t>
  </si>
  <si>
    <t>Toplet_1 (TI0036) - CR2950</t>
  </si>
  <si>
    <t>IMO000000250868</t>
  </si>
  <si>
    <t>Y10</t>
  </si>
  <si>
    <t>Jonctiune inghetata, fir rupt</t>
  </si>
  <si>
    <t>Resudat fir</t>
  </si>
  <si>
    <t>Ialomiţa</t>
  </si>
  <si>
    <t>BR0326FAN1ODB396</t>
  </si>
  <si>
    <t>FITT00000096710</t>
  </si>
  <si>
    <t>Fibra rupta</t>
  </si>
  <si>
    <t>Eliberat fo din rezerva si resudat in ODB396. Masurat semnal ok la ODB395.</t>
  </si>
  <si>
    <t>Major 8h</t>
  </si>
  <si>
    <t>Iaşi</t>
  </si>
  <si>
    <t>CL0179FAN1ODB1510</t>
  </si>
  <si>
    <t>FITT00000097912</t>
  </si>
  <si>
    <t xml:space="preserve">Fibra rupta la traversare. </t>
  </si>
  <si>
    <t>Agabaritic</t>
  </si>
  <si>
    <t>Eliberat rezerva si resudat in ODB1509. Clienti up, valori ok la ODB.</t>
  </si>
  <si>
    <t>Critic 4h</t>
  </si>
  <si>
    <t>Maramureş</t>
  </si>
  <si>
    <t>CR0039FAN1ODB1212</t>
  </si>
  <si>
    <t>FITT00000097934</t>
  </si>
  <si>
    <t>Fibra rupta intre DP si CR0039FAN1ODB1211</t>
  </si>
  <si>
    <t>Instalat 270 m FO12 intre DP si CR0039FAN1ODB1212</t>
  </si>
  <si>
    <t>Mehedinţi</t>
  </si>
  <si>
    <t>CR0752FAN1ODB0602</t>
  </si>
  <si>
    <t>FITT00000097939</t>
  </si>
  <si>
    <t>Poroaia Mare</t>
  </si>
  <si>
    <t>Fibra rupta langa OSC31. Eliberat rezerva si refacut FO in OSC31</t>
  </si>
  <si>
    <t>Y-Implementat</t>
  </si>
  <si>
    <t>Y8</t>
  </si>
  <si>
    <t>Mureş</t>
  </si>
  <si>
    <t>Loss of signal  Alba CL0013 - Sebes CL0559 + MPR CL0559 - CL0424</t>
  </si>
  <si>
    <t>IMO000000251193</t>
  </si>
  <si>
    <t>F-cut la 5 km de CL0559</t>
  </si>
  <si>
    <t xml:space="preserve">S-au instalat 140 m FO 12 intre o jonctiune existnta si una noua </t>
  </si>
  <si>
    <t xml:space="preserve">lipsa acces </t>
  </si>
  <si>
    <t>Y6</t>
  </si>
  <si>
    <t>Olt</t>
  </si>
  <si>
    <t>CR0752FAN1ODB1103</t>
  </si>
  <si>
    <t>FITT00000098162</t>
  </si>
  <si>
    <t>Fibra rupta din DP11. Refacut DP</t>
  </si>
  <si>
    <t xml:space="preserve">Valcea </t>
  </si>
  <si>
    <t>CR0039FAN1ODB1211</t>
  </si>
  <si>
    <t xml:space="preserve">FITT00000098147 </t>
  </si>
  <si>
    <t>Colier rupt. Reancorat FO</t>
  </si>
  <si>
    <t>CR0079FAN1ODB408</t>
  </si>
  <si>
    <t xml:space="preserve">FITT00000098157 </t>
  </si>
  <si>
    <t xml:space="preserve">Fibra rupta de agabaritic </t>
  </si>
  <si>
    <t xml:space="preserve">S-a tras din rezerva si s-a executat o jonctiune </t>
  </si>
  <si>
    <t>Sălaj</t>
  </si>
  <si>
    <t>BR0122FAN2ODB3004</t>
  </si>
  <si>
    <t>FITT00000098466</t>
  </si>
  <si>
    <t>remediat cablu deteriorat (vandalism)--inlocuit 200m cablu 12 fo  dintr-o jonctiune noua pana in Odb</t>
  </si>
  <si>
    <t>Sibiu</t>
  </si>
  <si>
    <t>OLT1-BR2988 / Slot : 1 / PON1/3</t>
  </si>
  <si>
    <t>FITT00000098605</t>
  </si>
  <si>
    <t>Traversa agatata de agabaritic</t>
  </si>
  <si>
    <t xml:space="preserve"> inlocuit 250m fo 48 + 2 osc / stalpul sa pus pe oroc</t>
  </si>
  <si>
    <t>Suceava</t>
  </si>
  <si>
    <t>CR2950FAN4ODB85</t>
  </si>
  <si>
    <t>FITT00000098670</t>
  </si>
  <si>
    <t>Sudura inghetata in OSC preluare</t>
  </si>
  <si>
    <t>Teleorman</t>
  </si>
  <si>
    <t>OLT1-CR0175 / Slot : 1 / PON1/2</t>
  </si>
  <si>
    <t>FITT00000098669</t>
  </si>
  <si>
    <t>Visina</t>
  </si>
  <si>
    <t xml:space="preserve">Marius Cinca </t>
  </si>
  <si>
    <t>Timiş</t>
  </si>
  <si>
    <t>OLT1-CL0018 / Slot : 1 PON1/1, PON1/2, PON1/4, PON1/7, PON1/11, PON1/13</t>
  </si>
  <si>
    <t>FITT00000098675</t>
  </si>
  <si>
    <t>Cablu 48 agatat peste poarta unei case</t>
  </si>
  <si>
    <t xml:space="preserve">Tras rez + 1 osc 48 fo </t>
  </si>
  <si>
    <t>Vâlcea</t>
  </si>
  <si>
    <t>OLT1-CL0383 / Slot : 1 / PON1/10</t>
  </si>
  <si>
    <t>FITT00000098711</t>
  </si>
  <si>
    <t>OSC inghetat</t>
  </si>
  <si>
    <t>s-a dezghetat OSC-ul</t>
  </si>
  <si>
    <t>Cluj</t>
  </si>
  <si>
    <t>Loss of signal WDM CR0754 – CR0753</t>
  </si>
  <si>
    <t>IMO000000251667</t>
  </si>
  <si>
    <t>Fo Local</t>
  </si>
  <si>
    <t xml:space="preserve">Solutie finala </t>
  </si>
  <si>
    <t>FO frecat la stalp</t>
  </si>
  <si>
    <t>N/A- meteo</t>
  </si>
  <si>
    <t>Giurgiu</t>
  </si>
  <si>
    <t>Possible FO CUT NEC local in Mehedinti between CR0398 - CR0168</t>
  </si>
  <si>
    <t>IMO000000251625</t>
  </si>
  <si>
    <t>Solutie provizorie  - atenuare 2.6dB</t>
  </si>
  <si>
    <t>Atenuare la 3,7 km de CR0398</t>
  </si>
  <si>
    <t>N/A- OSC inghetat</t>
  </si>
  <si>
    <t>Refacut sudura - osc inghetat</t>
  </si>
  <si>
    <t>OLT1-CR0175 / Slot : 1 / PON1/5</t>
  </si>
  <si>
    <t>FITT00000098763</t>
  </si>
  <si>
    <t>OLT1-CR0175 / Slot : 1 / PON1/6</t>
  </si>
  <si>
    <t>FITT00000098747</t>
  </si>
  <si>
    <t>olt1-cr0175</t>
  </si>
  <si>
    <t>FITT00000098797</t>
  </si>
  <si>
    <t>Comun cu FITT00000098669</t>
  </si>
  <si>
    <t>FITT00000098824</t>
  </si>
  <si>
    <t>olt1-ti0339</t>
  </si>
  <si>
    <t>FITT00000098875</t>
  </si>
  <si>
    <t>Florin Ciuca</t>
  </si>
  <si>
    <t>DP16 inghetat</t>
  </si>
  <si>
    <t>FITT00000098880</t>
  </si>
  <si>
    <t>returnat</t>
  </si>
  <si>
    <t>Florin Popescu+Catona</t>
  </si>
  <si>
    <t>Comun cu FITT00000098881</t>
  </si>
  <si>
    <t>FITT00000098881</t>
  </si>
  <si>
    <t>DP11 inghetat</t>
  </si>
  <si>
    <t>s-a refacut OSC-ul; inlocuiit 3 splittere de nivel 1</t>
  </si>
  <si>
    <t>FITT00000098883</t>
  </si>
  <si>
    <t xml:space="preserve"> TI00370 – Arad (TI0782)</t>
  </si>
  <si>
    <t>IMO000000251897</t>
  </si>
  <si>
    <t>A ramas circuitul Prime cu atenuare. Rezolvat prin SW . S=a intervenit suplimentar de doua ori</t>
  </si>
  <si>
    <t>OLT1-BE0039 / Slot : 2 / PON2/3</t>
  </si>
  <si>
    <t>FITT00000098955</t>
  </si>
  <si>
    <t>returnat- lucrare build Proconect</t>
  </si>
  <si>
    <t xml:space="preserve"> lucrare build Proconect</t>
  </si>
  <si>
    <t>ti2999_Te0/0/27&lt;10Gb_FO&gt;Te0/0/26_ma1-ti0164</t>
  </si>
  <si>
    <t>IMO000000251940</t>
  </si>
  <si>
    <t>solutie finala</t>
  </si>
  <si>
    <t>FITT00000098962</t>
  </si>
  <si>
    <t>Fir rupt in ODB</t>
  </si>
  <si>
    <t>s-a resudat firul</t>
  </si>
  <si>
    <t>BR0639 – BR0270</t>
  </si>
  <si>
    <t>IMO000000251903</t>
  </si>
  <si>
    <t>Solutie provizorie - FO tras pe sol ( Spital Mures)</t>
  </si>
  <si>
    <t>swap din BR0257 de pe Port8 pe Port6 ... pana in OSC J.CimitirCapalna de pe Fir 8 pe Fir6</t>
  </si>
  <si>
    <t>Swap FO</t>
  </si>
  <si>
    <t>OLT2-TI0401 / Slot : 4 / PON4/1</t>
  </si>
  <si>
    <t>FITT00000099232</t>
  </si>
  <si>
    <t xml:space="preserve">patch rupt in site </t>
  </si>
  <si>
    <t xml:space="preserve">inlocuit patch </t>
  </si>
  <si>
    <t>TI0224FAN1ODB206</t>
  </si>
  <si>
    <t>FITT00000099210</t>
  </si>
  <si>
    <t>ODB VANDALIZAT</t>
  </si>
  <si>
    <t>A FOST INLOCUIT ODB</t>
  </si>
  <si>
    <t>CL0179FAN2ODB0808</t>
  </si>
  <si>
    <t>FITT00000099268</t>
  </si>
  <si>
    <t>ODB INGHETAT</t>
  </si>
  <si>
    <t>A fost dezghetat</t>
  </si>
  <si>
    <t>TI0337FAN2ODB502</t>
  </si>
  <si>
    <t>FITT00000099270</t>
  </si>
  <si>
    <t>DP inghetat</t>
  </si>
  <si>
    <t>OLT1-CR0783 / Slot : 1 / PON1/4</t>
  </si>
  <si>
    <t>FITT00000099561</t>
  </si>
  <si>
    <t>FO rupt intre DP si ODB1311</t>
  </si>
  <si>
    <t>Eliberat rezerva si refacut ODB1311</t>
  </si>
  <si>
    <t>LOSS OF SIGNAL WDM Craiova ( CR0448 ) - CR0006 + NEC CR0259 &lt;&gt; CR0176 + SDH</t>
  </si>
  <si>
    <t>IMO000000252165</t>
  </si>
  <si>
    <t>Solutie provizorie  + atenuare suplimentara , trasa OTDR si circuit Ipaso</t>
  </si>
  <si>
    <t>Cablu impuscat cu alice</t>
  </si>
  <si>
    <t>Necunoscut- cablu impuscat</t>
  </si>
  <si>
    <t>Tras rez + 1 osc</t>
  </si>
  <si>
    <t>44°20'43.7"N 24°03'00.7"E</t>
  </si>
  <si>
    <t>Lipsa acces in zona incidentului</t>
  </si>
  <si>
    <t>Possible FO CUT NEC local in Arad between TI0160 &lt;&gt; TI0282</t>
  </si>
  <si>
    <t>IMO000000251979</t>
  </si>
  <si>
    <t>OSC INGHETAT</t>
  </si>
  <si>
    <t>A fost dezghetat si resudat fibre afectate</t>
  </si>
  <si>
    <t>OLT1-CL0031 / Slot : 4 / PON4/5</t>
  </si>
  <si>
    <t xml:space="preserve">FITT00000099723 </t>
  </si>
  <si>
    <t>Fir rupt in OSC 12 . Refacut sudura</t>
  </si>
  <si>
    <t xml:space="preserve"> OLT1-CR2993 / Slot : 7 7/9 7/10</t>
  </si>
  <si>
    <t>FITT00000099726</t>
  </si>
  <si>
    <t>FO24 rupta la Traversare. Eliberat rezerva si montat OSC nou</t>
  </si>
  <si>
    <t>CR2950FAN3ODB356</t>
  </si>
  <si>
    <t xml:space="preserve">FITT00000099766 </t>
  </si>
  <si>
    <t>Fibra rupta la TB.</t>
  </si>
  <si>
    <t>Necunoscut-posibil lucrari gaz</t>
  </si>
  <si>
    <t>s-a tras din rezerva si s-a refacut TB.</t>
  </si>
  <si>
    <t>CR0752FAN1ODB0104</t>
  </si>
  <si>
    <t xml:space="preserve">FITT00000099714 </t>
  </si>
  <si>
    <t xml:space="preserve">Fibra rupta </t>
  </si>
  <si>
    <t>S-a tras 300m Fo intre 2 ODB</t>
  </si>
  <si>
    <t>CR0168FAN1ODB1536</t>
  </si>
  <si>
    <t xml:space="preserve">FITT00000099787 </t>
  </si>
  <si>
    <t>Sudura defecta in ODB1536. Refacut sudura.</t>
  </si>
  <si>
    <t>OLT1-BR0553 / Slot : 3 / PON3/10</t>
  </si>
  <si>
    <t xml:space="preserve">FITT00000099835 </t>
  </si>
  <si>
    <t>TV ADLER</t>
  </si>
  <si>
    <t>SPL1 defect.</t>
  </si>
  <si>
    <t>S-a identificat si s-a inlocuit spliterul defect.</t>
  </si>
  <si>
    <t>Possible FO CUT NEC local in Mehedinti CR0001 - CR0414</t>
  </si>
  <si>
    <t>IMO000000252689</t>
  </si>
  <si>
    <t xml:space="preserve"> Jonctiune cazuta de stalp</t>
  </si>
  <si>
    <t>S-a identificat si s-a resudat fibra rupta</t>
  </si>
  <si>
    <t>olt1-cr0425,RACK=1,SHELF=1,SLOT=2,PORT=4;</t>
  </si>
  <si>
    <t>FITT00000099944</t>
  </si>
  <si>
    <t xml:space="preserve">Mota Ion </t>
  </si>
  <si>
    <t>Jonctiune inghetata.</t>
  </si>
  <si>
    <t>S-a identificat si s-a dezghetat jonctiunea afectata, s-au refacut sudurile afectate.</t>
  </si>
  <si>
    <t>CL0004FAN1ODB28</t>
  </si>
  <si>
    <t>FITT00000099971</t>
  </si>
  <si>
    <t>Vadu Crisu</t>
  </si>
  <si>
    <t>Fibra afectata in sudura in ODB</t>
  </si>
  <si>
    <t>S-a identificat si sa- resudat fibra afectata</t>
  </si>
  <si>
    <t>CR0377 - CR0421, CR0127 - CR1161</t>
  </si>
  <si>
    <t>IMO000000252876</t>
  </si>
  <si>
    <t>S-a dezghetat OSC-ul si s-au refacut fibrele afectate</t>
  </si>
  <si>
    <t>WDM + SDH + NEC ; Cluj (CL0400) - Dej (CL0079) / CL0470 - CL0395 / CL0088 - CL0079 / CL0035 - CL0079</t>
  </si>
  <si>
    <t>IMO000000252979</t>
  </si>
  <si>
    <t>Salatiu-Dej</t>
  </si>
  <si>
    <t xml:space="preserve">Giurgiuman </t>
  </si>
  <si>
    <t>Fibra rupta de utijale de dezapezire</t>
  </si>
  <si>
    <t>Firma dezepezire</t>
  </si>
  <si>
    <t>S-a tras din rezerva si s-a refacut o jonctiune .Necesar instalare 4 stalpi.</t>
  </si>
  <si>
    <t xml:space="preserve">Craiova (CR0448) - Pestra (CR0782) TCR </t>
  </si>
  <si>
    <t>IMO000000253018</t>
  </si>
  <si>
    <t>SDH cazut</t>
  </si>
  <si>
    <t>Problema pare sa fie placa L-162ND slot 25 din OMSN Pesta-&gt; emite cu  -43.35dBm</t>
  </si>
  <si>
    <t>OLT1-CL0305 / Slot : 1 PON1/15, PON1/16</t>
  </si>
  <si>
    <t>FITT00000100189</t>
  </si>
  <si>
    <t>CR0499FAN1ODB1014</t>
  </si>
  <si>
    <t>FITT00000100190</t>
  </si>
  <si>
    <t>Echipa Mota</t>
  </si>
  <si>
    <t>Fir rupt in DP</t>
  </si>
  <si>
    <t>/CR0039FAN1ODB1112</t>
  </si>
  <si>
    <t>FITT00000096761</t>
  </si>
  <si>
    <t>Dezghetat si refacut suduri</t>
  </si>
  <si>
    <t>CR0039FAN1ODB1133</t>
  </si>
  <si>
    <t>FITT00000100139</t>
  </si>
  <si>
    <t>Cablu agatat de agabaritic</t>
  </si>
  <si>
    <t>schimbat 220m fo intre ODB 1113 si DP</t>
  </si>
  <si>
    <t>CR2950FAN7ODB0104</t>
  </si>
  <si>
    <t>FITT00000100151</t>
  </si>
  <si>
    <t>ODB vandalizat</t>
  </si>
  <si>
    <t>necunoscut</t>
  </si>
  <si>
    <t>s-a inlocuit ODB-ul</t>
  </si>
  <si>
    <t>FITT00000100193</t>
  </si>
  <si>
    <t>Sudura inghetata in ODB</t>
  </si>
  <si>
    <t>Refacut sudura si dezghetat</t>
  </si>
  <si>
    <t xml:space="preserve"> Possible FO CUT NEC local in Mures ,between BR0155 - BR0639</t>
  </si>
  <si>
    <t>IMO000000253270</t>
  </si>
  <si>
    <t>fir atenuat in jonctiunea din santier</t>
  </si>
  <si>
    <t>s-a sapat stanga dreapta, s-au instalat 200m FO24 si doua OSC-uri</t>
  </si>
  <si>
    <t>BE0041 – BE1031</t>
  </si>
  <si>
    <t>IMO000000253350</t>
  </si>
  <si>
    <t>TI0075FAN2ODB2214</t>
  </si>
  <si>
    <t>FITT00000100452</t>
  </si>
  <si>
    <t>Lipsa semnal in splitterul 3 din ODB</t>
  </si>
  <si>
    <t>S-au aranjat firele in ODB si s-au masurat toate porturile din SPL3</t>
  </si>
  <si>
    <t>CR0344FAN2ODB708</t>
  </si>
  <si>
    <t>FITT00000100393</t>
  </si>
  <si>
    <t>patch defect in site CR0344</t>
  </si>
  <si>
    <t>S-a inlocuit patch-ul</t>
  </si>
  <si>
    <t>FITT00000100453</t>
  </si>
  <si>
    <t>returnat- Cauza comuna cu FITT00000100449</t>
  </si>
  <si>
    <t>FITT00000100463</t>
  </si>
  <si>
    <t>CL2999FAN1ODB409</t>
  </si>
  <si>
    <t>FITT00000100448</t>
  </si>
  <si>
    <t>Alex Nadasan + Zsolt</t>
  </si>
  <si>
    <t>Cabluri  agatat de agabaritic combinat cu stalpi rupti</t>
  </si>
  <si>
    <t>s-au instalat 4 jonctiuni noi s-a refacut DP4 , 350m de FO48 si 350m cablu FO12 si instalat 5 stalpi de compsit ( stalpi instalati pe PBM)</t>
  </si>
  <si>
    <t>CR0448FAN1ODB502</t>
  </si>
  <si>
    <t>FITT00000100449</t>
  </si>
  <si>
    <t>Echipa Mota Ioan</t>
  </si>
  <si>
    <t>Atenuare la 1km de ODB</t>
  </si>
  <si>
    <t>Refacut sudura in ODB intermediar</t>
  </si>
  <si>
    <t>CR0039FAN1ODB1213</t>
  </si>
  <si>
    <t>FITT00000100455</t>
  </si>
  <si>
    <t>sudura sparta in ODB</t>
  </si>
  <si>
    <t>s-a refacut sudura</t>
  </si>
  <si>
    <t>olt1-cr0783</t>
  </si>
  <si>
    <t>FITT00000100528</t>
  </si>
  <si>
    <t>agabaritic</t>
  </si>
  <si>
    <t>Tras rezerva + 1 OSC</t>
  </si>
  <si>
    <t>IMO000000253517</t>
  </si>
  <si>
    <t>sudura defecta in OSC</t>
  </si>
  <si>
    <t>OLT1-TI2997 / Slot : 1 / PON1/4/TI2997ODF1FAN1FO16-DP20OSC20SPL1/OUT-4/TI2997ODF1FAN1FO16DP20SPL1P4-SPL1/TI2997FAN1ODB2006</t>
  </si>
  <si>
    <t>FITT00000100619</t>
  </si>
  <si>
    <t xml:space="preserve">Ancoraj la bloc rupt </t>
  </si>
  <si>
    <t>Refacut traseu din DP pana in ODB - 110m</t>
  </si>
  <si>
    <t>GPHF.3.PON.12 din olt2-ti0401</t>
  </si>
  <si>
    <t>FITT00000100651</t>
  </si>
  <si>
    <t xml:space="preserve">Bogdan </t>
  </si>
  <si>
    <t>Fibra atenuata</t>
  </si>
  <si>
    <t>Fibra afectata in urma inlocuirii stalpilor electrica, DP suspendat. Pentru remediere s-a inlocuit tronson de 350m fo, s-a resudat in OSC existent si in DP. Valori ok pe port.</t>
  </si>
  <si>
    <t>CL0522FAN1ODB901</t>
  </si>
  <si>
    <t>FITT00000100659</t>
  </si>
  <si>
    <t>atenuare odb</t>
  </si>
  <si>
    <t>Fibra indoita la iesirea din subteran, la 1.1km de DP9 spre ODB901. S-a indreptat la cald, valori ok la ODB.</t>
  </si>
  <si>
    <t>CL2985FAN1ODB1425</t>
  </si>
  <si>
    <t>FITT00000100682</t>
  </si>
  <si>
    <t xml:space="preserve">Fir rupt la DP4. </t>
  </si>
  <si>
    <t>Resudat, valori ok la odb.</t>
  </si>
  <si>
    <t>TI0401FAN2ODB3411</t>
  </si>
  <si>
    <t>FITT00000100676</t>
  </si>
  <si>
    <t>Pigtail rupt pe OUT3</t>
  </si>
  <si>
    <t xml:space="preserve">Schimbat pigtail </t>
  </si>
  <si>
    <t>OLT1-CL0066 / Slot : 3 / PON3/5</t>
  </si>
  <si>
    <t>FITT00000100706</t>
  </si>
  <si>
    <t xml:space="preserve">Fibra rupta de agabaritic. </t>
  </si>
  <si>
    <t>Necunascut -Aganaritic</t>
  </si>
  <si>
    <t>Eliberat rezerve si instalat 1 osc nou. Portul este up.</t>
  </si>
  <si>
    <t>Loss of signal in MURES intre  BR0200 - BR0202</t>
  </si>
  <si>
    <t>IMO000000253657</t>
  </si>
  <si>
    <t>Incident OROC</t>
  </si>
  <si>
    <t>WDM Alexandria (CR0781) - CR0140</t>
  </si>
  <si>
    <t>IMO000000253927</t>
  </si>
  <si>
    <t>Fir rupt in jonctiune cazuta de pe stalp din cauza vantului</t>
  </si>
  <si>
    <t>resudat fir si repozitionat jonctiune</t>
  </si>
  <si>
    <t>CL0054 - CL0119, CL0054 - CL0541</t>
  </si>
  <si>
    <t>IMO000000254087</t>
  </si>
  <si>
    <t>Sorin Ternar + Iosif Criste</t>
  </si>
  <si>
    <t>CR1129 - CR0781 / CR0781 - CR1070 / CR0781 - CR0129</t>
  </si>
  <si>
    <t>IMO000000254161</t>
  </si>
  <si>
    <t>Jonctiune cazuta de pe stalp, buffer rupt</t>
  </si>
  <si>
    <t>Resudat buffer si repozitionat jonctiune</t>
  </si>
  <si>
    <t>OLT1-CL0522 / Slot : 12 / PON12/5</t>
  </si>
  <si>
    <t>FITT00000101313</t>
  </si>
  <si>
    <t>Fibra smulsa din ODB.</t>
  </si>
  <si>
    <t xml:space="preserve"> Resudat, port up, valori ok.</t>
  </si>
  <si>
    <t>TI0203FAN1ODB902</t>
  </si>
  <si>
    <t>FITT00000101526</t>
  </si>
  <si>
    <t>Erno</t>
  </si>
  <si>
    <t>Spliter defect</t>
  </si>
  <si>
    <t>S-a inlocuit spliter.</t>
  </si>
  <si>
    <t>TI0401FAN2ODB1016</t>
  </si>
  <si>
    <t>FITT00000100687</t>
  </si>
  <si>
    <t>Tichet returnat</t>
  </si>
  <si>
    <t>Cablul fo a fost introdus prin pat de cablu iar jonctiunea pozata de bloc.</t>
  </si>
  <si>
    <t>CR0078FAN1ODB0214</t>
  </si>
  <si>
    <t>FITT00000101552</t>
  </si>
  <si>
    <t>Golesti</t>
  </si>
  <si>
    <t xml:space="preserve">Fibra rupta in urma unui accident. </t>
  </si>
  <si>
    <t>S-a inlocuit 120 m FO intre DP si o jonctiune noua.</t>
  </si>
  <si>
    <t>OLT1-CR0077 / Slot : 3 / PON3/2</t>
  </si>
  <si>
    <t>FITT00000101568</t>
  </si>
  <si>
    <t>Fibra rupta in sudura .</t>
  </si>
  <si>
    <t>S-a identificat si s-a resudat fibra rupta.</t>
  </si>
  <si>
    <t>Incident reclamatie supervizare in Timisoara,between TI0055-TI20019 - CEC L90938 Timisoara VPN</t>
  </si>
  <si>
    <t>IMO000000254427</t>
  </si>
  <si>
    <t xml:space="preserve">Sebastian </t>
  </si>
  <si>
    <t xml:space="preserve">Cosmin Pau </t>
  </si>
  <si>
    <t>Incident din OCT - traseu nemapat . Fibra rupta in OSC</t>
  </si>
  <si>
    <t>S-a resudat fibra in OSC</t>
  </si>
  <si>
    <t>Traseu nemapat in NICM si lipsa acces la clent Dragon</t>
  </si>
  <si>
    <t>reclamatie Vodafone in Mures,between BR0072-BR0471 DFDAR0001</t>
  </si>
  <si>
    <t>IMO000000254462</t>
  </si>
  <si>
    <t>Vasile Vultur/Florin Oltean</t>
  </si>
  <si>
    <t>Atenuare in apropriere de site BR0162</t>
  </si>
  <si>
    <t>S-a eliberat rezerva si sudat in jonctiune existenta</t>
  </si>
  <si>
    <t>Lpsa acces in incinta firmei unde este amplasat site-ul</t>
  </si>
  <si>
    <t>CL0691FAN1ODB19</t>
  </si>
  <si>
    <t>FITT00000101590</t>
  </si>
  <si>
    <t>Glodan</t>
  </si>
  <si>
    <t>Fibra rupta de agabaritic</t>
  </si>
  <si>
    <t>S-au instalat 120m FO 12 si s-au executat 2 jonctiuni.</t>
  </si>
  <si>
    <t>OLT1-CL0165 / Slot : 3 / PON3/4</t>
  </si>
  <si>
    <t>FITT00000101730</t>
  </si>
  <si>
    <t>Claudiu Glodan</t>
  </si>
  <si>
    <t>DP inghetat - SPL R1 defect</t>
  </si>
  <si>
    <t>vreme</t>
  </si>
  <si>
    <t>Dezghetat si schimbat SPL R1</t>
  </si>
  <si>
    <t>TI0337FAN1ODB803</t>
  </si>
  <si>
    <t>FITT00000101813</t>
  </si>
  <si>
    <t>3 OUT RUPTE IN SPL</t>
  </si>
  <si>
    <t>Schimbat SPL in ODB</t>
  </si>
  <si>
    <t>CR0257FAN1ODB32</t>
  </si>
  <si>
    <t>FITT00000101860</t>
  </si>
  <si>
    <t>Tene+Cinca+Lazar</t>
  </si>
  <si>
    <t>fir nesudat in DP</t>
  </si>
  <si>
    <t>CL2985FAN1ODB1424</t>
  </si>
  <si>
    <t>FITT00000101891</t>
  </si>
  <si>
    <t xml:space="preserve">Fir rupt la 500m de ODB </t>
  </si>
  <si>
    <t>Refacut fire in OSC EX</t>
  </si>
  <si>
    <t>CL0146FAN1ODB0102</t>
  </si>
  <si>
    <t>FITT00000101905</t>
  </si>
  <si>
    <t>Fir rupt in caseta ODB</t>
  </si>
  <si>
    <t>CL0335FAN1ODB1533</t>
  </si>
  <si>
    <t>FITT00000101916</t>
  </si>
  <si>
    <t>Fire rupte la 400m de DP</t>
  </si>
  <si>
    <t>Refacut suduri OSC ex</t>
  </si>
  <si>
    <t>CL0217FAN1ODB103</t>
  </si>
  <si>
    <t>FITT00000101927</t>
  </si>
  <si>
    <t>DP inghetat + stalp cazut peste FO</t>
  </si>
  <si>
    <t>Dezghetat DP si reintins FO</t>
  </si>
  <si>
    <t>Possible FO CUT in ARAD intre  TI0160 - TI0038</t>
  </si>
  <si>
    <t>IMO000000254760</t>
  </si>
  <si>
    <t>avarie pe tronson VDF</t>
  </si>
  <si>
    <t>Avarie pe tronson VDF</t>
  </si>
  <si>
    <t>OLT1-CR0077 / Slot : 3 / PON3/1</t>
  </si>
  <si>
    <t>FITT00000101960</t>
  </si>
  <si>
    <t>DP28 inghetat</t>
  </si>
  <si>
    <t>Loss of signal WDM BR0391 - BR30354</t>
  </si>
  <si>
    <t>IMO000000254641</t>
  </si>
  <si>
    <t>Masuratori - problema ODF BR0391</t>
  </si>
  <si>
    <t>ODF</t>
  </si>
  <si>
    <t>Curatat conectica + masuratori</t>
  </si>
  <si>
    <t xml:space="preserve">Loss of signal WDM CL0518-BR0016 </t>
  </si>
  <si>
    <t>IMO000000254674</t>
  </si>
  <si>
    <t>Circuitul nu a fost DOWN</t>
  </si>
  <si>
    <t>CR2950FAN7ODB1114</t>
  </si>
  <si>
    <t>FITT00000101947</t>
  </si>
  <si>
    <t>FO smuls din ODB</t>
  </si>
  <si>
    <t>s-a refacut ODB</t>
  </si>
  <si>
    <t>CR0257FAN1ODB14</t>
  </si>
  <si>
    <t>FITT00000102082</t>
  </si>
  <si>
    <t>TI0337FAN2ODB202</t>
  </si>
  <si>
    <t>FITT00000102149</t>
  </si>
  <si>
    <t>Capac lipsa la ODB</t>
  </si>
  <si>
    <t>vandalism</t>
  </si>
  <si>
    <t>s-a inlocuit capacul ODB-ului</t>
  </si>
  <si>
    <t>BE0409 - Matau BE0451</t>
  </si>
  <si>
    <t>IMO000000254847</t>
  </si>
  <si>
    <t>Loss of signal WDM TI0109 - TI0197</t>
  </si>
  <si>
    <t>IMO000000255154</t>
  </si>
  <si>
    <t>Manson agatat in intersectie</t>
  </si>
  <si>
    <t>Refacut OSC existent</t>
  </si>
  <si>
    <t>CR2950FAN1ODB280</t>
  </si>
  <si>
    <t>FITT00000102186</t>
  </si>
  <si>
    <t>Fir rupt in OSC preluare</t>
  </si>
  <si>
    <t>BE0110FAN2ODB27</t>
  </si>
  <si>
    <t>FITT00000102366</t>
  </si>
  <si>
    <t>Fibra rupta langa DP.</t>
  </si>
  <si>
    <t xml:space="preserve"> Eliberat rezerva si resudat fibra in DP. Valori ok la ODB.</t>
  </si>
  <si>
    <t>FITT00000102372</t>
  </si>
  <si>
    <t xml:space="preserve">Fir rupt in DP15. </t>
  </si>
  <si>
    <t>Resudat, port up.</t>
  </si>
  <si>
    <t>CL0522FAN3ODB701</t>
  </si>
  <si>
    <t>FITT00000102373</t>
  </si>
  <si>
    <t>Reteaua in aceasta zona este exNEXTGEN, schimbata in VHBB ORO.
In august 2025 am mai avut problema aici, atunci se reclama lipsa semnal. FITT00000065543
Acum se reclama porturi inversate. Trebuie sa fie pe 13/9, e descoperit ODB701 pe 13/8.
Cele 2 porturi nu au DP-ul comun.
Am incercat sa identificat DP71 (unde se afla spliter de nivel 1 pt 13.9), dar nu se reuseste identificarea in teren. Unde apare in NICM, nu exista. Am incercat sa urmarim cablul, insa de la iesirea din bloc (unde e ODB701) intra in subteran si nu ne putem da seama pe unde merge.</t>
  </si>
  <si>
    <t>OLT1-TI0400 / Slot : 2 PON2/7, PON2/8</t>
  </si>
  <si>
    <t>FITT00000102404</t>
  </si>
  <si>
    <t>OSC existent agatat de camion</t>
  </si>
  <si>
    <t>Refacut 1 buffer + montat caseta noua</t>
  </si>
  <si>
    <t>CL2999FAN1ODB413</t>
  </si>
  <si>
    <t>FITT00000102639</t>
  </si>
  <si>
    <t xml:space="preserve">Fir rupt in osc intermediar la 500m de odb. </t>
  </si>
  <si>
    <t>Identificat si resudat. Valori ok la ODB.</t>
  </si>
  <si>
    <t>TI0206FAN1ODB1101</t>
  </si>
  <si>
    <t xml:space="preserve">FITT00000102638 </t>
  </si>
  <si>
    <t>ODB fara capac</t>
  </si>
  <si>
    <t>Instalat capac ODB si verificat valori.</t>
  </si>
  <si>
    <t>BR0238FAN1ODB4</t>
  </si>
  <si>
    <t>FITT00000102377</t>
  </si>
  <si>
    <t>S-a verificat ODB4, are 2 splitere si ambele sunt cu semnal. ODB are un singur spliter cu semnal ok. Nu sunt probleme cu ODB4 si ODB6.</t>
  </si>
  <si>
    <t>CR0077FAN1ODB12812</t>
  </si>
  <si>
    <t xml:space="preserve">FITT00000103110 </t>
  </si>
  <si>
    <t>Sudura sparta la 1739m in CR0077FAN1DP28OSC28. Refacut sudura. Semnal in parametri</t>
  </si>
  <si>
    <t>CR0257FAN1ODB298</t>
  </si>
  <si>
    <t xml:space="preserve">FITT00000103111 </t>
  </si>
  <si>
    <t>SPL defect in ODB</t>
  </si>
  <si>
    <t>def. echipament</t>
  </si>
  <si>
    <t>Inlocuit SPL</t>
  </si>
  <si>
    <t>CR2950FAN7ODB0506</t>
  </si>
  <si>
    <t xml:space="preserve">FITT00000103114 </t>
  </si>
  <si>
    <t>TB1 si TB2 vandalizate. Fibra smulsa din TB-uri. Refacut sudurile in TB-uri.</t>
  </si>
  <si>
    <t>TI0257FAN2ODB2212</t>
  </si>
  <si>
    <t xml:space="preserve">FITT00000102896 </t>
  </si>
  <si>
    <t>Fir rupt in DP2</t>
  </si>
  <si>
    <t>Refacut sudura in DP2</t>
  </si>
  <si>
    <t xml:space="preserve">FITT00000102734 </t>
  </si>
  <si>
    <t>Fir nesudat/rupt pe intrare in SPL2 din CR2950FAN7ODB0506. Sudat fibra pe intrare SPL2.</t>
  </si>
  <si>
    <t>TI0337FAN1ODB1705</t>
  </si>
  <si>
    <t>FITT00000103320</t>
  </si>
  <si>
    <t>Cabu rupt in sapatura de la Tb spre ODB</t>
  </si>
  <si>
    <t>Refacut din rezerva TB</t>
  </si>
  <si>
    <t>CL0567FAN1ODB11917</t>
  </si>
  <si>
    <t>FITT00000103310</t>
  </si>
  <si>
    <t>comun cu FITT00000103326</t>
  </si>
  <si>
    <t>TI0062FAN1ODB1924</t>
  </si>
  <si>
    <t>FITT00000103322</t>
  </si>
  <si>
    <t>OLT1-CL0567 / Slot : 3 / PON3/9</t>
  </si>
  <si>
    <t>FITT00000103326</t>
  </si>
  <si>
    <t xml:space="preserve">Comun cu FITT00000105896 </t>
  </si>
  <si>
    <t>CR2950FAN3ODB144</t>
  </si>
  <si>
    <t>FITT00000103263</t>
  </si>
  <si>
    <t>Fir rupt in OSC de preluare</t>
  </si>
  <si>
    <t>OLT1-CL0567 / Slot : 3 / PON3/7</t>
  </si>
  <si>
    <t>FITT00000103303</t>
  </si>
  <si>
    <t>CR2950FAN2ODB191</t>
  </si>
  <si>
    <t>FITT00000103606</t>
  </si>
  <si>
    <t>fir rupt in DP</t>
  </si>
  <si>
    <t>CR0752FAN1ODB0601</t>
  </si>
  <si>
    <t>FITT00000103518</t>
  </si>
  <si>
    <t>fir rupt in DP6</t>
  </si>
  <si>
    <t>TI0203FAN1ODB1211</t>
  </si>
  <si>
    <t>FITT00000103595</t>
  </si>
  <si>
    <t>Cosmin PAU</t>
  </si>
  <si>
    <t>sudura defecta in ODB1216</t>
  </si>
  <si>
    <t>s-a refacur sudura</t>
  </si>
  <si>
    <t>CL0261 - CL0694</t>
  </si>
  <si>
    <t>IMO000000256535</t>
  </si>
  <si>
    <t>Generat de Proconect</t>
  </si>
  <si>
    <t>FO rupt accidental la instalarea cameretelor</t>
  </si>
  <si>
    <t>Proconect</t>
  </si>
  <si>
    <t>s-a refacut cablul</t>
  </si>
  <si>
    <t>TI0160 - TIMISOARA(TI0445) + NEC TI0073 - TI0103</t>
  </si>
  <si>
    <t>IMO000000256543</t>
  </si>
  <si>
    <t>Solutie provizorie - atenuari - de inlocuit patch in shelter</t>
  </si>
  <si>
    <t>FO36 afectat in urma taierii unui copac</t>
  </si>
  <si>
    <t>120m FO48 + 2 OSC-uri</t>
  </si>
  <si>
    <t>CR0140 - CR0781 (ALEXANDRIA_1 ) + NEC CR0781 - CR0069</t>
  </si>
  <si>
    <t>IMO000000256510</t>
  </si>
  <si>
    <t>FO LOCAL</t>
  </si>
  <si>
    <t>FO stresat in spirala de intindere</t>
  </si>
  <si>
    <t>s-a indreptat cablul la cald</t>
  </si>
  <si>
    <t>TI0160 - TI9420</t>
  </si>
  <si>
    <t>IMO000000256585</t>
  </si>
  <si>
    <t>splitter lvl1 defect in Shelter F2</t>
  </si>
  <si>
    <t>s-a inlocuit splitter-ul</t>
  </si>
  <si>
    <t>Reclamatie VDF FO CUT CR0414 &lt;&gt; CR0001</t>
  </si>
  <si>
    <t>IMO000000256845</t>
  </si>
  <si>
    <t>Ciresu</t>
  </si>
  <si>
    <t>Buffer rupt in OSC intermediar</t>
  </si>
  <si>
    <t>Refacut buffer complet</t>
  </si>
  <si>
    <t>CR2950FAN3ODB294</t>
  </si>
  <si>
    <t>FITT00000103915</t>
  </si>
  <si>
    <t>Resudat fir, valori ok la ODB.</t>
  </si>
  <si>
    <t>OLT1-CL0217 / Slot : 1 / PON1/1</t>
  </si>
  <si>
    <t>FITT00000103924</t>
  </si>
  <si>
    <t>Fir rupt in ODB114. resudat, port up.</t>
  </si>
  <si>
    <t>OLT1-CL0217 / Slot : 1 / PON1/4</t>
  </si>
  <si>
    <t>FITT00000103948</t>
  </si>
  <si>
    <t xml:space="preserve">Buffer rupt in DP6. </t>
  </si>
  <si>
    <t>Resudat buffer, port up.</t>
  </si>
  <si>
    <t>BE0327FAN1ODB37</t>
  </si>
  <si>
    <t>FITT00000103849</t>
  </si>
  <si>
    <t>out splitere rupte</t>
  </si>
  <si>
    <t>Ambele splitere din ODB37 aveau pigtai rupti. S-au inlocuit ambele splitere, semnal ok.</t>
  </si>
  <si>
    <t>Alexandria (CR0781) - Pestra (CR0782)</t>
  </si>
  <si>
    <t>IMO000000256929</t>
  </si>
  <si>
    <t>fir rupt in sudura</t>
  </si>
  <si>
    <t>resudat fir</t>
  </si>
  <si>
    <t>OLT1-BR0018 / Slot : 2
PON2/2, PON2/3, PON2/5</t>
  </si>
  <si>
    <t>FITT00000104176</t>
  </si>
  <si>
    <t>Alex Nadasan</t>
  </si>
  <si>
    <t xml:space="preserve">FIbra agatata in cadrul lucrarilor la autostrada. </t>
  </si>
  <si>
    <t>instalat 100m fo, resudat 2 jonctiuni existente. Porturile sunt up.</t>
  </si>
  <si>
    <t>CL0185FAN1ODB1916</t>
  </si>
  <si>
    <t xml:space="preserve">FITT00000104351 </t>
  </si>
  <si>
    <t>F-cut la 466m de ODB1916. Fibra smulsa din armorod</t>
  </si>
  <si>
    <t>Tras rezerva din odb1915 si executat 1 jonct noua</t>
  </si>
  <si>
    <t>BE0039FAN1ODB123 / BE0039FAN1ODB122</t>
  </si>
  <si>
    <t xml:space="preserve">FITT00000104358 </t>
  </si>
  <si>
    <t>Fibra rupta de agabaritic.</t>
  </si>
  <si>
    <t>Instalat 240 m FO , 2 OSC</t>
  </si>
  <si>
    <t>TI0062FAN1ODB1812</t>
  </si>
  <si>
    <t xml:space="preserve">FITT00000104373 </t>
  </si>
  <si>
    <t xml:space="preserve">FO 24 rupt de agabaritic </t>
  </si>
  <si>
    <t>S-au instalat 70 m FO 24 , s-a refacut un ODB si s-a instalat o jonctiune noua.</t>
  </si>
  <si>
    <t>olt1-cl0072,RACK=1,SHELF=1,SLOT=2,PORT=5</t>
  </si>
  <si>
    <t>FITT00000104669</t>
  </si>
  <si>
    <t>DP cazut de pe stalp,fire rupte in dp</t>
  </si>
  <si>
    <t xml:space="preserve"> S-au identificat si s-au resudat firele rupte .</t>
  </si>
  <si>
    <t>CR0781FAN1ODB26</t>
  </si>
  <si>
    <t>FITT00000104667</t>
  </si>
  <si>
    <t xml:space="preserve">Marius Tene </t>
  </si>
  <si>
    <t>Fibra rupta in ODB</t>
  </si>
  <si>
    <t>S-a identificat si s-a resudat fibra rupta .</t>
  </si>
  <si>
    <t>TI2997FAN2ODB1204</t>
  </si>
  <si>
    <t>FITT00000104706</t>
  </si>
  <si>
    <t xml:space="preserve">Alex Popa </t>
  </si>
  <si>
    <t>S-a inlocuit 50 m FO12 si s-au refacut ODB.</t>
  </si>
  <si>
    <t>CR0077FAN1ODB12413</t>
  </si>
  <si>
    <t>FITT00000104710</t>
  </si>
  <si>
    <t>S-a identificat si s-a resudat fibra afectatata.</t>
  </si>
  <si>
    <t>CL0548FAN1ODB12506</t>
  </si>
  <si>
    <t>FITT00000104711</t>
  </si>
  <si>
    <t>FP Connect</t>
  </si>
  <si>
    <t xml:space="preserve">Spliter defect </t>
  </si>
  <si>
    <t xml:space="preserve">Inlocuit spliter </t>
  </si>
  <si>
    <t>CL0313FAN1ODB73X</t>
  </si>
  <si>
    <t>FITT00000104816</t>
  </si>
  <si>
    <t>ODB cazut de pe stalp</t>
  </si>
  <si>
    <t>BR0391FAN1ODB32</t>
  </si>
  <si>
    <t>FITT00000104828</t>
  </si>
  <si>
    <t xml:space="preserve">Vasile Vultur </t>
  </si>
  <si>
    <t>TI0401FAN2ODB3040</t>
  </si>
  <si>
    <t>FITT00000105074</t>
  </si>
  <si>
    <t>Cosmin Pau + civile</t>
  </si>
  <si>
    <t>Fibra rupta in cadrul lucrarilor la conducte de gaz.</t>
  </si>
  <si>
    <t>gaz</t>
  </si>
  <si>
    <t>Eliberat rezerve si instalat 1 jonctiune. Valori ok la ODB.</t>
  </si>
  <si>
    <t>TI0400FAN2ODB1002</t>
  </si>
  <si>
    <t>FITT00000105034</t>
  </si>
  <si>
    <t>sudura defecta pe intrarea in splitter</t>
  </si>
  <si>
    <t>CR2950FAN3ODB292</t>
  </si>
  <si>
    <t>FITT00000105085</t>
  </si>
  <si>
    <t>FO de alimentare a TB3 rupta</t>
  </si>
  <si>
    <t>s-a eliberat rezerva si s-a reintrodus in TB</t>
  </si>
  <si>
    <t>BR0401 ) - Sibiu ( BR0375 ) + BR0028 + NEC  RAMADA_1 ( BR0401 ) - BR0077</t>
  </si>
  <si>
    <t>IMO000000258122</t>
  </si>
  <si>
    <t>FO48 smuls in OSC in urma unor sapaturi</t>
  </si>
  <si>
    <t>s-a refacut OSC-ul</t>
  </si>
  <si>
    <t>Reclamatie // Loss of signal WDM TI0032_Lugoj_1 - Deva_1(TI0195</t>
  </si>
  <si>
    <t>IMO000000258436</t>
  </si>
  <si>
    <t>Solutie provizorie</t>
  </si>
  <si>
    <t>Motiu Calin + civile TM + Ernest</t>
  </si>
  <si>
    <t>S-a facut swap provizoriu din HH126 pina in J37 de pe fir 8 pe fir 7. PBM 59670.</t>
  </si>
  <si>
    <t>CL2984FAN1ODB386</t>
  </si>
  <si>
    <t>FITT00000105277</t>
  </si>
  <si>
    <t xml:space="preserve">ancoraj rupt la bloc. </t>
  </si>
  <si>
    <t>Instalat 140m fo12 intre jonctiune existenta si ODB390. Valori ok la ODB.</t>
  </si>
  <si>
    <t>TI0206FAN1ODB1312</t>
  </si>
  <si>
    <t>FITT00000105339</t>
  </si>
  <si>
    <t xml:space="preserve">Sudura puscata la 74m de site </t>
  </si>
  <si>
    <t>Refacut sudura OSC</t>
  </si>
  <si>
    <t>BR0556FAN1ODB804</t>
  </si>
  <si>
    <t>FITT00000105304</t>
  </si>
  <si>
    <t>Fibre inversate SPL in DP pe fo 20 , plecare din BR0556 pe fo 19</t>
  </si>
  <si>
    <t>Mutat SPL in DP pe fo 19 conform NICM</t>
  </si>
  <si>
    <t>BR0553FAN1ODB1814</t>
  </si>
  <si>
    <t>FITT00000105290</t>
  </si>
  <si>
    <t>Fir rupt la ODB.</t>
  </si>
  <si>
    <t>Resudat</t>
  </si>
  <si>
    <t>TI0417 - TI0022 / TI0417 - TI0781</t>
  </si>
  <si>
    <t>IMO000000258797</t>
  </si>
  <si>
    <t>Fibra rupta in sapatura</t>
  </si>
  <si>
    <t>Instalat 50m fo si 2 osc</t>
  </si>
  <si>
    <t>CR0076  - CR0168 / CR0076 - CR0410 + NEC + SDH</t>
  </si>
  <si>
    <t>IMO000000258835</t>
  </si>
  <si>
    <t>Eliberat din rezerva si instalat osc</t>
  </si>
  <si>
    <t>TI0207FAN1ODB408</t>
  </si>
  <si>
    <t>FITT00000105762</t>
  </si>
  <si>
    <t>ODB suspendat</t>
  </si>
  <si>
    <t>ODB pozitionat pe stalp.</t>
  </si>
  <si>
    <t>TI2999FAN1ODB11013</t>
  </si>
  <si>
    <t>FITT00000105713</t>
  </si>
  <si>
    <t>Ionut Pascau + Godo</t>
  </si>
  <si>
    <t>Ionut Pascau + Cosmin Bora</t>
  </si>
  <si>
    <t>Fibre rupte de agabaritic. Instalat 3 joncțiuni noi pe fiecare cablu</t>
  </si>
  <si>
    <t>CL0400FAN2ODB0703</t>
  </si>
  <si>
    <t>FITT00000105750</t>
  </si>
  <si>
    <t>Vlad Giurgiuman + Zsolt</t>
  </si>
  <si>
    <t>ODB atenuat</t>
  </si>
  <si>
    <t>Atanuari multiple intre ODB si DP7. S-a resudat firul in ODB, jonctiune din parcarea subterana, inlocuit spliter in DP7.</t>
  </si>
  <si>
    <t>TI0164FAN1ODB11221</t>
  </si>
  <si>
    <t xml:space="preserve">FITT00000105755 </t>
  </si>
  <si>
    <t>Cosmin Bora</t>
  </si>
  <si>
    <t>fibra rupta in manson la 1400m de DP12</t>
  </si>
  <si>
    <t>refăcut sudura</t>
  </si>
  <si>
    <t>CR0372FAN1ODB0601</t>
  </si>
  <si>
    <t xml:space="preserve">FITT00000105517 </t>
  </si>
  <si>
    <t>Ioan  Marica</t>
  </si>
  <si>
    <t>lipsa semnal ODB -CR0372FAN1ODB0601, SPL1</t>
  </si>
  <si>
    <t>Fir rupt in ODB, s-a identificat si s-a resudat fibra rupta in ODB</t>
  </si>
  <si>
    <t>BE0327FAN3ODB674</t>
  </si>
  <si>
    <t xml:space="preserve">FITT00000105693 </t>
  </si>
  <si>
    <t>Fir rupt in ODB673. Refacut sudura.</t>
  </si>
  <si>
    <t>CR0077FAN1ODB11313</t>
  </si>
  <si>
    <t xml:space="preserve">FITT00000105899 </t>
  </si>
  <si>
    <t>Fire rupte la 540 m de ODB11313. Resudat fibre in ODB11311</t>
  </si>
  <si>
    <t>Loss of signal WDM TIMISOARA(TI0445) - TI0224</t>
  </si>
  <si>
    <t>IMO000000259177</t>
  </si>
  <si>
    <t>Dumbravita</t>
  </si>
  <si>
    <t xml:space="preserve">Fibra rupta la 14,5 km de TI0224. </t>
  </si>
  <si>
    <t>Refacut J_IMO42704</t>
  </si>
  <si>
    <t>BR0018FAN1ODB23</t>
  </si>
  <si>
    <t xml:space="preserve">FITT00000105896 </t>
  </si>
  <si>
    <t>Cablu rupt in urma unui incendiu. Instalat FO 24 200m intre ODB28 si ODB29</t>
  </si>
  <si>
    <t>TI0511FAN1ODB1213</t>
  </si>
  <si>
    <t xml:space="preserve">FITT00000105932 </t>
  </si>
  <si>
    <t>Ionel Pascau</t>
  </si>
  <si>
    <t>Splitter defect - pigtail-uri rupte. Inlocuit splitter</t>
  </si>
  <si>
    <t>BR0018FAN1ODB25</t>
  </si>
  <si>
    <t xml:space="preserve">FITT00000105933 </t>
  </si>
  <si>
    <t>Comun cu FITT00000105896</t>
  </si>
  <si>
    <t>Loss of signal WDM CL0602 - CL0217</t>
  </si>
  <si>
    <t>IMO000000259195</t>
  </si>
  <si>
    <t>Incident la 9,03Km de CL0602 catre CL0217. Cablu interconect smuls din cutie</t>
  </si>
  <si>
    <t>Cablu interconect smuls din OSC. Refacut interconect</t>
  </si>
  <si>
    <t>CR0257FAN1ODB182</t>
  </si>
  <si>
    <t>FITT00000106081</t>
  </si>
  <si>
    <t>Fibra rupta in OSC8</t>
  </si>
  <si>
    <t>CL0400FAN2ODB0705</t>
  </si>
  <si>
    <t>FITT00000106084</t>
  </si>
  <si>
    <t xml:space="preserve">Zsolt </t>
  </si>
  <si>
    <t>Semnal atenuat</t>
  </si>
  <si>
    <t>Refăcut suduri odb și joncțiune parcare subterană</t>
  </si>
  <si>
    <t>TI0313FAN1ODB1818</t>
  </si>
  <si>
    <t>FITT00000106140</t>
  </si>
  <si>
    <t>Splitre defecte in ODB</t>
  </si>
  <si>
    <t>S-a identificat si s-au inlocuit splitrele defecte.</t>
  </si>
  <si>
    <t>TI0164FAN1ODB11434</t>
  </si>
  <si>
    <t>FITT00000106145</t>
  </si>
  <si>
    <t xml:space="preserve">Sudura sparta in OSC 50 </t>
  </si>
  <si>
    <t>refacut sudura</t>
  </si>
  <si>
    <t>OLT1-CL0445 / Slot : 12 / PON12/5</t>
  </si>
  <si>
    <t>FITT00000106151</t>
  </si>
  <si>
    <t>Atenuare mare in DP - sudura puscata</t>
  </si>
  <si>
    <t>Refacut sudura in DP</t>
  </si>
  <si>
    <t>Loss of signal WDM Band (BR0471)-BR0529</t>
  </si>
  <si>
    <t>IMO000000259489</t>
  </si>
  <si>
    <t xml:space="preserve">Ambus </t>
  </si>
  <si>
    <t xml:space="preserve">Vasile Vutur </t>
  </si>
  <si>
    <t xml:space="preserve">Cablu rupt pe aerian </t>
  </si>
  <si>
    <t>Inlocuit 250m fo + 2 osc</t>
  </si>
  <si>
    <t>BE2997FAN1ODB82</t>
  </si>
  <si>
    <t>FITT00000106369</t>
  </si>
  <si>
    <t>Cablu 48 rupt - lemne cazute peste FO si cabluri EE</t>
  </si>
  <si>
    <t xml:space="preserve">160m + 2 osc 48 fo </t>
  </si>
  <si>
    <t>OLT1-TI0117 / Slot : 2 PON2/10, PON2/13</t>
  </si>
  <si>
    <t>FITT00000106335</t>
  </si>
  <si>
    <t>Traseu OROC rupt - stalpi rupti - sa mutat pe oroc</t>
  </si>
  <si>
    <t>cl0445,RACK=1,SHELF=1,SLOT=13,PORT=5;</t>
  </si>
  <si>
    <t>FITT00000106329</t>
  </si>
  <si>
    <t>LOSS OF SIGNAL WDM BR0015 - BR2727 , Dumbravita(BR0433) - Rucar(BE0782) + MPR BR0015 - BR0501 + SDH</t>
  </si>
  <si>
    <t>IMO000000259479</t>
  </si>
  <si>
    <t>cablu rupt in subteran de firma care monta semne</t>
  </si>
  <si>
    <t>Necunoscut ( posibil S.T Viarom)</t>
  </si>
  <si>
    <t>inlocuit aprox 480m pe subteran si instalate 2 OSC</t>
  </si>
  <si>
    <t>TI0258FAN1ODB1518</t>
  </si>
  <si>
    <t>FITT00000106854</t>
  </si>
  <si>
    <t>TI0258FAN1ODB1518 deterioat, capac rupt, ODB-ul atarna intr-o pozitie nefireasca</t>
  </si>
  <si>
    <t>Schimbat capac si repozitionat ODB</t>
  </si>
  <si>
    <t>OLT1-BE0110 / Slot : 3 / PON3/4</t>
  </si>
  <si>
    <t>FITT00000106882</t>
  </si>
  <si>
    <t xml:space="preserve">Fir rupt in DP 8 </t>
  </si>
  <si>
    <t>OLT1-TI0337 / Slot : 1 / PON1/5</t>
  </si>
  <si>
    <t>FITT00000106907</t>
  </si>
  <si>
    <t>PATCH DEFECT IN SITE - NU EMITEA DELOC</t>
  </si>
  <si>
    <t>inlocuit pATCH</t>
  </si>
  <si>
    <t>TI0337 - TI0187</t>
  </si>
  <si>
    <t>IMO000000260394</t>
  </si>
  <si>
    <t>Fir rupt in OSC LA 55M DE SITE - Camereta</t>
  </si>
  <si>
    <t>TI0055 - TI0299</t>
  </si>
  <si>
    <t>IMO000000260405</t>
  </si>
  <si>
    <t>Fire rupte in VERTICALA SHELTER C1 - soareci</t>
  </si>
  <si>
    <t xml:space="preserve">refacut suduri </t>
  </si>
  <si>
    <t>TI0079FAN1ODB1321</t>
  </si>
  <si>
    <t>FITT00000103634</t>
  </si>
  <si>
    <t>Gavojdia</t>
  </si>
  <si>
    <t>Traversa rupta de agabaritic</t>
  </si>
  <si>
    <t>TI0032 - DEVA (TI0195)</t>
  </si>
  <si>
    <t>IMO000000260432</t>
  </si>
  <si>
    <t>Solutie provizorie -relocare temporara</t>
  </si>
  <si>
    <t>Ernest+ ionut Pascau+Godo</t>
  </si>
  <si>
    <t>santier autostrada</t>
  </si>
  <si>
    <t>Instalat 400 m FO24 compozit si 2 OSC</t>
  </si>
  <si>
    <t>relocare temporara cablu instalat pe sol</t>
  </si>
  <si>
    <t>Traseul nu corespunde cu NICM</t>
  </si>
  <si>
    <t>Relocare</t>
  </si>
  <si>
    <t xml:space="preserve"> TI0160 - TI0101</t>
  </si>
  <si>
    <t>IMO000000260447</t>
  </si>
  <si>
    <t>Cosmin Pau+ echipa civile TM</t>
  </si>
  <si>
    <t>Fcut la 4,3 km de C2 spre TI0160</t>
  </si>
  <si>
    <t>Santier CFR</t>
  </si>
  <si>
    <t>Eliberat rezerva si refacut OSC J5C</t>
  </si>
  <si>
    <t>Lipsa acces in santier CFR</t>
  </si>
  <si>
    <t>Bistrita (CL0456) - CL0660</t>
  </si>
  <si>
    <t>IMO000000260453</t>
  </si>
  <si>
    <t>F-cut la 0,42 km de J1_EVR_554807 catre CL0456.</t>
  </si>
  <si>
    <t>Eliberat rezerva si refacut OSC existent</t>
  </si>
  <si>
    <t>Lipsa documentatie ( traseu relocat de Electrogrup)</t>
  </si>
  <si>
    <t xml:space="preserve">TOPLET (TI0036) - CR2950 </t>
  </si>
  <si>
    <t>IMO000000260457</t>
  </si>
  <si>
    <t>Tras rez + 1 osc 24</t>
  </si>
  <si>
    <t>CL0031 – CL2100</t>
  </si>
  <si>
    <t>IMO000000260481</t>
  </si>
  <si>
    <t>Autorecovery</t>
  </si>
  <si>
    <t xml:space="preserve">SA RIDICAT SINGUR </t>
  </si>
  <si>
    <t>BR0158 - MEDIAS (BR0782)</t>
  </si>
  <si>
    <t>IMO000000260479</t>
  </si>
  <si>
    <t>SA RIDICAT IN DRUM SPRE SITE</t>
  </si>
  <si>
    <t>TI0030FAN1ODB1812</t>
  </si>
  <si>
    <t>FITT00000107000</t>
  </si>
  <si>
    <t>4 PORTURI RUPTE IN ODB</t>
  </si>
  <si>
    <t>SCHIMBAT SPL COMPLET</t>
  </si>
  <si>
    <t>CR2950FAN5ODB13</t>
  </si>
  <si>
    <t>FITT00000107142</t>
  </si>
  <si>
    <t>Fibra smulsa din CR2950FAN5ODB13. Refacut ODB</t>
  </si>
  <si>
    <t>CR2950FAN5ODB8</t>
  </si>
  <si>
    <t>FITT00000107144</t>
  </si>
  <si>
    <t>Fibra taiata pe scara langa CR2950FAN5ODB8. refacut ODB</t>
  </si>
  <si>
    <t>IMO000000260755</t>
  </si>
  <si>
    <t>Remus Vintan</t>
  </si>
  <si>
    <t>Relocare temporara in proprietate privata . Relocare de urgenta la solicitarea SPG</t>
  </si>
  <si>
    <t>CR0138FAN1ODB703</t>
  </si>
  <si>
    <t xml:space="preserve">FITT00000107259 </t>
  </si>
  <si>
    <t>Marius Cinca</t>
  </si>
  <si>
    <t>Fir rupt in OSC intermediat. Refacut sudura</t>
  </si>
  <si>
    <t>CL0067FAN1ODB1918</t>
  </si>
  <si>
    <t>FITT00000106971</t>
  </si>
  <si>
    <t>lipsa semnal ODB</t>
  </si>
  <si>
    <t>Copac rupt, fo rupt. Tras rezerva si refacut lipituri in OSC</t>
  </si>
  <si>
    <t>CR2950FAN5ODB325</t>
  </si>
  <si>
    <t>FITT00000107387</t>
  </si>
  <si>
    <t>Fibra roasa in camereta la DP30.</t>
  </si>
  <si>
    <t>S-a identificat si s-a resudat fibra afectata.</t>
  </si>
  <si>
    <t>CR0140 - CR0781</t>
  </si>
  <si>
    <t>IMO000000260995</t>
  </si>
  <si>
    <t>Tene M. + Lazar M.</t>
  </si>
  <si>
    <t>Tene M. + Lazar M.+Cinca</t>
  </si>
  <si>
    <t>Fibra agatata de agabaritic</t>
  </si>
  <si>
    <t>S-au inlocuit 870m de cablu si doua jonctiuni. Cablu a fost afectat la mai multi stalpi</t>
  </si>
  <si>
    <t>CR2950FAN5ODB401</t>
  </si>
  <si>
    <t>FITT00000107397</t>
  </si>
  <si>
    <t xml:space="preserve">Spliter defect in ODB 338. </t>
  </si>
  <si>
    <t>S-a inlocuit spliterul defect.</t>
  </si>
  <si>
    <t>OLT3-CR2950 / Slot : 2 / PON2/5</t>
  </si>
  <si>
    <t>FITT00000107401</t>
  </si>
  <si>
    <t>Spliter defect in ODB 338. S-a inlocuit spliterul defect.</t>
  </si>
  <si>
    <t>OLT1-MO0103 / Slot : 14 / PON14/6</t>
  </si>
  <si>
    <t>FITT00000107405</t>
  </si>
  <si>
    <t>Fir rupt in OSC</t>
  </si>
  <si>
    <t>Resudat fir OSC110</t>
  </si>
  <si>
    <t>CR2950FAN3ODB94</t>
  </si>
  <si>
    <t>FITT00000107415</t>
  </si>
  <si>
    <t>Fibra  sparta in DP intermediar</t>
  </si>
  <si>
    <t>CR2998FAN1ODB1615</t>
  </si>
  <si>
    <t>FITT00000107483</t>
  </si>
  <si>
    <t>OLT1-BR2990 / Slot : 1 / PON1/1</t>
  </si>
  <si>
    <t>FITT00000107528</t>
  </si>
  <si>
    <t>Iulian</t>
  </si>
  <si>
    <t>FO48 agatat de agabritic</t>
  </si>
  <si>
    <t>Lipsa denumire jonctiune</t>
  </si>
  <si>
    <t>BR0426-BR0330 + BR0330+BR0017</t>
  </si>
  <si>
    <t>IMO000000261262</t>
  </si>
  <si>
    <t>ADLER</t>
  </si>
  <si>
    <t>Cablu rupt de agabaritic</t>
  </si>
  <si>
    <t>Instalat un OSC</t>
  </si>
  <si>
    <t>TI0206FAN1ODB608</t>
  </si>
  <si>
    <t>FITT00000107516</t>
  </si>
  <si>
    <t>Erno Fuleky</t>
  </si>
  <si>
    <t>Cablu rupt</t>
  </si>
  <si>
    <t>Tras 20m fo12 din rezerva si resudat fibra</t>
  </si>
  <si>
    <t>BR0200 - BR0202</t>
  </si>
  <si>
    <t>IMO000000261267</t>
  </si>
  <si>
    <t>Solutie provizorie-necesar reinstalare cablu peste raul Mures</t>
  </si>
  <si>
    <t>cablu rupt la 13km de BR0200</t>
  </si>
  <si>
    <t>Swap fo - provizoriu</t>
  </si>
  <si>
    <t>CR2950FAN6ODB34</t>
  </si>
  <si>
    <t>FITT00000107577</t>
  </si>
  <si>
    <t>Fir nesudat in DP</t>
  </si>
  <si>
    <t>Sudat conform NICM</t>
  </si>
  <si>
    <t>CR2950FAN2ODB206</t>
  </si>
  <si>
    <t>FITT00000107565</t>
  </si>
  <si>
    <t>Sudura sparta in OSC preluare</t>
  </si>
  <si>
    <t>Possible FO CUT in TIMIS intre TI0904 - TI0134</t>
  </si>
  <si>
    <t>IMO000000261342</t>
  </si>
  <si>
    <t>Manson cazut/ agatat de pe stalp</t>
  </si>
  <si>
    <t>Refacut OSC complet - era distrus</t>
  </si>
  <si>
    <t>CL0456 – CL0660</t>
  </si>
  <si>
    <t>IMO000000261520</t>
  </si>
  <si>
    <t>fir rupt in OSC</t>
  </si>
  <si>
    <t>TI0076</t>
  </si>
  <si>
    <t>FITT00000107937</t>
  </si>
  <si>
    <t>Returnat-Nu s-a dispecerizat - avarie electrica</t>
  </si>
  <si>
    <t>Nu s-a dispecerizat - avarie electrica</t>
  </si>
  <si>
    <t>TI0401FAN2ODB1106</t>
  </si>
  <si>
    <t>FITT00000108063</t>
  </si>
  <si>
    <t>ODB fara capac, cazut de pe stalp</t>
  </si>
  <si>
    <t>Instalat capac, repozitionat ODB</t>
  </si>
  <si>
    <t>WDM CL0094 - CL0641</t>
  </si>
  <si>
    <t>IMO000000262098</t>
  </si>
  <si>
    <t>Claudiu Glodan + Zsolt</t>
  </si>
  <si>
    <t>FIbra rupta in sapatura</t>
  </si>
  <si>
    <t>Primaria Simleul Silvaniei</t>
  </si>
  <si>
    <t>instalat fo si 2 osc</t>
  </si>
  <si>
    <t>WDM BR0093 - BR2727;BR0014 - BR2727;Dumbravita_1(BR0433) - Rucar_1(BE0782) + SDH</t>
  </si>
  <si>
    <t>IMO000000262272</t>
  </si>
  <si>
    <t>FO cut in sapatura in urma unor lucrari la drum</t>
  </si>
  <si>
    <t>S-a eliberat rezerva si Instalat un osc</t>
  </si>
  <si>
    <t>CL0400FAN2ODB0809</t>
  </si>
  <si>
    <t>FITT00000108222</t>
  </si>
  <si>
    <t>Valori slabe ODB</t>
  </si>
  <si>
    <t>Resudat fibra, ODB in parametri ok</t>
  </si>
  <si>
    <t>CR2950FAN5ODB26</t>
  </si>
  <si>
    <t>FITT00000108235</t>
  </si>
  <si>
    <t>Resudat fibra in ODB</t>
  </si>
  <si>
    <t>BR2700FAN1ODB1604</t>
  </si>
  <si>
    <t>FITT00000108244</t>
  </si>
  <si>
    <t>Brancovenesti</t>
  </si>
  <si>
    <t>Lipsa semnal ODB</t>
  </si>
  <si>
    <t>Accident</t>
  </si>
  <si>
    <t>inlocuit 150m cablu 48 fo 2 jonctiuni</t>
  </si>
  <si>
    <t>CR0006 - CR0034 +NEC CR0448 - CR0169 + SDH</t>
  </si>
  <si>
    <t>IMO000000262485</t>
  </si>
  <si>
    <t>Marius Tene + infra + Marius Cinca</t>
  </si>
  <si>
    <t>Cablu rasucit in armorod, afectat la mai multi stalpi</t>
  </si>
  <si>
    <t>Vreme severa</t>
  </si>
  <si>
    <t>Inlocuit 600m fo si executat2 jonctiuni. S-au eliminat altele 3</t>
  </si>
  <si>
    <t>BE0110FAN2ODB84</t>
  </si>
  <si>
    <t>FITT00000108521</t>
  </si>
  <si>
    <t>S-au inlocuit 80 m FO si s-au refacut  2 jonctiuni.</t>
  </si>
  <si>
    <t>BR0632 - BR0051</t>
  </si>
  <si>
    <t>IMO000000262882</t>
  </si>
  <si>
    <t xml:space="preserve">Solutie provizorie  -atenuare </t>
  </si>
  <si>
    <t>Fibra rasucita in armorod, datorita conditiilor meteo</t>
  </si>
  <si>
    <t>S-a repozitionat si s-a indreptat fibra la cald.</t>
  </si>
  <si>
    <t>BE0016 – BE2108</t>
  </si>
  <si>
    <t>IMO000000262868</t>
  </si>
  <si>
    <t>Silistea</t>
  </si>
  <si>
    <t>FO rupta de agabaritic</t>
  </si>
  <si>
    <t>Refacut  2 OSC si instalat 80m de fibra</t>
  </si>
  <si>
    <t>CR0233 - CR0140</t>
  </si>
  <si>
    <t>IMO000000262963</t>
  </si>
  <si>
    <t>atenuare+cruci</t>
  </si>
  <si>
    <t>Solutie provizorie -atenuare</t>
  </si>
  <si>
    <t>Fibra rupta in urma caderilor de copaci</t>
  </si>
  <si>
    <t>S-a instalat 100 m FO 24 si 2 jonctiuni</t>
  </si>
  <si>
    <t>CR2950FAN1ODB20</t>
  </si>
  <si>
    <t>FITT00000108357</t>
  </si>
  <si>
    <t>Fibra rupta la ODB.</t>
  </si>
  <si>
    <t>OLT1-CL0628 / Slot : 1 PON1/5, PON1/6</t>
  </si>
  <si>
    <t>FITT00000108441</t>
  </si>
  <si>
    <t xml:space="preserve">Manson inghetat,fire rupte . </t>
  </si>
  <si>
    <t>Dezghetat dp3 si refacut lipituri.</t>
  </si>
  <si>
    <t xml:space="preserve">BR0799 - BR0423 </t>
  </si>
  <si>
    <t>IMO000000263086</t>
  </si>
  <si>
    <t>atenuare , necesar inlocuire cablu</t>
  </si>
  <si>
    <t>Solutie provizorie-atenuare , necesar inlocuire cablu</t>
  </si>
  <si>
    <t>Adler</t>
  </si>
  <si>
    <t>Fibra atenuata in urma caderilor de copacii</t>
  </si>
  <si>
    <t xml:space="preserve">s-a indreptat la cald </t>
  </si>
  <si>
    <t>CL0522FAN2ODB3707</t>
  </si>
  <si>
    <t>FITT00000108505</t>
  </si>
  <si>
    <t xml:space="preserve">Fir rupt in ODB3703. </t>
  </si>
  <si>
    <t>Resudat fir, valori bune la ODB3707.</t>
  </si>
  <si>
    <t>TI0076FAN1ODB1315</t>
  </si>
  <si>
    <t>FITT00000108537</t>
  </si>
  <si>
    <t>Fibra smulsa din ODB .</t>
  </si>
  <si>
    <t>S-a tras di rezerva si s-a refacut ODB.</t>
  </si>
  <si>
    <t>NEC local in Sibiu between BR2015 - BR0705</t>
  </si>
  <si>
    <t>IMO000000263220</t>
  </si>
  <si>
    <t xml:space="preserve">Oroc </t>
  </si>
  <si>
    <t>xxxx</t>
  </si>
  <si>
    <t xml:space="preserve">Fibra rupta in tronson OROC </t>
  </si>
  <si>
    <t xml:space="preserve">Masuratori </t>
  </si>
  <si>
    <t>WDM CR0754 - CR0753</t>
  </si>
  <si>
    <t xml:space="preserve"> IMO000000263240</t>
  </si>
  <si>
    <t>Odorel</t>
  </si>
  <si>
    <t>Solutie provizorie - Swap FO</t>
  </si>
  <si>
    <t>Adrian Cutui/Denis Pairciu</t>
  </si>
  <si>
    <t>Cablu afectat pe camp - nu sa putut ajunge. Problema la 1.4km de la osc iesire din subteran</t>
  </si>
  <si>
    <t>Swap fo pe un fir</t>
  </si>
  <si>
    <t>CL0066FAN3ODB32611</t>
  </si>
  <si>
    <t>FITT00000108726</t>
  </si>
  <si>
    <t>Electrica a mutat stalpi, ODB- a ramas in aer , nu se pot efectua interventii/masuratori/instalari in CL0066FAN3ODB32611</t>
  </si>
  <si>
    <t>DEER</t>
  </si>
  <si>
    <t>s-a mutat ODB-ul pe stalpul nou instalat de catre DEER</t>
  </si>
  <si>
    <t>OLT1-TI0076 / Slot : 1</t>
  </si>
  <si>
    <t>FITT00000108732</t>
  </si>
  <si>
    <t xml:space="preserve">Traversa 48 rupta peste </t>
  </si>
  <si>
    <t>tras 300m fo 48 + 2 osc</t>
  </si>
  <si>
    <t>OLT1-TI0030 / Slot : 1 / PON1/2</t>
  </si>
  <si>
    <t>FITT00000108738</t>
  </si>
  <si>
    <t>Patch defect in site</t>
  </si>
  <si>
    <t>A fost inlocuit</t>
  </si>
  <si>
    <t>Possible FO CUT NEC local in Mures BR0072 - BR0073</t>
  </si>
  <si>
    <t>IMO000000263584</t>
  </si>
  <si>
    <t>Nu sa dispecerizat. Masuratori COM</t>
  </si>
  <si>
    <t>Loss of signal WDM TI0003 - TI2995  Arad (TI0782) -TIMISOARA(TI0445)  TI0160 - TIMISOARA(TI0445) +SDH</t>
  </si>
  <si>
    <t>IMO000000263575</t>
  </si>
  <si>
    <t>Ernest + Alex Popa</t>
  </si>
  <si>
    <t>Cablu temporar afectat in zona santierului Dedeman Arad</t>
  </si>
  <si>
    <t>Relocat pe traseul nou pregatit</t>
  </si>
  <si>
    <t>CR0077FAN1ODB1712</t>
  </si>
  <si>
    <t>FITT00000108829</t>
  </si>
  <si>
    <t>FO smuls din ODB1711</t>
  </si>
  <si>
    <t>s-a reintrodus cablul in ODB</t>
  </si>
  <si>
    <t>CR2950FAN3ODB276</t>
  </si>
  <si>
    <t>FITT00000108830</t>
  </si>
  <si>
    <t>fir nesudat in DP13</t>
  </si>
  <si>
    <t>CR0344FAN1ODB2103</t>
  </si>
  <si>
    <t>FITT00000108763</t>
  </si>
  <si>
    <t>stalpi instalati la PBM60262</t>
  </si>
  <si>
    <t>olt1-cr0077</t>
  </si>
  <si>
    <t>FITT00000108831</t>
  </si>
  <si>
    <t>OSC cazut de pe stalp</t>
  </si>
  <si>
    <t>s-a repozitionat OSC-ul</t>
  </si>
  <si>
    <t xml:space="preserve"> CR2993FAN2ODB703</t>
  </si>
  <si>
    <t>FITT00000108849</t>
  </si>
  <si>
    <t>FO rupt</t>
  </si>
  <si>
    <t>s-a eliberat rezerva si s-a reintrodus in DP</t>
  </si>
  <si>
    <t>CL0066FAN3ODB31331</t>
  </si>
  <si>
    <t>FITT00000108882</t>
  </si>
  <si>
    <t>raport finalizat</t>
  </si>
  <si>
    <t>Odb 31331 Sighetu Marmației. 135m fo6. Sudat în joncțiune în tb și odb</t>
  </si>
  <si>
    <t xml:space="preserve">CL0223-CL20110 </t>
  </si>
  <si>
    <t>IMO000000263820</t>
  </si>
  <si>
    <t>s-a refacut ODB-ul</t>
  </si>
  <si>
    <t>BR0028 - BR0186</t>
  </si>
  <si>
    <t>IMO000000263789</t>
  </si>
  <si>
    <t>nu s-a dispcerizat - avarie pe tronson OROC</t>
  </si>
  <si>
    <t>TI0008 - TI0062</t>
  </si>
  <si>
    <t>IMO000000263848</t>
  </si>
  <si>
    <t>CL0223 - CL1169</t>
  </si>
  <si>
    <t>IMO000000264061</t>
  </si>
  <si>
    <t>Alex Nadasan+PROCONEX</t>
  </si>
  <si>
    <t>Cablu topit pe stalp de incendiu EE</t>
  </si>
  <si>
    <t>incendiu electrica</t>
  </si>
  <si>
    <t>220m + 2 OSC noi</t>
  </si>
  <si>
    <t>Possible FO CUT in Olt intre CR0276 - CR0176</t>
  </si>
  <si>
    <t>IMO000000264156</t>
  </si>
  <si>
    <t xml:space="preserve">cablu rupt langa CR0176 </t>
  </si>
  <si>
    <t>Inspect SA Ploiesti</t>
  </si>
  <si>
    <t>80M FO + 2 CAMERETA</t>
  </si>
  <si>
    <t>CR2950FAN3ODB484</t>
  </si>
  <si>
    <t>FITT00000109057</t>
  </si>
  <si>
    <t xml:space="preserve">Fir rupt in TB. </t>
  </si>
  <si>
    <t>Resudat fibra. Clientii up</t>
  </si>
  <si>
    <t>TI2993FAN1ODB1116</t>
  </si>
  <si>
    <t>FITT00000109088</t>
  </si>
  <si>
    <t>Cablu aerian 6 Fo,rupt de agabaritic in urma schimbării unui stalp EE</t>
  </si>
  <si>
    <t>Adus rezerve de pe traseu,din ambele direcții și efectuat o joncțiune noua</t>
  </si>
  <si>
    <t>EDFA64-01-BE2993</t>
  </si>
  <si>
    <t xml:space="preserve">FITT00000109008 </t>
  </si>
  <si>
    <t>comun cu IMO000000264333</t>
  </si>
  <si>
    <t>Loss of signal WDM CL0173 - CL0050 + Ipaso CL1048 - CL1123 , CL0229 - CL0173 , CL0716 - CL2203</t>
  </si>
  <si>
    <t xml:space="preserve"> IMO000000264249</t>
  </si>
  <si>
    <t>Giurgiuman</t>
  </si>
  <si>
    <t>Giurgiuman+Alex Nadasan+Echipa Dan Belea</t>
  </si>
  <si>
    <t>Cablu agatat peste o parcare de camioane</t>
  </si>
  <si>
    <t>Loss of signal WDM BE0817- BE2993</t>
  </si>
  <si>
    <t>IMO000000264333</t>
  </si>
  <si>
    <t>Lemne  cazute peste FO</t>
  </si>
  <si>
    <t>Conditii meteo</t>
  </si>
  <si>
    <t>2 OSC uri, 140m FO48,2 cruci</t>
  </si>
  <si>
    <t>OLT1-BE0817 / Slot : 2 PON2/9, PON2/10</t>
  </si>
  <si>
    <t>FITT00000109066</t>
  </si>
  <si>
    <t>Loss of signal WDM CR0257 - CR0218  CR0257 - CR0175</t>
  </si>
  <si>
    <t>IMO000000264246</t>
  </si>
  <si>
    <t>Swap fo un fir din J  - pana in site - era afectare partiala</t>
  </si>
  <si>
    <t>Cuplat si ridicat</t>
  </si>
  <si>
    <t>Possible FO CUT local in Mehedinti ,between CR0076 – CR0077</t>
  </si>
  <si>
    <t xml:space="preserve">IMO000000264514 </t>
  </si>
  <si>
    <t>OSC agatat  de agabaritic</t>
  </si>
  <si>
    <t>Refacut fire in OSC existent</t>
  </si>
  <si>
    <t>Loss of signal WDM IZBASESTI (CR0609)- VALCEA_CR0093 / VALCEA_CR0093 - CIOCANEI (BE0409) / VALCEA_CR0093 - CR0078</t>
  </si>
  <si>
    <t xml:space="preserve">IMO000000264640 </t>
  </si>
  <si>
    <t>Ion Marica</t>
  </si>
  <si>
    <t>Fibra rupta in sapatura de lucrarile la canalizatie</t>
  </si>
  <si>
    <t>Instalat 80 m FO24 + 2 OSC + 2 camerete</t>
  </si>
  <si>
    <t>Traseul pe NICM e aerian, in realitate fiind subteran</t>
  </si>
  <si>
    <t>BR0093FAN1ODB32</t>
  </si>
  <si>
    <t xml:space="preserve">FITT00000109225 </t>
  </si>
  <si>
    <t>Splitter deteriorat</t>
  </si>
  <si>
    <t>Schimbat SPL 1/8 preconectat in ODB</t>
  </si>
  <si>
    <t>TI0076FAN1ODB1316</t>
  </si>
  <si>
    <t xml:space="preserve">FITT00000109221 </t>
  </si>
  <si>
    <t>Refacut sudura in ODB</t>
  </si>
  <si>
    <t>CR2950FAN1ODB271</t>
  </si>
  <si>
    <t xml:space="preserve">FITT00000109233 </t>
  </si>
  <si>
    <t>Fir rupt intre OSC si ODB</t>
  </si>
  <si>
    <t>Schimbat 80m fibra între osc și odb si resudat</t>
  </si>
  <si>
    <t xml:space="preserve">OLT1-BR0556 / Slot : 3 / PON3/1 / BR0556ODF1FAN1FO19-DP8OSC8SPL3 / OUT-4 / BR0556ODF1FAN1FO19DP8SPL3P4-SPL2 </t>
  </si>
  <si>
    <t>FITT00000105070</t>
  </si>
  <si>
    <t>Fir rupt ODB</t>
  </si>
  <si>
    <t xml:space="preserve">Resudat fibra </t>
  </si>
  <si>
    <t>CR2950FAN5ODB320</t>
  </si>
  <si>
    <t xml:space="preserve">FITT00000108884 </t>
  </si>
  <si>
    <t>Fir principal nesudat la intrare spliter 3</t>
  </si>
  <si>
    <t>CR2950FAN5ODB104</t>
  </si>
  <si>
    <t xml:space="preserve">FITT00000109265 </t>
  </si>
  <si>
    <t>țeavă nou de gaz instalată și fibra din odb103 smulsa</t>
  </si>
  <si>
    <t>CR0448-CR0169</t>
  </si>
  <si>
    <t>IMO000000264784</t>
  </si>
  <si>
    <t>necesar inlocuire cablu</t>
  </si>
  <si>
    <t>olutie provizorie -Swap FO</t>
  </si>
  <si>
    <t>Cablul afectat la 4,62km de CR0006 ( lungime traseu 18,9km)</t>
  </si>
  <si>
    <t>Cablu frecat la stalp de MT</t>
  </si>
  <si>
    <t>Swap de pe fibra 10 pe fibra 2</t>
  </si>
  <si>
    <t>Traseu pe stalpi de MT si lipsa acces in zona statiei de epurare</t>
  </si>
  <si>
    <t>BR0294FAN1ODB430</t>
  </si>
  <si>
    <t xml:space="preserve">FITT00000109249 </t>
  </si>
  <si>
    <t>Tubeta infundata</t>
  </si>
  <si>
    <t>executat sapaturi, intregit tubeta spre proprietatea clientului</t>
  </si>
  <si>
    <t>CR2950FAN3ODB487</t>
  </si>
  <si>
    <t>FITT00000109279</t>
  </si>
  <si>
    <t xml:space="preserve">Fibra rupta in ODB intermediar. </t>
  </si>
  <si>
    <t>CL0004FAN2ODB19</t>
  </si>
  <si>
    <t>FITT00000109347</t>
  </si>
  <si>
    <t>Fibra rupta de agabaritic .</t>
  </si>
  <si>
    <t>S-a  instalat 120 m FO12 si s-au executat 2 jonctiuni,</t>
  </si>
  <si>
    <t>WDM Pestra ( CR0782 ) - Craiova ( CR0448 )  , CR0257 - Pestra ( CR0782 ) + SDH</t>
  </si>
  <si>
    <t>IMO000000265003</t>
  </si>
  <si>
    <t xml:space="preserve">Cinca/Tene </t>
  </si>
  <si>
    <t>Fibra smulsa di AP si fara tub</t>
  </si>
  <si>
    <t xml:space="preserve">TI0160 - TI0546 / TI0160 - TI0102 / TI0160 - TI1063 </t>
  </si>
  <si>
    <t>IMO000000265011</t>
  </si>
  <si>
    <t xml:space="preserve">Fibra arsa </t>
  </si>
  <si>
    <t>S-a instalat 50 m FO 48 si 2 jonctiuni</t>
  </si>
  <si>
    <t>FITT00000109358</t>
  </si>
  <si>
    <t>Fibra taiata la TB.</t>
  </si>
  <si>
    <t>S-a tras din rezerva si s-a refacut TB,</t>
  </si>
  <si>
    <t>CR2950FAN4ODB130</t>
  </si>
  <si>
    <t>FITT00000109383</t>
  </si>
  <si>
    <t>Fibra rupta la ODB 126 de la o gaura de gaz .</t>
  </si>
  <si>
    <t xml:space="preserve">Lucrari Gaz </t>
  </si>
  <si>
    <t>S-au instalat 202 m intre FODB126 si OSC44.</t>
  </si>
  <si>
    <t>TI2997FAN1ODB6603</t>
  </si>
  <si>
    <t>FITT00000109422</t>
  </si>
  <si>
    <t>Stalp rupt de accident auto</t>
  </si>
  <si>
    <t xml:space="preserve">Accident auto </t>
  </si>
  <si>
    <t>Tras rez 12 fo + 1 osc pentru ambele ODB</t>
  </si>
  <si>
    <t>TI2997FAN1ODB6607</t>
  </si>
  <si>
    <t>FITT00000109423</t>
  </si>
  <si>
    <t>comun cu FITT00000109422</t>
  </si>
  <si>
    <t>CL2995FAN2ODB1708</t>
  </si>
  <si>
    <t>FITT00000109499</t>
  </si>
  <si>
    <t>Returnat</t>
  </si>
  <si>
    <t>FITT00000109501</t>
  </si>
  <si>
    <t xml:space="preserve">ODB vandalizat din nou - cabluri smulse din TB </t>
  </si>
  <si>
    <t>Vandalism</t>
  </si>
  <si>
    <t>Refacut suduri in TB</t>
  </si>
  <si>
    <t>CR0077FAN1ODB12414</t>
  </si>
  <si>
    <t>FITT00000109508</t>
  </si>
  <si>
    <t>Caseta ODB vandalizata - fire rupte</t>
  </si>
  <si>
    <t>Au fost refacute si schimbata caseta</t>
  </si>
  <si>
    <t>TI0782 - Ciumegiu_1(CL0019); Ciumegiu_1(CL0019) - Oradea_1(CL0229);Oradea_1(CL0229) - CL0223;Oradea_1(CL0229) - CL0601</t>
  </si>
  <si>
    <t>IMO000000265291</t>
  </si>
  <si>
    <t>Cablul afecta de lucrari la pasaj centura Oradea</t>
  </si>
  <si>
    <t>Posibil Porr</t>
  </si>
  <si>
    <t>170m FO24, 2 OSC-uri si 2 camerete</t>
  </si>
  <si>
    <t>Necesar relocare traseu</t>
  </si>
  <si>
    <t>Lipsa acces in santier pasaj Oradea</t>
  </si>
  <si>
    <t>Reclamatie VDF, FO CUT Arges between BE0169 - BE0792</t>
  </si>
  <si>
    <t>IMO000000265420</t>
  </si>
  <si>
    <t>OSC intermediar cazut de la vant - fire rupte</t>
  </si>
  <si>
    <t>Clima</t>
  </si>
  <si>
    <t>A fost resudat</t>
  </si>
  <si>
    <t>BE0409 - Matau ( BE0451 ) , Matau ( BE0451 ) - BE0040 , BE0343 - Matau ( BE0451 ) + NEC BE0169 - BE0210 , BE0700 - BE0451</t>
  </si>
  <si>
    <t>IMO000000265391</t>
  </si>
  <si>
    <t>Lucrari de apa/canal</t>
  </si>
  <si>
    <t>primarie</t>
  </si>
  <si>
    <t>s-au instalat 70m FO24, s-a montat un OSC nou si s-a refacut OSC existent</t>
  </si>
  <si>
    <t>CL0713FAN1ODB0608</t>
  </si>
  <si>
    <t>FITT00000109545</t>
  </si>
  <si>
    <t>Stalp OROC defintat cu ODB sa desfintat</t>
  </si>
  <si>
    <t>Refacut 2 ODB din rezerva si mutat pe stalp beton</t>
  </si>
  <si>
    <t xml:space="preserve">Loss of signal WDM Cr0257 - CR0218 / CR0257 - CR0175 </t>
  </si>
  <si>
    <t>IMO000000265313</t>
  </si>
  <si>
    <t>Marius Cinca + Tene</t>
  </si>
  <si>
    <t>Cablu frecat de stalp</t>
  </si>
  <si>
    <t>150m + 2 osc</t>
  </si>
  <si>
    <t>TI0401FAN1ODB4811</t>
  </si>
  <si>
    <t>FITT00000109592</t>
  </si>
  <si>
    <t>Sudura sparta in ODB 4811</t>
  </si>
  <si>
    <t>CL2993FAN1ODB24</t>
  </si>
  <si>
    <t>FITT00000109568</t>
  </si>
  <si>
    <t>CR2950FAN3ODB195</t>
  </si>
  <si>
    <t>FITT00000109757</t>
  </si>
  <si>
    <t>fir nesudat in OSC20</t>
  </si>
  <si>
    <t>s-a sudat conform NICM</t>
  </si>
  <si>
    <t>CL0990 - CL0506 / CL0456 - CL0132 / CL0456 - CL0583 / CL0667 - CL1768 / CL0456 - CL0975 /  CL0456 - CL0039</t>
  </si>
  <si>
    <t>IMO000000265759</t>
  </si>
  <si>
    <t>Soltutie provizorie  dar cu atenuare pe cablul scos provizoriu in aerian</t>
  </si>
  <si>
    <t>FO24 scos provizoriu in aerian taiat in urma toaletarii copacilor</t>
  </si>
  <si>
    <t>s-au instalat 200m FO24 si 2 OSC-uri</t>
  </si>
  <si>
    <t>CR2950FAN1ODB251</t>
  </si>
  <si>
    <t>FITT00000110107</t>
  </si>
  <si>
    <t>TI0445-TI0337   FITT00000110051 / Assigned / Critical / ORO / Loss of signal (ATT) TI0445-TI0337</t>
  </si>
  <si>
    <t>IMO000000265937</t>
  </si>
  <si>
    <t>Cosmin Pau + Erno</t>
  </si>
  <si>
    <t>Cablu afectat partial in urma lucrarilor de inlocuire conducta gaz</t>
  </si>
  <si>
    <t>S-a instalat doua jonctiuni si 50m de cablu composit</t>
  </si>
  <si>
    <t>OLT1-TI0119 / Slot : 1 / PON1/13</t>
  </si>
  <si>
    <t>FITT00000110278</t>
  </si>
  <si>
    <t>Ionut Pascau + Erno</t>
  </si>
  <si>
    <t xml:space="preserve">Patch defect intre OLT si EDFA. </t>
  </si>
  <si>
    <t>Patch-ul a fost inlocuit, port up.</t>
  </si>
  <si>
    <t>lipsa acces site TI0119, Site la turnul de apa .</t>
  </si>
  <si>
    <t>BE0068FAN2ODB303</t>
  </si>
  <si>
    <t>FITT00000110071</t>
  </si>
  <si>
    <t xml:space="preserve">Fibra rupta in OSC120. </t>
  </si>
  <si>
    <t>FITT00000110123</t>
  </si>
  <si>
    <t xml:space="preserve">Proconex </t>
  </si>
  <si>
    <t>Fibra rupta in canalizare</t>
  </si>
  <si>
    <t>S-a tras din rezerva si s-a executat o jonctiune .</t>
  </si>
  <si>
    <t>BR0294FAN2ODB671-TB9</t>
  </si>
  <si>
    <t>FITT00000110374</t>
  </si>
  <si>
    <t>Fibra rupta in TB 6, intermediar.</t>
  </si>
  <si>
    <t>OLT1-BR0018 / Slot : 2 PON2/2, PON2/3, PON2/5</t>
  </si>
  <si>
    <t>FITT00000110446</t>
  </si>
  <si>
    <t>Fibra rupta in zona  de lucru a autostrazii.</t>
  </si>
  <si>
    <t xml:space="preserve">Autostrada </t>
  </si>
  <si>
    <t xml:space="preserve"> S-a instalat 100m Fo intre 2 jonctiuni existente . Necesar relocare .In zona este o firma din Turcia cu care nu se poate comunica iar fibra poate fi rupta din nou.</t>
  </si>
  <si>
    <t>OLT1-BR0018 / Slot : 1 / PON1/4</t>
  </si>
  <si>
    <t>FITT00000110460</t>
  </si>
  <si>
    <t>Fir rupt in OSC aerian la PCT 2 autostrada</t>
  </si>
  <si>
    <t>FITT00000110538</t>
  </si>
  <si>
    <t>Vandalism - sa cerut securizare FO</t>
  </si>
  <si>
    <t>Securizat cu pat cablu din ODB pana in TB si refacut cablu in ODB</t>
  </si>
  <si>
    <t>OLT1-TI0203 / Slot : 3 / PON3/8</t>
  </si>
  <si>
    <t>FITT00000110654</t>
  </si>
  <si>
    <t>Lucrari pe stalp beton - Electrica - OSC cu cablu smuls</t>
  </si>
  <si>
    <t xml:space="preserve">tras din rezerva si refacut OSC 16 </t>
  </si>
  <si>
    <t>OLT1-TI0206 / Slot : 3 / PON3/0</t>
  </si>
  <si>
    <t>FITT00000110665</t>
  </si>
  <si>
    <t>Tras din rezerva si refacut OSC existent</t>
  </si>
  <si>
    <t>TI0203FAN1ODB422</t>
  </si>
  <si>
    <t>FITT00000110680</t>
  </si>
  <si>
    <t>Atenuare in caseta ODB 405</t>
  </si>
  <si>
    <t>refacut sudura si aranjat rezerva</t>
  </si>
  <si>
    <t>Loss of signal WDM BR0013 (SF_GHEORGHE_1) - BR0760 + NEC</t>
  </si>
  <si>
    <t>IMO000000267090</t>
  </si>
  <si>
    <t>Mircea Banciu + Attila Kolcze</t>
  </si>
  <si>
    <t>FO rupt in sapatura</t>
  </si>
  <si>
    <t>necunoscut - lucrari electrice</t>
  </si>
  <si>
    <t>Possible FO CUT CL0039 - CL0456</t>
  </si>
  <si>
    <t>IMO000000267094</t>
  </si>
  <si>
    <t>Fir rupt in OSC intermediar</t>
  </si>
  <si>
    <t>Loss of signal WDM Alexandria_1 (CR0781)-CR0140,</t>
  </si>
  <si>
    <t>IMO000000267056</t>
  </si>
  <si>
    <t>Lucrare de relocare</t>
  </si>
  <si>
    <t>Loss of signal WDM  Poieni_1(CL0781) - Oradea_1(CL0229) CL0003 - CL0339 +SDH</t>
  </si>
  <si>
    <t>IMO000000266951</t>
  </si>
  <si>
    <t>Cablu rupt in sapatura la 26km de oradea in urma unor lucrari de scurgere apa din santuri</t>
  </si>
  <si>
    <t>100m + 2 OSC  si 2 camerete</t>
  </si>
  <si>
    <t>CR2950FAN2ODB195</t>
  </si>
  <si>
    <t>FITT00000110834</t>
  </si>
  <si>
    <t>Sudura sparta in OSC</t>
  </si>
  <si>
    <t>S-a refact sudura.</t>
  </si>
  <si>
    <t>TI0032FAN2ODB7206</t>
  </si>
  <si>
    <t>FITT00000110817</t>
  </si>
  <si>
    <t>lipsa capac la TI0032FAN2ODB7206</t>
  </si>
  <si>
    <t>Inlocuit ODB</t>
  </si>
  <si>
    <t>BE0016 - BE0409 (WLA_CIOCANEI ) / BE0409 ( CIOCANEI_1 ) - BE2999 / BE0409 ( WLA_CIOCANEI ) - BE0239</t>
  </si>
  <si>
    <t>IMO000000267287</t>
  </si>
  <si>
    <t>FO24 rupt in sapatura</t>
  </si>
  <si>
    <t>200m FO24 si 2 OSC-uri</t>
  </si>
  <si>
    <t>Probleme NICM</t>
  </si>
  <si>
    <t>CL0704FAN1ODB12824</t>
  </si>
  <si>
    <t>FITT00000110823</t>
  </si>
  <si>
    <t>olt1-be0110</t>
  </si>
  <si>
    <t>FITT00000110836</t>
  </si>
  <si>
    <t>Zidurile</t>
  </si>
  <si>
    <t>FO24 rupt intre ODB50 si ODB49</t>
  </si>
  <si>
    <t>200m FO24 si doua OSC-uri</t>
  </si>
  <si>
    <t>BR0294FAN2ODB671</t>
  </si>
  <si>
    <t>FITT00000110815</t>
  </si>
  <si>
    <t>tehnicianul de last mile reclama "necesar suplimentare port in TB10, port nesudat , sunt 2 porturi active</t>
  </si>
  <si>
    <t>tehnicianul de last mile reclama "necesar suplimentare port in TB10, port nesudat , sunt 2 porturi active.
S-a constatat lipsa semnal in TB10, s-a dispus la intregirea unui fir de la ODB671 la TB10. Dupa interventie avem port activ cu semnal in parametri.</t>
  </si>
  <si>
    <t xml:space="preserve"> BE0068FAN1ODB222</t>
  </si>
  <si>
    <t>FITT00000110819</t>
  </si>
  <si>
    <t>In remedierea acestui FITT s-a constatat o anomalie.
Se reclama ipsa semnal optic in BE0068FAN1ODB222.
In teren s-a identificat fibra rupt pe fatada blocului la ODB222. S-a remediat. Dupa remediere s-a constatat tot lipsa semnal la ODB. S-a verificat la DP15OSC31, unde conform NICM este spliter-ul de nivel 1. Acolo spliter-ul nu este alimentat, nu vine semnal dinspre BE0068.
Totusi, anomalia aici apare, conform NetNumen, pe slot 1 port 2 din BE0068 (corespondentul pentru acest spliter) este up cu 2 clienti.
Conform NICM pe acest spliter sunt ODB222 si ODB223. S-a verificat in teren, nici ODB223 nu are semnal. Ambele ajung in DP15OSC31, verificat cu lumina rosie.</t>
  </si>
  <si>
    <t xml:space="preserve"> S-a remediat de prime.</t>
  </si>
  <si>
    <t>OLT1-BR0018</t>
  </si>
  <si>
    <t>FITT00000110849</t>
  </si>
  <si>
    <t>Sergiu - Netconstruct</t>
  </si>
  <si>
    <t>Fir rupt la 7.5 km de site PCT 2 autostrada</t>
  </si>
  <si>
    <t>Constructii autostrada</t>
  </si>
  <si>
    <t>Refacut sudura OSC existent</t>
  </si>
  <si>
    <t>BE0016-BE0409</t>
  </si>
  <si>
    <t>IMO000000267491</t>
  </si>
  <si>
    <t>Cablu rupt in sapatura la alta cota</t>
  </si>
  <si>
    <t>Lucrari Primarie</t>
  </si>
  <si>
    <t>Instalat alte 2 OSC (o jonctiune pe stalp si una in camereta)+ bucata FO - incident 2</t>
  </si>
  <si>
    <t>lipsa aces in zona incidentului.Cabluri electrice rupte. Traseul nu corespunde cu NICM</t>
  </si>
  <si>
    <t>JOSENI_BR0902 - M_CIUC BR0034 + NEC BR0902 - BR0572</t>
  </si>
  <si>
    <t>IMO000000267565</t>
  </si>
  <si>
    <t xml:space="preserve">Tras bucata din OSC Ex si instalat 1 OSC nou </t>
  </si>
  <si>
    <t>OLT2-TI0337 / Slot : 1 PON1/3, PON1/10</t>
  </si>
  <si>
    <t>FITT00000110949</t>
  </si>
  <si>
    <t>Cosmin Pau + Ernest</t>
  </si>
  <si>
    <t>comun cu IMO000000267641</t>
  </si>
  <si>
    <t>TI0337 - TI0430</t>
  </si>
  <si>
    <t>IMO000000267641</t>
  </si>
  <si>
    <t>Cablu 96 agatat la iesire din curtea unei firme</t>
  </si>
  <si>
    <t xml:space="preserve">Tras rez + 1 osc 96 fo </t>
  </si>
  <si>
    <t>OLT1-TI0337 / Slot : 1 PON1/2, PON1/3, PON1/4, PON1/5, PON1/6, PON1/7, PON1/8, PON1/9, PON1/10, PON1/11, PON1/12, PON1/13, PON1/14, PON1/15</t>
  </si>
  <si>
    <t>FITT00000110948</t>
  </si>
  <si>
    <t>CR0257 - CR0175 / CR0257 - CR0218 + NEC CR0175 - CR0248</t>
  </si>
  <si>
    <t>IMO000000267650</t>
  </si>
  <si>
    <t>Cablu agatat de utilaje agricole</t>
  </si>
  <si>
    <t>OLT1-BR0018 / Slot : 2 / PON2/3</t>
  </si>
  <si>
    <t>FITT00000110969</t>
  </si>
  <si>
    <t xml:space="preserve">Cablu rupt la alta cota 1.5 km </t>
  </si>
  <si>
    <t>refacut sudura osc ex pct 1 autostrada</t>
  </si>
  <si>
    <t>OLT1-CR0039 / Slot : 1</t>
  </si>
  <si>
    <t>FITT00000111060</t>
  </si>
  <si>
    <t>Comun cu IMO000000267850</t>
  </si>
  <si>
    <t>OLT2-CR2950 / Slot : 4</t>
  </si>
  <si>
    <t>FITT00000111041</t>
  </si>
  <si>
    <t>Necesar tichet retroactiv - cauze diferite pentru fiecare port</t>
  </si>
  <si>
    <t xml:space="preserve">Porturi din ODF diferite / retele diferite , ambele rupte pe subteran la cote diferite . refacut sudurile in ambele cazuri </t>
  </si>
  <si>
    <t>OLT1-CL0053 / Slot : 2 / PON2/10</t>
  </si>
  <si>
    <t>FITT00000111033</t>
  </si>
  <si>
    <t xml:space="preserve">Agabaritic ,fo rupt. </t>
  </si>
  <si>
    <t>Tras din rezerva si refacut suduri in dp6</t>
  </si>
  <si>
    <t>Loss of signal WDM TI0117 - TI0155 / TI0338 - TI0117</t>
  </si>
  <si>
    <t>IMO000000267683</t>
  </si>
  <si>
    <t>Cablu rupt la 150m de site</t>
  </si>
  <si>
    <t>Tras rezerva + 1 osc nou</t>
  </si>
  <si>
    <t>Loss of signal WDM Rucar BE0782 - Dumbravita BR0433 / BR0093 - BR2727 / BR2727 - BR0014 +RM</t>
  </si>
  <si>
    <t>IMO000000267698</t>
  </si>
  <si>
    <t>Solutie finala - relocare realizata de Aloton in 11,05,2026</t>
  </si>
  <si>
    <t xml:space="preserve">Cablu rupt in sapatura - proiect de relocare pe rol </t>
  </si>
  <si>
    <t>150m + 2 osc proviorii pana se reloca</t>
  </si>
  <si>
    <t>Loss of signal WDM CR0372 - CR0103</t>
  </si>
  <si>
    <t>IMO000000267686</t>
  </si>
  <si>
    <t>Marica</t>
  </si>
  <si>
    <t>Patch optic defect site OROC - interconect</t>
  </si>
  <si>
    <t>Schimbat patch optic si treceri I la  interconect ORO+OROC</t>
  </si>
  <si>
    <t>CR0039 - CR0412</t>
  </si>
  <si>
    <t>IMO000000267850</t>
  </si>
  <si>
    <t>FIbra rupta in urma caderii unor stalpi de medie</t>
  </si>
  <si>
    <t>instalat 250m fo si 2 osc</t>
  </si>
  <si>
    <t>Cabluri electrice rupte, s-a putut intrevenii dupa ce a finalizat electrica</t>
  </si>
  <si>
    <t>TI0401FAN1ODB2910</t>
  </si>
  <si>
    <t>FITT00000111129</t>
  </si>
  <si>
    <t xml:space="preserve">tub termo băgat cald și s-a spart sudura. </t>
  </si>
  <si>
    <t>Resudat fir la ODB</t>
  </si>
  <si>
    <t>TI0401FAN1ODB2008</t>
  </si>
  <si>
    <t>FITT00000111130</t>
  </si>
  <si>
    <t xml:space="preserve">ODB2004 vandalizat, fire rupte, afecta si ODB2008. </t>
  </si>
  <si>
    <t>S-au resudat fibrele, valori ok la ODB-uri, clienti up.</t>
  </si>
  <si>
    <t>TI0401FAN1ODB4211</t>
  </si>
  <si>
    <t>FITT00000111142</t>
  </si>
  <si>
    <t>Spltier defect in odb</t>
  </si>
  <si>
    <t>inlocuit spliter</t>
  </si>
  <si>
    <t>TI0445FAN2ODB1001</t>
  </si>
  <si>
    <t>FITT00000111135</t>
  </si>
  <si>
    <t xml:space="preserve">Fir rupt in ODB1002. </t>
  </si>
  <si>
    <t>Resudat, valori ok la ODB1001.</t>
  </si>
  <si>
    <t>TI0401FAN1ODB3106</t>
  </si>
  <si>
    <t>FITT00000111145</t>
  </si>
  <si>
    <t xml:space="preserve">ODB cazut de pe stalp, fire rupte. </t>
  </si>
  <si>
    <t>Resudat fire, pozitionat ODB.</t>
  </si>
  <si>
    <t xml:space="preserve">OLT1-BR0787 </t>
  </si>
  <si>
    <t>FITT00000111162</t>
  </si>
  <si>
    <t>Fibra agatata de agaritic si taiata ca incurca drumul.</t>
  </si>
  <si>
    <t>S-a instalat 80m fo si 2 jonctiuni, Porturile sunt up.</t>
  </si>
  <si>
    <t>CL0704FAN2ODB2937</t>
  </si>
  <si>
    <t>FITT00000111187</t>
  </si>
  <si>
    <t>FO6 agatat de agabaritic</t>
  </si>
  <si>
    <t>CR0344FAN1ODB3103</t>
  </si>
  <si>
    <t>FITT00000111188</t>
  </si>
  <si>
    <t xml:space="preserve">ODB3107 furat. </t>
  </si>
  <si>
    <t>S-a instalat ODB nou, valori ok.</t>
  </si>
  <si>
    <t>CR2950FAN2ODB203</t>
  </si>
  <si>
    <t>FITT00000111046</t>
  </si>
  <si>
    <t>Resudat, valori ok.</t>
  </si>
  <si>
    <t>CL0704FAN2ODB2936</t>
  </si>
  <si>
    <t>FITT00000111190</t>
  </si>
  <si>
    <t>comun cu FITT000000111187</t>
  </si>
  <si>
    <t>WDM CR0006 - CR0034;CR0034 - BE0410 + NEC CR0758 - CR0034 + SDH</t>
  </si>
  <si>
    <t>IMO000000268077</t>
  </si>
  <si>
    <t>Marius Cinca+ Tene + Vali</t>
  </si>
  <si>
    <t>Fibra taiata intentionat</t>
  </si>
  <si>
    <t>instalat 1 osc</t>
  </si>
  <si>
    <t>OLT1-CL0067</t>
  </si>
  <si>
    <t>FITT00000111253</t>
  </si>
  <si>
    <t>FO96 afectat in urma ruperii unui stalp OROC</t>
  </si>
  <si>
    <t>s-a inlocuit stalpul, s-a eliberat rezerva si s-a instalat un OSC nou</t>
  </si>
  <si>
    <t>lt1-ti0062,RACK=1,SHELF=1,SLOT=2,PORT=1</t>
  </si>
  <si>
    <t>FITT00000111400</t>
  </si>
  <si>
    <t>Ernest + Pandariu</t>
  </si>
  <si>
    <t>FO72 rupt de agabaritic</t>
  </si>
  <si>
    <t>200m FO96 si 2 OSC-uri</t>
  </si>
  <si>
    <t>CL0165FAN1ODB156</t>
  </si>
  <si>
    <t>FITT00000111209</t>
  </si>
  <si>
    <t>fir rupt in DP16</t>
  </si>
  <si>
    <t>FITT00000111215</t>
  </si>
  <si>
    <t>SPL R2 defect in ODB</t>
  </si>
  <si>
    <t>Inlocuit SPL IN ODB</t>
  </si>
  <si>
    <t>TI0337FAN1ODB1703</t>
  </si>
  <si>
    <t>FITT00000111449</t>
  </si>
  <si>
    <t>pigtail defect pe portul 8</t>
  </si>
  <si>
    <t>s-a inlocuit pigtail-ul</t>
  </si>
  <si>
    <t>TI0015FAN1ODB12033</t>
  </si>
  <si>
    <t>FITT00000111453</t>
  </si>
  <si>
    <t>Bloc in renovare -OSC existent afectat de constructor - fire rupte</t>
  </si>
  <si>
    <t>Constructor Bloc</t>
  </si>
  <si>
    <t>Refacut suduri OSC</t>
  </si>
  <si>
    <t>TI0445 &lt;&gt; TI0731</t>
  </si>
  <si>
    <t>IMO000000268497</t>
  </si>
  <si>
    <t>CL0265 - CL1117</t>
  </si>
  <si>
    <t>IMO000000268571</t>
  </si>
  <si>
    <t>Stalp Electrica rupt</t>
  </si>
  <si>
    <t>Tras 200m + 2 osc</t>
  </si>
  <si>
    <t>CL0781 - CL0229</t>
  </si>
  <si>
    <t>IMO000000268761</t>
  </si>
  <si>
    <t>Cablu rupt in sapatura</t>
  </si>
  <si>
    <t>80m + 2 osc</t>
  </si>
  <si>
    <t>CR0077 - CR0076</t>
  </si>
  <si>
    <t>IMO000000268789</t>
  </si>
  <si>
    <t>Afectare partiala la 209m de site CR0077</t>
  </si>
  <si>
    <t>Refacut fir in OSC EX</t>
  </si>
  <si>
    <t>CR2950FAN3ODB146</t>
  </si>
  <si>
    <t>FITT00000111447</t>
  </si>
  <si>
    <t>Fir nesudat in DP - instalare</t>
  </si>
  <si>
    <t>CL0567FAN1ODB11912</t>
  </si>
  <si>
    <t>FITT00000111538</t>
  </si>
  <si>
    <t>Sudura rupta in caseta ODB</t>
  </si>
  <si>
    <t>TI0337FAN1ODB13411</t>
  </si>
  <si>
    <t>FITT00000111490</t>
  </si>
  <si>
    <t>OUT 4 RUPT IN ODB</t>
  </si>
  <si>
    <t>Inlocuit spl r2</t>
  </si>
  <si>
    <t>FITT00000111567</t>
  </si>
  <si>
    <t xml:space="preserve">Echipa care s-a deplasat la ODB-ul reclamat a gasite clemele de prindere a capacului rupte. </t>
  </si>
  <si>
    <t>S-a instalat un ODB nou. Dupa instalarea ODB-ului nou s-au verificat valorile optice. Valorile sunt bune</t>
  </si>
  <si>
    <t>FITT00000111753</t>
  </si>
  <si>
    <t>Pandariu</t>
  </si>
  <si>
    <t>S-au executat masuratori OTDR din ODB12033. Masuratoarea indica atenuare la 33m fata de ODB. S-a urmarit traseul si s-a identificat cablul FO stresat in urma lucrarilor de reabilitare a blocului.</t>
  </si>
  <si>
    <t>Dupa indreptarea cablului valorile optice au revenit in paramteri</t>
  </si>
  <si>
    <t>SDH STM16 Cluj-Poieni cu alarma de Media Failure</t>
  </si>
  <si>
    <t xml:space="preserve"> IMO000000269045</t>
  </si>
  <si>
    <t>Borgovan</t>
  </si>
  <si>
    <t>pigtails defecti</t>
  </si>
  <si>
    <t>s-au inlocuit pigtails</t>
  </si>
  <si>
    <t>CR0276 - CR0176</t>
  </si>
  <si>
    <t>IMO000000269097</t>
  </si>
  <si>
    <t>Aparut in urma lucrarilor de instalare camerete</t>
  </si>
  <si>
    <t>CR0781FAN1ODB207</t>
  </si>
  <si>
    <t>FITT00000111587</t>
  </si>
  <si>
    <t>la ODB  CR0781FAN1ODB207, a constatat ca nu se sincronizeaza ONT-ul (SN: 5A544547DC4A4258). Conform NICM, clientul trebuie provizionat pe Slot/Port 2/5, insa in autofind CPE-ul este descoperit pe Slot/Port 2/6 channel.</t>
  </si>
  <si>
    <t>ODB conectat pe spliter gresit in DP. S-a sudat pe spliter-ul corect, ulterior s-a verificat daca ONT s-a sincronizat si daca semnalul este in parametri.</t>
  </si>
  <si>
    <t>OLT1-BR0423 / Slot : 2 / PON2/6</t>
  </si>
  <si>
    <t>FITT00000111805</t>
  </si>
  <si>
    <t>fiber is broken.; ZTE; olt1-br0423,RACK=1,SHELF=1,SLOT=2,PORT=6</t>
  </si>
  <si>
    <t>Fir rupt in jonctiune de interventie. S-a resudat si verificat. Portul era din noua activ si majoritatea ONT-urilor UP.</t>
  </si>
  <si>
    <t>TI0203FAN1ODB405</t>
  </si>
  <si>
    <t>FITT00000111791</t>
  </si>
  <si>
    <t>4 OUT RUPTE IN SPL R2</t>
  </si>
  <si>
    <t>CR0257FAN1ODB328</t>
  </si>
  <si>
    <t>FITT00000111787</t>
  </si>
  <si>
    <t>Marius Tene + Cinca</t>
  </si>
  <si>
    <t>COMUN CU FITT00000111916</t>
  </si>
  <si>
    <t>sa tras patch nou intre ODF SI EDFA + verificari pana in DP subteran si la ODB</t>
  </si>
  <si>
    <t>CR2950FAN4ODB128</t>
  </si>
  <si>
    <t>FITT00000111948</t>
  </si>
  <si>
    <t xml:space="preserve">Fir rupt in sudura la DP13. </t>
  </si>
  <si>
    <t>Resudat.</t>
  </si>
  <si>
    <t>CR0257FAN1ODB325</t>
  </si>
  <si>
    <t>FITT00000111916</t>
  </si>
  <si>
    <t xml:space="preserve">PORT NEACTIVAT DIN SITE - FARA PATCH  - </t>
  </si>
  <si>
    <t>Possible FO CUT NEC local in Bihor,between CL0190 - CL0830</t>
  </si>
  <si>
    <t>IMO000000269431</t>
  </si>
  <si>
    <t>Cabluri taiate de primarie de pe fatda - centru Oradea</t>
  </si>
  <si>
    <t>Primaria Oradea</t>
  </si>
  <si>
    <t>S-a rerutat cablul din alta camereta Digi pana in curtea interioara de la Shop Orange Oradea</t>
  </si>
  <si>
    <t>Possible FO CUT NEC local in Arad between TI0160 - TI0546 / TI0160 - TI0102 / TI0160 - TI1063 / TI0160 - TI1056</t>
  </si>
  <si>
    <t>IMO000000269435</t>
  </si>
  <si>
    <t>Ernest + Cosmin Pau</t>
  </si>
  <si>
    <t>Cabluri 36 FO agatate de agabritic</t>
  </si>
  <si>
    <t>150m + 2 osc noi x 2</t>
  </si>
  <si>
    <t>FITT00000111915</t>
  </si>
  <si>
    <t>CLUJ CL0400 - DEJ CL0079 ; CL0963 – CL0429 + RM Dej  - Cluj + NEC CL0429 - CL0963</t>
  </si>
  <si>
    <t xml:space="preserve">IMO000000269681 </t>
  </si>
  <si>
    <t>PRONET FIBER</t>
  </si>
  <si>
    <t>fibra rupta de macara</t>
  </si>
  <si>
    <t>Lucrari pista biciclete</t>
  </si>
  <si>
    <t>CR0103FAN2ODB3612</t>
  </si>
  <si>
    <t xml:space="preserve">FITT00000111937 </t>
  </si>
  <si>
    <t xml:space="preserve">Patch-urile care conecteaza TB erau stresate in ODB. </t>
  </si>
  <si>
    <t>S-a rearanjat, valori ok la TB, client up.</t>
  </si>
  <si>
    <t>CR2950FAN2ODB381</t>
  </si>
  <si>
    <t>FITT00000112012</t>
  </si>
  <si>
    <t xml:space="preserve">Sudura sparta in DP3. </t>
  </si>
  <si>
    <t>Resudat fir, clienti up, valori ok la ODB.</t>
  </si>
  <si>
    <t>BE0159FAN1ODB29</t>
  </si>
  <si>
    <t>FITT00000112005</t>
  </si>
  <si>
    <t xml:space="preserve">fibra rupta, posibil toaletare copaci. </t>
  </si>
  <si>
    <t>Instalat 120m fo si o jonctiune noua. valori ok la odb</t>
  </si>
  <si>
    <t>Jonctiune suprapusa</t>
  </si>
  <si>
    <t>OLT1-BR0018 / Slot : 2 / PON2/2</t>
  </si>
  <si>
    <t>FITT00000112033</t>
  </si>
  <si>
    <t xml:space="preserve">Stalp electrica picat in urma lucrarilor la autostrada. Pe stalp era si o jonctiune. S-a constatat firele rupte. </t>
  </si>
  <si>
    <t>Lucrari autostrada</t>
  </si>
  <si>
    <t>Pentru remediere au fost resudate. Port up</t>
  </si>
  <si>
    <t>FITT00000112052</t>
  </si>
  <si>
    <t>Comun cu FITT00000112033</t>
  </si>
  <si>
    <t>OLT1-BR0018 / Slot : 2 / PON2/5</t>
  </si>
  <si>
    <t>FITT00000112059</t>
  </si>
  <si>
    <t>TI0074 - Resita_TI0417</t>
  </si>
  <si>
    <t>IMO000000269809</t>
  </si>
  <si>
    <t>Fibra rupta de caderea unui copac</t>
  </si>
  <si>
    <t>Instalat 1 osc</t>
  </si>
  <si>
    <t>OLT1-TI2997</t>
  </si>
  <si>
    <t>FITT00000112080</t>
  </si>
  <si>
    <t>Alex Popa</t>
  </si>
  <si>
    <t>fibra 144 rupta in sapatura in cadrul lucrarilor la calea ferat</t>
  </si>
  <si>
    <t>Instalat 1 osc, toate porturile sunt up</t>
  </si>
  <si>
    <t>CL0567FAN1ODB12542</t>
  </si>
  <si>
    <t>FITT00000112076</t>
  </si>
  <si>
    <t>pigtail rupt in odb</t>
  </si>
  <si>
    <t>Inlocuit pigtail. Port ok, client up.</t>
  </si>
  <si>
    <t xml:space="preserve">OLT1-TI0076 </t>
  </si>
  <si>
    <t>FITT00000112095</t>
  </si>
  <si>
    <t>Comun cu IMO000000269852</t>
  </si>
  <si>
    <t>TI0076- TI0304</t>
  </si>
  <si>
    <t>IMO000000269852</t>
  </si>
  <si>
    <t>Cablu fo 96 rupt de agabaritic</t>
  </si>
  <si>
    <t>Resudat DP5</t>
  </si>
  <si>
    <t>CL0456 - CL0132 / CL0456 - CL0583 /  CL0456 - CL0039 / CL0456 CL0990</t>
  </si>
  <si>
    <t>IMO000000269907</t>
  </si>
  <si>
    <t>Cablu turtit din cauza caderii unui stalp electrica</t>
  </si>
  <si>
    <t>instalat 1 jonctiune</t>
  </si>
  <si>
    <t>CR0078FAN1ODB0206</t>
  </si>
  <si>
    <t xml:space="preserve">FITT00000112109 </t>
  </si>
  <si>
    <t>S-a masurat din DP02OSC8 catre ODB206 cu rezultatul 103m. Solutia de remediere: Instalat FO nou din DP2OSC8 pana la un OSC nou instalat de catre noi. 122 m FO12 si un OSC nou. Semnal corespunzator in ODB206 dupa finalizarea deranjamentului.</t>
  </si>
  <si>
    <t xml:space="preserve">Incident reclamatie VDF local in Timis between TI0401 - PL01214 DF2DF0001 </t>
  </si>
  <si>
    <t>IMO000000269993</t>
  </si>
  <si>
    <t>Robert Catona+Florin Popescu</t>
  </si>
  <si>
    <t>Resudat fibre in urma unor lucrari efectuate de primarie</t>
  </si>
  <si>
    <t>Primaria Timisoara</t>
  </si>
  <si>
    <t>Resudat corect in OSC246</t>
  </si>
  <si>
    <t>Loss of signal WDM CL0111 - CL0756</t>
  </si>
  <si>
    <t>IMO000000269996</t>
  </si>
  <si>
    <t>Solutie provizorie ( incendiu )</t>
  </si>
  <si>
    <t>Fibra arsa in urma unui incendiu</t>
  </si>
  <si>
    <t>Tras cablu provizoriu 100m FO12 si 2 jonctiuni</t>
  </si>
  <si>
    <t>Lipsa acces in zona incidentului ( ancheta in desfasurare)</t>
  </si>
  <si>
    <t>Loss of signal WDM TI0076- TI0304</t>
  </si>
  <si>
    <t>IMO000000270006</t>
  </si>
  <si>
    <t>Robert Catona+Florin Popescu+Ernest</t>
  </si>
  <si>
    <t xml:space="preserve">Cablu rupt de agabaritic. </t>
  </si>
  <si>
    <t>Instalat 200m FO96, o jonctiune noua si refacut DP5</t>
  </si>
  <si>
    <t>Possible FO CUT NEC local in Harghita between BR0248 - BR0044 / BR0044 - BR0756</t>
  </si>
  <si>
    <t>IMO000000270004</t>
  </si>
  <si>
    <t>Lehel + inca 2 colegi</t>
  </si>
  <si>
    <t xml:space="preserve">F-cut la 964 m de interconect catre BR0248 in retea VDF. </t>
  </si>
  <si>
    <t>Trimis catre VDF</t>
  </si>
  <si>
    <t>OLT1-TI0076 / Slot : 1 PON1/0, PON1/1, PON1/2, PON1/3, PON1/4, PON1/5, PON1/6, PON1/7, PON1/8, PON1/9, PON1/11, PON1/12, PON1/15</t>
  </si>
  <si>
    <t xml:space="preserve">FITT00000112167 </t>
  </si>
  <si>
    <t>Comun cu IMO000000270006</t>
  </si>
  <si>
    <t>OLT1-BR0018 / Slot : 1 PON1/1, PON1/2, PON1/3, PON1/4, PON1/5, PON1/6, PON1/7</t>
  </si>
  <si>
    <t>FITT00000112207</t>
  </si>
  <si>
    <t>Cablu rupt de agabaritic. Instalat o jonctiune noua si refacut suduri in jonctiunea existenta</t>
  </si>
  <si>
    <t>Instalat o jonctiune noua si refacut suduri in jonctiunea</t>
  </si>
  <si>
    <t>CR2950FAN2ODB382</t>
  </si>
  <si>
    <t xml:space="preserve">FITT00000112229 </t>
  </si>
  <si>
    <t>Fir rupt in CR2950FAN2ODB382. Refacut sudura in CR2950FAN2ODB382. Valori in parametri.</t>
  </si>
  <si>
    <t>CL2989FAN1ODB1323</t>
  </si>
  <si>
    <t>FITT00000112250</t>
  </si>
  <si>
    <t xml:space="preserve">Nepos </t>
  </si>
  <si>
    <t xml:space="preserve">Fibra rupta de agabariritc </t>
  </si>
  <si>
    <t xml:space="preserve"> S-a instalat cablu FO 24 intre o jonctiune existenta si una noua.</t>
  </si>
  <si>
    <t>WDM Poieni CL0781 - Oradea CL0229 / CL0165 - CL0339 + SDH</t>
  </si>
  <si>
    <t>IMO000000270300</t>
  </si>
  <si>
    <t xml:space="preserve">Fibra rupta in sapatura </t>
  </si>
  <si>
    <t xml:space="preserve">S-a tras din rezerva si s-a executat o jonctiune  noua si s-a instalat o camereta </t>
  </si>
  <si>
    <t xml:space="preserve">BR0003 - BR0556 </t>
  </si>
  <si>
    <t>IMO000000270373</t>
  </si>
  <si>
    <t>Fibra arsa in urma unui incendiu de vegetatie.</t>
  </si>
  <si>
    <t xml:space="preserve">stalpi OROC </t>
  </si>
  <si>
    <t>TI0055 - TI3443</t>
  </si>
  <si>
    <t xml:space="preserve"> IMO000000270377</t>
  </si>
  <si>
    <t xml:space="preserve">Vladimir </t>
  </si>
  <si>
    <t xml:space="preserve">FO taiat de catre primarie.Taieri primarie </t>
  </si>
  <si>
    <t>nu se poate reface reteaua pe vechiul traseu. Urmeaza sa se reloce clientii in PLT-uri exOROC</t>
  </si>
  <si>
    <t xml:space="preserve"> BR0044 (ODORHEIU_1 ) - BR0158 / BR2995 - BR054</t>
  </si>
  <si>
    <t>IMO000000270402</t>
  </si>
  <si>
    <t xml:space="preserve">Vultur </t>
  </si>
  <si>
    <t>S-au instalat  400 m FO si s-au executat 2 jonctiuni</t>
  </si>
  <si>
    <t xml:space="preserve">SSM </t>
  </si>
  <si>
    <t xml:space="preserve">BR0902 ( JOSENI ) - BR0034 </t>
  </si>
  <si>
    <t>IMO000000270417</t>
  </si>
  <si>
    <t>Solutie provizorie- camereta si jonctiune</t>
  </si>
  <si>
    <t xml:space="preserve">S-au refacut masuratorile din site BR0572. Masuratorile au indicat incident la 25km catre BR0034.
La cota indicata s-a identificat cablul FO taiat intr-o portiune in care cablul subteran era dezgropat pe o portiune scurta (probabil in urma lucrarilor de refacere a rigolelor). Fiind zona muntoasa, cablul e ingropat la aproximativ 40cm. Colegii prespun ca FO a fost taiat de catre cineva in speranta ca era cablu de cupru.
</t>
  </si>
  <si>
    <t>S-a instalat o discheta provizorie. Urmeaza sa fie montata o camereta, iar fibra si jonctiunea sa fie montate in acesta.</t>
  </si>
  <si>
    <t>CL2995FAN2ODB1302</t>
  </si>
  <si>
    <t>FITT00000112322</t>
  </si>
  <si>
    <t xml:space="preserve">SPL1 defect </t>
  </si>
  <si>
    <t>Inlocuit spliter si refacut suduri</t>
  </si>
  <si>
    <t>FITT00000112365</t>
  </si>
  <si>
    <t xml:space="preserve">Fibra atenuata </t>
  </si>
  <si>
    <t xml:space="preserve"> S-a identificat si s-a resudat fibra la SPL1 .Semnal in parametrii.</t>
  </si>
  <si>
    <t>TI0076FAN1ODB517</t>
  </si>
  <si>
    <t>FITT00000112371</t>
  </si>
  <si>
    <t>OLT1-CL0016 / Slot : 3 / PON3/7</t>
  </si>
  <si>
    <t>FITT00000112377</t>
  </si>
  <si>
    <t xml:space="preserve">Fibra rupta de agbaritic  </t>
  </si>
  <si>
    <t>S-a tras din rezerva si s-a executat o jonctiune</t>
  </si>
  <si>
    <t xml:space="preserve">Traseu OROC -necesar inlocuire stalpi si refacut trase circa 1 KM, acoperis distrus la o casa </t>
  </si>
  <si>
    <t>FITT00000112383</t>
  </si>
  <si>
    <t xml:space="preserve">Adler </t>
  </si>
  <si>
    <t>Fibra rupta in OSC intermediar</t>
  </si>
  <si>
    <t>CR2950FAN2ODB346</t>
  </si>
  <si>
    <t>FITT00000112405</t>
  </si>
  <si>
    <t>Fir rupt in OSC la SPL1</t>
  </si>
  <si>
    <t>OLT1-BE0461 / Slot : 3 / PON3/1 PON2/10, PON2/11</t>
  </si>
  <si>
    <t>FITT00000112417</t>
  </si>
  <si>
    <t>FO 144 ars in urma unui scurt circuit</t>
  </si>
  <si>
    <t>OLT1-BE0461 / Slot : 3 PON3/6, PON3/7</t>
  </si>
  <si>
    <t>FITT00000112460</t>
  </si>
  <si>
    <t>Comun cu FITT00000112417</t>
  </si>
  <si>
    <t>WDM CL0030 - CL0107 ; CL0534 - CL30615 + NEC CL0030 - CL0107</t>
  </si>
  <si>
    <t>IMO000000270874</t>
  </si>
  <si>
    <t>Tarsolt</t>
  </si>
  <si>
    <t xml:space="preserve">S-a identificat cablul FO12 afectat in urma lucrarilor pentru instalarea unei conducte de apa
</t>
  </si>
  <si>
    <t>Inlocuit 50m fo12 si executat 2 jonctiuni noi</t>
  </si>
  <si>
    <t>FITT00000112549</t>
  </si>
  <si>
    <t>Interventie HH 300000262539 ODB CL0567FAN1ODB12542 tehnicianul comunica pigteil rupt SPL1 / PORT 7.
Va rog sa ne ajutati cu o verificare.</t>
  </si>
  <si>
    <t>S-a remediat in FITT00000112076, clientul este up cu valori optice in parametri.</t>
  </si>
  <si>
    <t>FITT00000112536</t>
  </si>
  <si>
    <t>lipsa semnal ODB" -CL0704FAN2ODB2936, SPL1</t>
  </si>
  <si>
    <t>lipsa semnal ODB" -CL0704FAN2ODB2936. 2 Stalpi pe care era instalata fibra de 6FO ce deservea ODB2936 si ODB2937 au fost taiati impreuna cu fibra. Stalpii erau instalati pe terenul unui propietar care banuim ca el a si vandalizat reteaua. S-a instalat un OSC pe cablul fo48 care trece pe langa ODB2936 si s-au conectat cele 2 ODB-uri. Clientii din cele 2 ODB-uri sunt functionali.</t>
  </si>
  <si>
    <t>FITT00000112558</t>
  </si>
  <si>
    <t>comun cu FITT00000112536</t>
  </si>
  <si>
    <t xml:space="preserve">Loss of signal SAM-MPR in Olt between CR0218 – CR0358 </t>
  </si>
  <si>
    <t>IMO000000271151</t>
  </si>
  <si>
    <t>120m + 2 osc</t>
  </si>
  <si>
    <t>TI0258FAN1ODB1524</t>
  </si>
  <si>
    <t>FITT00000112697</t>
  </si>
  <si>
    <t>LOSS OF SIGNAL WDM TI0074 &lt;&gt; Resita ( TI0417 ) + NEC TI0417-TI0169</t>
  </si>
  <si>
    <t>IMO000000271179</t>
  </si>
  <si>
    <t>Ernest + Ionut Pascau</t>
  </si>
  <si>
    <t>Cablu rupt in sapatura de Electrica la 600m de site</t>
  </si>
  <si>
    <t>Electrica SA</t>
  </si>
  <si>
    <t>Tras rezerva + 1 osc - necesar camereta</t>
  </si>
  <si>
    <t>OLT1-CR0752 / Slot : 1 / PON1/1</t>
  </si>
  <si>
    <t>FITT00000112736</t>
  </si>
  <si>
    <t>Cablu 48 agatat de agabaritic</t>
  </si>
  <si>
    <t xml:space="preserve">Tras 300m din DP 1 + 1 OSC NOU 48 FO </t>
  </si>
  <si>
    <t>CR0752FAN1ODB0302</t>
  </si>
  <si>
    <t>FITT00000112703</t>
  </si>
  <si>
    <t>comun cu FITT00000112736</t>
  </si>
  <si>
    <t>CR0752FAN1ODB0112</t>
  </si>
  <si>
    <t>FITT00000112739</t>
  </si>
  <si>
    <t>BR0210FAN1ODB0503</t>
  </si>
  <si>
    <t>FITT00000112683</t>
  </si>
  <si>
    <t xml:space="preserve">Jonctiune cazuta de pe stalp, fibra atenuata. </t>
  </si>
  <si>
    <t>S-au reasezat sudurile si resudat portul atenuat. Valori ok pe tot portul.</t>
  </si>
  <si>
    <t>TI0401FAN1ODB4506</t>
  </si>
  <si>
    <t>FITT00000112743</t>
  </si>
  <si>
    <t>Chisoda</t>
  </si>
  <si>
    <t xml:space="preserve">Fir rupt in ODB4512. </t>
  </si>
  <si>
    <t>BR0093FAN1ODB65</t>
  </si>
  <si>
    <t>FITT00000112928</t>
  </si>
  <si>
    <t>spliter rupt, mufe lipsa</t>
  </si>
  <si>
    <t>Inlocuit spliter, instalat mufe noi. Valori ok la ODB.</t>
  </si>
  <si>
    <t>CL0026FAN1ODB3129</t>
  </si>
  <si>
    <t>FITT00000112866</t>
  </si>
  <si>
    <t>pigtail rupti in TB</t>
  </si>
  <si>
    <t>Inlocuit pigtail</t>
  </si>
  <si>
    <t>EDFA64-01-TI0203</t>
  </si>
  <si>
    <t>FITT00000112898</t>
  </si>
  <si>
    <t xml:space="preserve">Fir rupt la 800m de site in J_PuncteCardinale. </t>
  </si>
  <si>
    <t>Resudat fir.</t>
  </si>
  <si>
    <t>OLT1-CL0047 / Slot : 3 / PON3/4</t>
  </si>
  <si>
    <t>FITT00000112969</t>
  </si>
  <si>
    <t>Fir rupt in OSC112.</t>
  </si>
  <si>
    <t>TI0076FAN1ODB503</t>
  </si>
  <si>
    <t xml:space="preserve">FITT00000112979 </t>
  </si>
  <si>
    <t>Florin Popescu</t>
  </si>
  <si>
    <t>"lipsa semnal ODB" -TI0076FAN1ODB503, SPL2. In acest ODB, SPL2 mai sunt instalati si alti client.</t>
  </si>
  <si>
    <t>Spliter-ul 2 din ODB503 are acum semnal, au fost probleme cu sudura de la DP5. S-au ridicat 2 din cei 4 clienti picati de acum 6zile clientul 300000442179 si clientul L1558 BT Transilvania reclamat la FITT00000113079. Colegii din teren au spus ca sunt cabluri de client neconectate dar si alte cabluri taiate de acum 6 zile.</t>
  </si>
  <si>
    <t>OLT1-CL2992 / Slot : 2 PON2/0, PON2/1, PON2/2, PON2/3</t>
  </si>
  <si>
    <t xml:space="preserve">FITT00000113080 </t>
  </si>
  <si>
    <t>Fibra agatata de agabaritic inainte de DP6. Instalat 70 m FO48 si 2 OSC noi</t>
  </si>
  <si>
    <t xml:space="preserve">FITT00000113079 </t>
  </si>
  <si>
    <t xml:space="preserve">Comun cu FITT00000112979 </t>
  </si>
  <si>
    <t>FO CUT NEC local in Cluj between CL0156 - CL1858</t>
  </si>
  <si>
    <t>IMO000000271779</t>
  </si>
  <si>
    <t>Zsolt + Netconstruct -Alex Nadasan</t>
  </si>
  <si>
    <t>intregit fire pe traseul nou</t>
  </si>
  <si>
    <t>Loss of signal WDM CL0045 - CL0962;Poieni(CL0781) - Cluj_1(CL0400) + SDH</t>
  </si>
  <si>
    <t xml:space="preserve">IMO000000271837 </t>
  </si>
  <si>
    <t>Solutie provizorie -atenuare suplimentara</t>
  </si>
  <si>
    <t>Fibra rupta in sapatura in urma lucrarilor de la Spitalul regional</t>
  </si>
  <si>
    <t>Nello Construct</t>
  </si>
  <si>
    <t>S-a tras provizoiu cablu de 2 ori fiind rupt de acceasi firma si s-au instalat  5 jonctiuni</t>
  </si>
  <si>
    <t xml:space="preserve">Traseu proiectat pentru  a se reloca </t>
  </si>
  <si>
    <t>Loss of signal WDM CR0006 - CR0034;CR0006 - BE0410 + SDH</t>
  </si>
  <si>
    <t>IMO000000271849</t>
  </si>
  <si>
    <t>Generat de PRC</t>
  </si>
  <si>
    <t>Generat de PRC. PBM61205</t>
  </si>
  <si>
    <t>TI0203FAN1ODB1905</t>
  </si>
  <si>
    <t xml:space="preserve">FITT00000112946 </t>
  </si>
  <si>
    <t>lipsa semnal ODB, semnat atenuat foarte tare
semnal ODB</t>
  </si>
  <si>
    <t>La ODB semnalul era foarte atenuat. S-a remediat prin inlocuire patch fo din site care era avariat. Acum ODB-ul are semnal.</t>
  </si>
  <si>
    <t>CR0425FAN1ODB1104</t>
  </si>
  <si>
    <t xml:space="preserve">FITT00000113093 </t>
  </si>
  <si>
    <t>Sudura defecta in ODB1104. Refacut sudura</t>
  </si>
  <si>
    <t>CR0214FAN1ODB1234</t>
  </si>
  <si>
    <t xml:space="preserve">FITT00000113108 </t>
  </si>
  <si>
    <t>Coltesti</t>
  </si>
  <si>
    <t>Largeanu Ion - Mota</t>
  </si>
  <si>
    <t>Semnal atenuat in ODB1234. Refacut sudura in ODB1234</t>
  </si>
  <si>
    <t>OLT1-MO0103 / Slot : 8 / PON8/11</t>
  </si>
  <si>
    <t xml:space="preserve">FITT00000113134 </t>
  </si>
  <si>
    <t>Fir intrerupt la 5,8 km de site catre DP. Refacut sudura in DP69OSC178</t>
  </si>
  <si>
    <t>CL0004FAN2ODB48</t>
  </si>
  <si>
    <t xml:space="preserve">FITT00000113113 </t>
  </si>
  <si>
    <t>FO rupt la 50 m de ODB48 catre DP</t>
  </si>
  <si>
    <t>Instalat 170 m FO intre J_FITT31893 si ODB48</t>
  </si>
  <si>
    <t>CR0048FAN1ODB1113</t>
  </si>
  <si>
    <t xml:space="preserve">FITT00000113152 </t>
  </si>
  <si>
    <t>S-a verificat si remediat fibra rupta . nivele bune la ODB, clientul UP</t>
  </si>
  <si>
    <t>TI0511FAN1ODB1325</t>
  </si>
  <si>
    <t xml:space="preserve">FITT00000113155 </t>
  </si>
  <si>
    <t>Refacut sudura in ODB1325 si in DP3OSC3. Valori in parametri</t>
  </si>
  <si>
    <t>OLT1-CL0212 / Slot : 1 PON1/1, PON1/2, PON1/3</t>
  </si>
  <si>
    <t xml:space="preserve">FITT00000113163 </t>
  </si>
  <si>
    <t>Solutie provizorie - necesar instalare cablu FO96</t>
  </si>
  <si>
    <t>Echipe Dan Belea</t>
  </si>
  <si>
    <t>Instalat 110 m FO + 2 OSC noi</t>
  </si>
  <si>
    <t>BR0378FAN1ODB1914</t>
  </si>
  <si>
    <t xml:space="preserve">FITT00000113165 </t>
  </si>
  <si>
    <t>Solutie provizorie - Necesar cruce + etichete</t>
  </si>
  <si>
    <t>Alin Nonu</t>
  </si>
  <si>
    <t>Incendiu la stalp.Cablu 48FO afectat</t>
  </si>
  <si>
    <t xml:space="preserve">Tras 80m + 2 osc </t>
  </si>
  <si>
    <t>CL0336FAN1ODB1213</t>
  </si>
  <si>
    <t>FITT00000113162</t>
  </si>
  <si>
    <t>Gilau</t>
  </si>
  <si>
    <t xml:space="preserve">FP Connnect </t>
  </si>
  <si>
    <t>Fibra rupta in DP12.</t>
  </si>
  <si>
    <t>S-a localizat si s-a resudat fibra rupta .Nivel optic bun la ODB, lipsa semnal TV datorita incident IMO000000271837 la momentul masurator</t>
  </si>
  <si>
    <t>Possible FO CUT in BRASOV intre BR5995  - BR0151</t>
  </si>
  <si>
    <t>IMO000000272035</t>
  </si>
  <si>
    <t>Fibra rupta in ODF-BR0151.</t>
  </si>
  <si>
    <t>CL0400FAN2ODB0804</t>
  </si>
  <si>
    <t>FITT00000113185</t>
  </si>
  <si>
    <t xml:space="preserve">Alin Borgovan </t>
  </si>
  <si>
    <t>ODB reclamat cu atenuare</t>
  </si>
  <si>
    <t>Traseu FO ok - nu sa putut schimba patch in site - nu a fost pe stoc</t>
  </si>
  <si>
    <t>CL2965FAN1ODB11715</t>
  </si>
  <si>
    <t>FITT00000113291</t>
  </si>
  <si>
    <t>lipsa semnal optic in CL2965FAN1ODB11715</t>
  </si>
  <si>
    <t>Fir sudat gresit in DP17, s-a refacut sudura. ODB-ul are semnal in parametrii.</t>
  </si>
  <si>
    <t>FITT00000113298</t>
  </si>
  <si>
    <t>Fibra rupta in sapatura in urma lucrarilor la autostrada</t>
  </si>
  <si>
    <t xml:space="preserve"> S-a tras din rezerva si s-a executat o jonctiune ,</t>
  </si>
  <si>
    <t>posibil T603204802 decalat</t>
  </si>
  <si>
    <t>FO Cut - Lucrare programata</t>
  </si>
  <si>
    <t>CL0452FAN1ODB1234</t>
  </si>
  <si>
    <t>FITT00000113238</t>
  </si>
  <si>
    <t>lipsa semnal ODB, in acest ODB mai este instalat un client care este down - 300000159157</t>
  </si>
  <si>
    <t>A fost necesara resudarea firului cu semnal pentru ODB in OSC1003. A fost indreptat stalpul de catre o firma de la Electrica si probabil a lovit OSC-ul. Clientul este UP si semnalul in parametrii.</t>
  </si>
  <si>
    <t xml:space="preserve"> WDM TI0543_Lugoj - TI0445 Timisoara + SDH + NEC TI0543 - TI0275</t>
  </si>
  <si>
    <t>IMO000000272168</t>
  </si>
  <si>
    <t>Fibra agatata in sapatura</t>
  </si>
  <si>
    <t>S-a descoperit camereta s-a tras cablu din rezerva  si s-a indreptat cablu la cald</t>
  </si>
  <si>
    <t>FITT00000113258</t>
  </si>
  <si>
    <t>out 7 fara semnal in odb</t>
  </si>
  <si>
    <t>Inlocuit pigtail. Valori ok.</t>
  </si>
  <si>
    <t>FITT00000113299</t>
  </si>
  <si>
    <t>Necesar proiect relocare</t>
  </si>
  <si>
    <t>CL0548FAN1ODB11911</t>
  </si>
  <si>
    <t>FITT00000113379</t>
  </si>
  <si>
    <t xml:space="preserve">Fir inversat in ODB11912. A fost introdus un nou cablu si cineva a incurcat fibrele. </t>
  </si>
  <si>
    <t>S-a sudat conform NICM si s-au conectat clientii corect.</t>
  </si>
  <si>
    <t>Loss of signal WDM CARANSEBES_1 (TI0781) - TI0034, CARANSEBES_1 (TI0781) - Toplet_1 (TI0036) + RM + MPR TI0326 - TI0781</t>
  </si>
  <si>
    <t>IMO000000272344</t>
  </si>
  <si>
    <t>Ernest + Ionut Pascau+echpa Abrajiu</t>
  </si>
  <si>
    <t>Cablu rupt in sapatura - organizare santier caransebes</t>
  </si>
  <si>
    <t>Lider de asociere SC DRUPO Group</t>
  </si>
  <si>
    <t>120m + 2 osc si 2 camerete</t>
  </si>
  <si>
    <t>OLT2-TI0337 / Slot : 2 / PON2/15</t>
  </si>
  <si>
    <t>FITT00000113610</t>
  </si>
  <si>
    <t>Comun cu IMO000000272824. up la 13:02</t>
  </si>
  <si>
    <t>IMO000000272824</t>
  </si>
  <si>
    <t>Cablu agatat de agabaritic, smuls din jonctiune</t>
  </si>
  <si>
    <t>Resudat osc</t>
  </si>
  <si>
    <t>OLT1-CL0217 / Slot : 1
PON1/4, PON1/5, PON1/7, PON1/8, PON1/10, PON1/11, PON1/12, PON1/15</t>
  </si>
  <si>
    <t>FITT00000113612</t>
  </si>
  <si>
    <t>fibra rupta in sapatura</t>
  </si>
  <si>
    <t>CL0601FAN1ODB1607</t>
  </si>
  <si>
    <t>FITT00000113637</t>
  </si>
  <si>
    <t>Echipa Dan Belea</t>
  </si>
  <si>
    <t>Fir rupt in jonctiune intermediara.</t>
  </si>
  <si>
    <t xml:space="preserve"> Resudat fir, valori ok la ODB.</t>
  </si>
  <si>
    <t>Arad_1(TI0782) - Timisoara_441_1(TI0441</t>
  </si>
  <si>
    <t>IMO000000272905</t>
  </si>
  <si>
    <t>Cablu stresat in sapatura</t>
  </si>
  <si>
    <t>indreptat la cald</t>
  </si>
  <si>
    <t>BR0781FAN1ODB689 &amp; BR0781FAN1ODB690</t>
  </si>
  <si>
    <t>FITT00000113662</t>
  </si>
  <si>
    <t xml:space="preserve">ODB689 cazut de pe stalp, afecta si ODB690. </t>
  </si>
  <si>
    <t>S-au resudat firele si repozitionat ODB689. Valori ok.</t>
  </si>
  <si>
    <t>OLT1-BR2988 / Slot : 1
PON1/3, PON1/4, PON1/5</t>
  </si>
  <si>
    <t>FITT00000113679</t>
  </si>
  <si>
    <t>Cablu 48 agatat de agabaritic in 2 locuri rupt</t>
  </si>
  <si>
    <t>inlocuit 150m cablu 48 fo 2 jonctiuni ----  2 ---tras din rezerva  1 jonctiune--cablu deteriorat de agabaritic  in 2 locuri</t>
  </si>
  <si>
    <t>CL0567FAN1ODB12017</t>
  </si>
  <si>
    <t>FITT00000113754</t>
  </si>
  <si>
    <t>doar masuratoare</t>
  </si>
  <si>
    <t>Soluite finala</t>
  </si>
  <si>
    <t>Reabilitare blocuri Nasaud</t>
  </si>
  <si>
    <t>Anvelopare bloc</t>
  </si>
  <si>
    <t>Doar masuratoare</t>
  </si>
  <si>
    <t>ONTs=17;	olt1-br0294;	Frame=0, Slot=4</t>
  </si>
  <si>
    <t>FITT00000113799</t>
  </si>
  <si>
    <t>Clablu agata in urma unor lucrari de apa/canal realizate de primaria Sanpetru</t>
  </si>
  <si>
    <t>Primaria Sanpetru</t>
  </si>
  <si>
    <t>Cablu rupt in sapatura. Eliberat rezerve si executat un OSC.</t>
  </si>
  <si>
    <t>TI0336FAN1ODB1643</t>
  </si>
  <si>
    <t>FITT00000113811</t>
  </si>
  <si>
    <t>OSC de preluare agatat de agabaritic - era pe acelasi stalp cu ODB</t>
  </si>
  <si>
    <t>Refacut cablu 12  complet ce mergea spre ODB reclamat</t>
  </si>
  <si>
    <t>OLT1-BR0294 / Slot : 5 PON5/11, PON5/13</t>
  </si>
  <si>
    <t>FITT00000113813</t>
  </si>
  <si>
    <t>Comun cu FITT00000113799</t>
  </si>
  <si>
    <t>Cablu afectat Dumbravita -Rucar Loss of signal in BRASOV   intre BR0433 - BE0782 / BR0433  - BR0093 + SDH</t>
  </si>
  <si>
    <t>IMO000000273313</t>
  </si>
  <si>
    <t>agatat accidental cablul de PROCONECT</t>
  </si>
  <si>
    <t>Instalat 200m de cablu</t>
  </si>
  <si>
    <t>CL0400FAN2ODB0711</t>
  </si>
  <si>
    <t xml:space="preserve">FITT00000113777 </t>
  </si>
  <si>
    <t>S-au refacut sudurile in ODB, DP si TB. S-a ajuns la valoarea de -21.9/-7.45. S-a discutat cu ORO TRANS (Marius Buciuta) si s-a inlocuit portul de edfa. S-au efectuat masuratori cu pm din CL0400, se pierdea 2db pe portul de EDFA. Acum semnalul ar trebui sa fie in parametri.</t>
  </si>
  <si>
    <t>WDM Sf_Gheiorghe (BR0013)-BR0760 + SDH Sf_Gheiorghe (BR0013)-GOGA(BR0255) + NEC BR0013-BR0760</t>
  </si>
  <si>
    <t>IMO000000273589</t>
  </si>
  <si>
    <t>Cablul afectat de constructor. Remediat de partener Orange pe lucrare de build</t>
  </si>
  <si>
    <t>CR2950FAN5ODB22</t>
  </si>
  <si>
    <t>FITT00000113831</t>
  </si>
  <si>
    <t>Data ZYX</t>
  </si>
  <si>
    <t>BR0003FAN1ODB3901</t>
  </si>
  <si>
    <t>FITT00000113791</t>
  </si>
  <si>
    <t>Nonu Alin</t>
  </si>
  <si>
    <t xml:space="preserve">S-a identificat si s-a resudat fibra afectata </t>
  </si>
  <si>
    <t>CR0011FAN1ODB11318</t>
  </si>
  <si>
    <t>FITT00000113814</t>
  </si>
  <si>
    <t>Problema comuna cu FITT00000113299 ODB11312, FITT00000113654 ODB11316 si FITT00000113814 ODB11318. Incident cauzat de un constructor de bloc care a avaria canalizatia OROC prin care este contruit acest segment pe ftth. S-a discutat cu operatiuni locale si astazi avea loc intalnirea intre constructor si reprezentat Oroc pentru a cauta o solutie de traseu pentru remediere si evitare repetare incident. Reprezentantul cu care se discutat problema este Enescu Mihail 0761 115306.</t>
  </si>
  <si>
    <t>CR0011FAN1ODB11316</t>
  </si>
  <si>
    <t>FITT00000113654</t>
  </si>
  <si>
    <t>CL0523 - CL0079;CL0079 - CL1161</t>
  </si>
  <si>
    <t>IMO000000273701</t>
  </si>
  <si>
    <t>Sergiu Filipas</t>
  </si>
  <si>
    <t>In urma verificarilor din teren s-aconstatat problema pe cablul Vodafone</t>
  </si>
  <si>
    <t>OLT1-TI0076 / Slot : 2 / PON2/6</t>
  </si>
  <si>
    <t>FITT00000114303</t>
  </si>
  <si>
    <t>Cablu aerian agatat de agabaritic</t>
  </si>
  <si>
    <t>Instalat o jonctiune noua si refacut suduri in ODB</t>
  </si>
  <si>
    <t>CL0455-CL0149</t>
  </si>
  <si>
    <t>IMO000000273753</t>
  </si>
  <si>
    <t>Iosif Criste+Civile Satu Mare</t>
  </si>
  <si>
    <t xml:space="preserve">Cablu rupt in sapatura </t>
  </si>
  <si>
    <t>Instalat 50m FO12 si doua jonctiuni</t>
  </si>
  <si>
    <t>CR0753-CR0754</t>
  </si>
  <si>
    <t>IMO000000273744</t>
  </si>
  <si>
    <t>Eliberat din rezerve si instalat o jonctiune</t>
  </si>
  <si>
    <t>WDM CARANSEBES_1 (TI0781)-Toplet (TI0036) // Toplet (TI0036)-TI0305 + SDH</t>
  </si>
  <si>
    <t xml:space="preserve">IMO000000273762 </t>
  </si>
  <si>
    <t>Partener Porr</t>
  </si>
  <si>
    <t>Eliberat rezerva si instalat o jonctiune</t>
  </si>
  <si>
    <t>OLT1-CL0667 / Slot : 1 PON1/11, PON1/12, PON1/13, PON1/14, PON1/16</t>
  </si>
  <si>
    <t>FITT00000114358</t>
  </si>
  <si>
    <t>Cablu rupt in sapatura de lucrari la reteaua de canalizare</t>
  </si>
  <si>
    <t>Fibra rupta in sapatura . S-a instalat 70 m Fo48 , 15 m sapatura 2 camerete si 2 jonctiuni noi.</t>
  </si>
  <si>
    <t>CR2993FAN1ODB3502</t>
  </si>
  <si>
    <t>FITT00000114347</t>
  </si>
  <si>
    <t>Stalp rupt de agabaritic, implicit si firul de pe stalp</t>
  </si>
  <si>
    <t>S-a instalat FO24 250m si doua jonctiuni noi (cablul s-a instalat pe stalpi noi)</t>
  </si>
  <si>
    <t>CR0079FAN2ODB109</t>
  </si>
  <si>
    <t>FITT00000114299</t>
  </si>
  <si>
    <t xml:space="preserve">Cotoara Ionica </t>
  </si>
  <si>
    <t>S-a instalat 100m FO 12 intre o jonctiune existenta si una noua .</t>
  </si>
  <si>
    <t>EDFA64-05-CL0445</t>
  </si>
  <si>
    <t>FITT00000114334</t>
  </si>
  <si>
    <t>x</t>
  </si>
  <si>
    <t>Cauza comuna cu  IMO000000273753</t>
  </si>
  <si>
    <t>CL0567FAN1ODB12012</t>
  </si>
  <si>
    <t>FITT00000114346</t>
  </si>
  <si>
    <t>NU E NECESAR -returnat</t>
  </si>
  <si>
    <t>comun cu FITT113754 -Lucrare mutata pe build</t>
  </si>
  <si>
    <t>tichet returnat</t>
  </si>
  <si>
    <t>CL2965FAN1ODB11614</t>
  </si>
  <si>
    <t>FITT00000114335</t>
  </si>
  <si>
    <t>Inversare in OSC100</t>
  </si>
  <si>
    <t xml:space="preserve"> S-a mutat pe spliter-ul corect si verificat provizionare.</t>
  </si>
  <si>
    <t>CL0305FAN1ODB11512</t>
  </si>
  <si>
    <t>FITT00000114723</t>
  </si>
  <si>
    <t>Stalp cazut si fibra agatata de utilaj agricol</t>
  </si>
  <si>
    <t xml:space="preserve">s-a tras din rezerva si s-a executat o jonctiune noua </t>
  </si>
  <si>
    <t>FITT00000114787</t>
  </si>
  <si>
    <t>Fir atenuat in cablu - sectiune inlocuita</t>
  </si>
  <si>
    <t>inlocuit 150m FO si refacut jonctiuni existente</t>
  </si>
  <si>
    <t>OLT1-CL0567 / Slot : 3 PON3/7, PON3/9</t>
  </si>
  <si>
    <t>FITT00000114791</t>
  </si>
  <si>
    <t>External -comun cu FITT113754</t>
  </si>
  <si>
    <t>OLT1-BR2727 / Slot : 3 / PON3/10</t>
  </si>
  <si>
    <t>FITT00000114796</t>
  </si>
  <si>
    <t xml:space="preserve">Banciu Mircea </t>
  </si>
  <si>
    <t>OLT2-TI0401 / Slot : 3 / PON3/12</t>
  </si>
  <si>
    <t>FITT00000114804</t>
  </si>
  <si>
    <t xml:space="preserve">Pachcord defect. </t>
  </si>
  <si>
    <t>S-a identificat si s-a schimbat pachul defect.</t>
  </si>
  <si>
    <t>CR0425FAN1ODB1507</t>
  </si>
  <si>
    <t>FITT00000114811</t>
  </si>
  <si>
    <t>Echipa OROC Dolj</t>
  </si>
  <si>
    <t>Spliter nivel 1 defect in DP15.</t>
  </si>
  <si>
    <t xml:space="preserve"> S-a inlocuit spliter-ul, valori ok pe port si la ODB.</t>
  </si>
  <si>
    <t>TI2999FAN1ODB11326</t>
  </si>
  <si>
    <t>FITT00000114814</t>
  </si>
  <si>
    <t>Erno/ Ionut</t>
  </si>
  <si>
    <t>Fir rupt in caseta ODB - caseta semi distrusa</t>
  </si>
  <si>
    <t>Refacut sudura si aranjat rezerve</t>
  </si>
  <si>
    <t>TI0337FAN1ODB13135</t>
  </si>
  <si>
    <t>FITT00000114936</t>
  </si>
  <si>
    <t>Sudura iesire SPL din DP rupta intre casete</t>
  </si>
  <si>
    <t>FITT00000114942</t>
  </si>
  <si>
    <t>TI0445FAN2ODB1908</t>
  </si>
  <si>
    <t>FITT00000114962</t>
  </si>
  <si>
    <t>Semnal optic atenuat in ODB 1908</t>
  </si>
  <si>
    <t>Resudat in DP. Valori optice optime</t>
  </si>
  <si>
    <t>CR0135FAN2ODB2810</t>
  </si>
  <si>
    <t>FITT00000114990</t>
  </si>
  <si>
    <t>Cablu agatat</t>
  </si>
  <si>
    <t>Instalat 200m FO24 si 2 jonctiuni</t>
  </si>
  <si>
    <t>CR0214FAN1ODB1235</t>
  </si>
  <si>
    <t>FITT00000114952</t>
  </si>
  <si>
    <t>comun cu FITT00000114787</t>
  </si>
  <si>
    <t>CR0034FAN1ODB3303</t>
  </si>
  <si>
    <t>FITT00000115028</t>
  </si>
  <si>
    <t>Comun cu FITT00000115031</t>
  </si>
  <si>
    <t>CR0034FAN1ODB3305</t>
  </si>
  <si>
    <t>FITT00000115029</t>
  </si>
  <si>
    <t>OLT1-CR0034 / Slot : 2 / PON2/16</t>
  </si>
  <si>
    <t>FITT00000115031</t>
  </si>
  <si>
    <t>Eliberat din rezerva si instalat un OSC nou ( cablu 48FO G657)</t>
  </si>
  <si>
    <t>OLT1-CR0034 / Slot : 3 / PON3/1</t>
  </si>
  <si>
    <t>FITT00000115036</t>
  </si>
  <si>
    <t>Comun cu FITT00000115169</t>
  </si>
  <si>
    <t>Loss of signal INGBANK L10212 (TI3442 - TI0055) Timisoara VPN (Reclamatie Supervizare</t>
  </si>
  <si>
    <t>IMO000000274552</t>
  </si>
  <si>
    <t>Redirectionat catre Prime</t>
  </si>
  <si>
    <t>Echipa Remus</t>
  </si>
  <si>
    <t>Loss of signal WDM Mures ; BR0632 - BR0051</t>
  </si>
  <si>
    <t>IMO000000274583</t>
  </si>
  <si>
    <t xml:space="preserve">Vlad Giurgiuman </t>
  </si>
  <si>
    <t>Instalat 3 osc-uri si 60m de fibra, cablul este pe jos, este necesar de instalat stalpi.</t>
  </si>
  <si>
    <t>Dupa finalizare incident ( realizat de Vlad) a fost echipa Civile Proconect de a instalat 900m de cablu</t>
  </si>
  <si>
    <t>Loss of signal WDM Maramures ; CL0628 - CL0704</t>
  </si>
  <si>
    <t>IMO000000274664</t>
  </si>
  <si>
    <t>Traversare drum rupta</t>
  </si>
  <si>
    <t>Inlocuit190m fo96 intre dp22 si osc 2008,refacut lipituri</t>
  </si>
  <si>
    <t>Loss of signal WDM SAROS (BR0426)-BR0330 // BR0330-BR0017 + SDH Saros - Band</t>
  </si>
  <si>
    <t>Utilaj Agricol</t>
  </si>
  <si>
    <t xml:space="preserve">120m + 2 osc - necesar intindere fo </t>
  </si>
  <si>
    <t>IMO000000274569</t>
  </si>
  <si>
    <t>Tras 230m fo 48 + 2 osc - necesar 2 st</t>
  </si>
  <si>
    <t>WDM CL0212 - CL2993</t>
  </si>
  <si>
    <t>IMO000000274748</t>
  </si>
  <si>
    <t>Y11</t>
  </si>
  <si>
    <t>Cablu agatat cu drujba</t>
  </si>
  <si>
    <t>Instalat un osc</t>
  </si>
  <si>
    <t>OLT1-CL0212</t>
  </si>
  <si>
    <t>FITT00000115101</t>
  </si>
  <si>
    <t>Comun cu IMO000000274748</t>
  </si>
  <si>
    <t>OLT1-CL0028 / Slot : 1 / PON1/8</t>
  </si>
  <si>
    <t>FITT00000115133</t>
  </si>
  <si>
    <t>Cablu rupt in DP</t>
  </si>
  <si>
    <t>Masuratoarea OTDR din DP1 a indicat FO afectat la 1.1km catre site CL0028. La cota indicata s-a identificat sudura defecta in OSC J3_143192 in reteaua RONET. Dupa refacerea sudurii s-au verificat valorile in NetNumen. Valorile sunt bune. Deoarece a ramas down clientul OH300000395571, echipa s-a deplasat la ODB CL0028FAN1ODB4 pentru verificarea nivelului de semnal. Powermetrul indica valori bune in CL0028FAN1ODB4</t>
  </si>
  <si>
    <t>EDFA64-02-CL0704</t>
  </si>
  <si>
    <t>FITT00000115166</t>
  </si>
  <si>
    <t>OLT1-BR0553 / Slot : 2 / PON2/3</t>
  </si>
  <si>
    <t>FITT00000115171</t>
  </si>
  <si>
    <t>TV Adler</t>
  </si>
  <si>
    <t>BR0553FAN1ODB11023</t>
  </si>
  <si>
    <t>FITT00000115170</t>
  </si>
  <si>
    <t>OLT1-BR0553 / Slot : 2 / PON2/4</t>
  </si>
  <si>
    <t>FITT00000115169</t>
  </si>
  <si>
    <t>Cablu rupt la traversare de drum rupta</t>
  </si>
  <si>
    <t>Instalat 50m de FO si 2 OSC</t>
  </si>
  <si>
    <t>OLT2-CR2950 / Slot : 5 / PON5/7</t>
  </si>
  <si>
    <t>FITT00000115258</t>
  </si>
  <si>
    <t>Fir rupt in OSC 42</t>
  </si>
  <si>
    <t>CR0103FAN2ODB2501</t>
  </si>
  <si>
    <t>FITT00000115366</t>
  </si>
  <si>
    <t>out spliter rupt in ODB</t>
  </si>
  <si>
    <t>Inlocuit spliter in ODB. Valori ok, s-a confirmat si cu clientul care a reclamat functionalitatea servicilor.</t>
  </si>
  <si>
    <t>BR0720 - BR0012 + BR0294 - BR0720</t>
  </si>
  <si>
    <t>IMO000000275026</t>
  </si>
  <si>
    <t>Instalat fo si 2 osc</t>
  </si>
  <si>
    <t>OLT2-TI0401 / Slot : 1 / PON1/9</t>
  </si>
  <si>
    <t>FITT00000115376</t>
  </si>
  <si>
    <t xml:space="preserve">Fir rupt in DP23. </t>
  </si>
  <si>
    <t>Resudat fir, port up.</t>
  </si>
  <si>
    <t>CL0691FAN1ODB92</t>
  </si>
  <si>
    <t>FITT00000115544</t>
  </si>
  <si>
    <t xml:space="preserve">Fir rupt in DP9. </t>
  </si>
  <si>
    <t>Resudat fir, clienti up.</t>
  </si>
  <si>
    <t>CL0567FAN1ODB12118</t>
  </si>
  <si>
    <t>FITT00000115660</t>
  </si>
  <si>
    <t>comun cu FITT113754 Reabilitare blocuri Nasaud</t>
  </si>
  <si>
    <t>BR0017 - BR0330</t>
  </si>
  <si>
    <t>IMO000000275163</t>
  </si>
  <si>
    <t>Stalpii de lemn au disparut, iar Fo a fost partial avariata</t>
  </si>
  <si>
    <t>OSC a ramas pe jos deoarece nu mai exista ~20 stalpi</t>
  </si>
  <si>
    <t>CR0093-CR0372</t>
  </si>
  <si>
    <t>IMO000000275235</t>
  </si>
  <si>
    <t>Segment OROC</t>
  </si>
  <si>
    <t>Accident de masina</t>
  </si>
  <si>
    <t>WDM CL0046 - CL0249 + NEC CL1236 - CL0249</t>
  </si>
  <si>
    <t>IMO000000275241</t>
  </si>
  <si>
    <t>Cutie de jonctiune cazute, cabluri rupte</t>
  </si>
  <si>
    <t>Refacut suduri in jonctiune</t>
  </si>
  <si>
    <t>BR2996FAN1ODB1415</t>
  </si>
  <si>
    <t>FITT00000115811</t>
  </si>
  <si>
    <t>dezafectare stalpi</t>
  </si>
  <si>
    <t>S-au dezafectat stalpii de lemn OROC pe care era instalat traseul FO si am gasit taiat cablul fo.</t>
  </si>
  <si>
    <t>S-a relocat traseul de fibra pe stalpii electrica paralel cu vechiul traseu, apoi s-a sudat cablul in ODB.</t>
  </si>
  <si>
    <t>OLT1-CL0305 / Slot : 2 PON2/1, PON2/3, PON2/8, PON2/9, PON2/15</t>
  </si>
  <si>
    <t>FITT00000115819</t>
  </si>
  <si>
    <t>Cablu rupt la traversare de drum</t>
  </si>
  <si>
    <t>In zona  se construieste un pod si probabil constructorul a fost cel care a rupt fibra.</t>
  </si>
  <si>
    <t>S-a recuperate fo din rezerva si s-a refacut jonctiunea existenta.</t>
  </si>
  <si>
    <t>BE0327FAN4ODB1090</t>
  </si>
  <si>
    <t>FITT00000115814</t>
  </si>
  <si>
    <t>Bloc in renovare, au fost taiate cablurile de pe bloc si s-a pregatit pentru anvelopare.</t>
  </si>
  <si>
    <t>S-a instalat 60m cablu fo si un OSC. Fibra a fost ancorata de schela si a urmat traseul asemanator cu cel de la RDS.</t>
  </si>
  <si>
    <t>FITT00000115728</t>
  </si>
  <si>
    <t>S-a refacut sudura in ODB, iar semnalul este acum -20 cu -02,7 nu se vede prea bine in poza.</t>
  </si>
  <si>
    <t xml:space="preserve"> CL1017 - CL0854</t>
  </si>
  <si>
    <t>IMO000000275399</t>
  </si>
  <si>
    <t>Possible FO CUT</t>
  </si>
  <si>
    <t>S-a curatat pigtail si inlocuit patch optic in site-ul CL0854</t>
  </si>
  <si>
    <t>CR0425FAN1ODB1516</t>
  </si>
  <si>
    <t>FITT00000115655</t>
  </si>
  <si>
    <t>Urdu V.+Cotora I.</t>
  </si>
  <si>
    <t>Fir rupt in DP15</t>
  </si>
  <si>
    <t>Resudat fir in DP. Client up</t>
  </si>
  <si>
    <t>CR2950FAN5ODB214</t>
  </si>
  <si>
    <t>FITT00000115712</t>
  </si>
  <si>
    <t>BR0433 ( DUMBRAVITA_1) - BR0782 ( RUCAR_1)</t>
  </si>
  <si>
    <t>IMO000000275503</t>
  </si>
  <si>
    <t>Solutie finala - exista proiect de relocare</t>
  </si>
  <si>
    <t>cablu rupt in sapatura - lucrari drum.Cablu afecta in doua locuri</t>
  </si>
  <si>
    <t>Companie Privata</t>
  </si>
  <si>
    <t>S-a introdus  bucata de cablu intre o jonctiune noua si una existenta</t>
  </si>
  <si>
    <t>TI0400FAN1ODB801</t>
  </si>
  <si>
    <t>FITT00000115868</t>
  </si>
  <si>
    <t xml:space="preserve">]
</t>
  </si>
  <si>
    <t>SPL 2 vandalizat</t>
  </si>
  <si>
    <t xml:space="preserve">Inlocuit spl in odb </t>
  </si>
  <si>
    <t>CR2950FAN3ODB283</t>
  </si>
  <si>
    <t>FITT00000115873</t>
  </si>
  <si>
    <t>Fir rupt in ODB281 INTERMEDIAR</t>
  </si>
  <si>
    <t>uzura</t>
  </si>
  <si>
    <t>Refacut sudura ODB intermediar</t>
  </si>
  <si>
    <t>CL0704FAN1ODB1323</t>
  </si>
  <si>
    <t>FITT00000115876</t>
  </si>
  <si>
    <t>CL0916FAN1ODB1317</t>
  </si>
  <si>
    <t>FITT00000115937</t>
  </si>
  <si>
    <t>Vultur Vasile</t>
  </si>
  <si>
    <t>FO24 rupt de agabaritic</t>
  </si>
  <si>
    <t>100m FP24 si doua OSC-uri</t>
  </si>
  <si>
    <t>BR0294FAN2ODB375A</t>
  </si>
  <si>
    <t>FITT00000115896</t>
  </si>
  <si>
    <t>Primaria Sanpetrru</t>
  </si>
  <si>
    <t>s-a eliberat rezerva si s-a refacut OSC233</t>
  </si>
  <si>
    <t>IMO000000275581</t>
  </si>
  <si>
    <t>Solutie provizorie - FO48 in loc de FO96</t>
  </si>
  <si>
    <t>FO96 agatat de agabritic</t>
  </si>
  <si>
    <t>100m FO48 si doua OSC-uri</t>
  </si>
  <si>
    <t>CR0257FAN1ODB73</t>
  </si>
  <si>
    <t>FITT00000115927</t>
  </si>
  <si>
    <t>sudura defecta pe intrarea in SPL1</t>
  </si>
  <si>
    <t>FITT00000115720</t>
  </si>
  <si>
    <t>Returnat - cauza comuna cu FITT00000116026</t>
  </si>
  <si>
    <t>CR2950FAN1ODB122</t>
  </si>
  <si>
    <t>FITT00000115919</t>
  </si>
  <si>
    <t>fir rupt in ODB</t>
  </si>
  <si>
    <t>BR0333FAN3ODB332</t>
  </si>
  <si>
    <t>FITT00000115995</t>
  </si>
  <si>
    <t>Fibra rupta la inchiderea ODB-ului , manipulare defectuoasa, refacut sudura</t>
  </si>
  <si>
    <t>OLT1-CL2980</t>
  </si>
  <si>
    <t>FITT00000116002</t>
  </si>
  <si>
    <t>FO agatat de agabaritic</t>
  </si>
  <si>
    <t>s-a</t>
  </si>
  <si>
    <t>s-a eliberat rezerva si s-a refacut DP3</t>
  </si>
  <si>
    <t>CR2950FAN4ODB238</t>
  </si>
  <si>
    <t>FITT00000116007</t>
  </si>
  <si>
    <t>returnat - cauza comuna cu FITT00000116023</t>
  </si>
  <si>
    <t>olt2-cr2950</t>
  </si>
  <si>
    <t>FITT00000116009</t>
  </si>
  <si>
    <t>CR2950FAN4ODB234</t>
  </si>
  <si>
    <t>FITT00000116023</t>
  </si>
  <si>
    <t>ODB vandalizat. S-a refacut ODB-ul. Necesita refacerea cablurilor last-mile. Pentru clientii DOWN de pe portul 3 lotul 5 s-a verificat nivelul optic la ODB241</t>
  </si>
  <si>
    <t>CR2950FAN3ODB281</t>
  </si>
  <si>
    <t>FITT00000116025</t>
  </si>
  <si>
    <t>fir rupt in DP12</t>
  </si>
  <si>
    <t>s-a refacut firul</t>
  </si>
  <si>
    <t>BR2996FAN1ODB1417</t>
  </si>
  <si>
    <t>FITT00000116026</t>
  </si>
  <si>
    <t>Alin + Mario Zeta</t>
  </si>
  <si>
    <t>comun cu FITT00000115720 - sa remediat acolo tot + poze</t>
  </si>
  <si>
    <t>Instalat bucata noua 200m  + 2 OSC</t>
  </si>
  <si>
    <t>CL0944 – CL0583</t>
  </si>
  <si>
    <t>IMO000000275710</t>
  </si>
  <si>
    <t>Palet materiale cazut peste FO la 100m de CL0583</t>
  </si>
  <si>
    <t>Tras rezerva + 1 osc</t>
  </si>
  <si>
    <t>CR2950FAN2ODB158</t>
  </si>
  <si>
    <t>FITT00000116031</t>
  </si>
  <si>
    <t>buffer stresat in ODB158 in urma manipularii neglijente</t>
  </si>
  <si>
    <t>CL0580 - CL0247</t>
  </si>
  <si>
    <t>IMO0275778</t>
  </si>
  <si>
    <t>Incendiu la casa Loc. Maieru</t>
  </si>
  <si>
    <t>Incendiu</t>
  </si>
  <si>
    <t>200m + 2 osc</t>
  </si>
  <si>
    <t>FITT00000115900</t>
  </si>
  <si>
    <t>CR2950FAN4ODB235</t>
  </si>
  <si>
    <t>FITT00000116033</t>
  </si>
  <si>
    <t>ODB cu semnal  atenuat</t>
  </si>
  <si>
    <t>Schimbat splitter</t>
  </si>
  <si>
    <t>CL0067FAN1ODB1114</t>
  </si>
  <si>
    <t>FITT00000116276</t>
  </si>
  <si>
    <t>Cablu tăiat in urma taierii de vegetatie.</t>
  </si>
  <si>
    <t>Înlocuit 86m fo12, refacut o joncțiune existenta și executat joncțiune nouă.</t>
  </si>
  <si>
    <t>BE0910FAN1ODB51</t>
  </si>
  <si>
    <t>FITT00000116274</t>
  </si>
  <si>
    <t>Cablu rupt la ODB</t>
  </si>
  <si>
    <t>210m FO de 12 schimbat intre ODB51,ODB52</t>
  </si>
  <si>
    <t>BR2727FAN2ODB285</t>
  </si>
  <si>
    <t>FITT00000116270</t>
  </si>
  <si>
    <t>Cablu rupt in ODB</t>
  </si>
  <si>
    <t>Refacut sudura. clienti up</t>
  </si>
  <si>
    <t>CR0132FAN1ODB0104</t>
  </si>
  <si>
    <t>FITT00000116078</t>
  </si>
  <si>
    <t>Refacut suduri</t>
  </si>
  <si>
    <t>CL0026FAN1ODB3137</t>
  </si>
  <si>
    <t>FITT00000116291</t>
  </si>
  <si>
    <t>Iosif Criste+Sorin Ternar</t>
  </si>
  <si>
    <t xml:space="preserve">Manson cazut de pe stalp, fibra rupta la intrare in mason. </t>
  </si>
  <si>
    <t>Refacut suduri. Clienti up.</t>
  </si>
  <si>
    <t>OLT1-BR0556</t>
  </si>
  <si>
    <t>FITT00000116263</t>
  </si>
  <si>
    <t>Fibra rupta in ODB.</t>
  </si>
  <si>
    <t>CR0003FAN1ODB32</t>
  </si>
  <si>
    <t>FITT00000116318</t>
  </si>
  <si>
    <t>OLT1-MO0103 / Slot : 4 / PON4/15</t>
  </si>
  <si>
    <t>FITT00000116346</t>
  </si>
  <si>
    <t xml:space="preserve"> Refacut sudura. Port up. Valori optime.</t>
  </si>
  <si>
    <t>TI2997FAN1ODB3908</t>
  </si>
  <si>
    <t>FITT00000116415</t>
  </si>
  <si>
    <t xml:space="preserve">Fibra rupta in ODB </t>
  </si>
  <si>
    <t>S-a refacut ODB.</t>
  </si>
  <si>
    <t xml:space="preserve"> CL0220 -  CL0498</t>
  </si>
  <si>
    <t>IMO000000276261</t>
  </si>
  <si>
    <t xml:space="preserve">Solutie provizorie - traversare Aries </t>
  </si>
  <si>
    <t>Cablu rupt-conditii meteo</t>
  </si>
  <si>
    <t>S-a introdus bucata de cablu si 2 jonctiuni.</t>
  </si>
  <si>
    <t>Necesar instalare 300m de cablu si pozat peste Aries</t>
  </si>
  <si>
    <t>CR0077-CR0076</t>
  </si>
  <si>
    <t>IMO000000276294</t>
  </si>
  <si>
    <t>Solutie provizorie - necesar curatare conectica si refacere sudura</t>
  </si>
  <si>
    <t>Fibra rupta in OSC .</t>
  </si>
  <si>
    <t>S-a resudat fibra afectatata.</t>
  </si>
  <si>
    <t>CR2950FAN6ODB283</t>
  </si>
  <si>
    <t>FITT00000116433</t>
  </si>
  <si>
    <t>Fibra rupta in sudura In OSC in canalizatie.</t>
  </si>
  <si>
    <t>FITT00000116460</t>
  </si>
  <si>
    <t>Fibra rupta in sapatura la iesierea din subteran</t>
  </si>
  <si>
    <t xml:space="preserve"> S-a intregit tubulatura ,s-a  tras din rezerva si s-a executat pe stalp o jonctiune noua.</t>
  </si>
  <si>
    <t>FITT00000116463</t>
  </si>
  <si>
    <t xml:space="preserve"> S-a instalat 150 m FO24 intre o jonctiune exisistenta si una nou instlata si 2 stalpi noi.</t>
  </si>
  <si>
    <t>WDM BE2999 - BE0817</t>
  </si>
  <si>
    <t>IMO000000276332</t>
  </si>
  <si>
    <t xml:space="preserve">Gheorhe Zamfir </t>
  </si>
  <si>
    <t>Cablu rupt de utilaje care lucrau la drum.</t>
  </si>
  <si>
    <t>S-a tras din rezerva si s-a executat o jonctiune.</t>
  </si>
  <si>
    <t>CR0257 - CR0717</t>
  </si>
  <si>
    <t>IMO000000276346</t>
  </si>
  <si>
    <t>Marius Tene + Vali+Paiusi</t>
  </si>
  <si>
    <t xml:space="preserve">Cablu  agatat in sapatura </t>
  </si>
  <si>
    <t xml:space="preserve">S-a tras din rezerva si s-a indreptat la cald </t>
  </si>
  <si>
    <t xml:space="preserve">BR0093 - BR2727 / BR2727 - BR0014 </t>
  </si>
  <si>
    <t>IMO000000276329</t>
  </si>
  <si>
    <t>Canalizatie ORO + OROC colmatate - cablu provizoriu afectat de lucrari constructor sens giratoriu</t>
  </si>
  <si>
    <t>Canalizatie ORO + OROC colmatate</t>
  </si>
  <si>
    <t>Loss of signal MPR in Covasna between BR0556 - BR0558</t>
  </si>
  <si>
    <t xml:space="preserve"> IMO000000276368</t>
  </si>
  <si>
    <t>Solutie provizorie - swap</t>
  </si>
  <si>
    <t xml:space="preserve">Kolze </t>
  </si>
  <si>
    <t>Fire rupte la 4km de site</t>
  </si>
  <si>
    <t>Swap fo provizoriu</t>
  </si>
  <si>
    <t>TI0078FAN2ODB2713</t>
  </si>
  <si>
    <t>FITT00000116671</t>
  </si>
  <si>
    <t>Sebastian+Iulian</t>
  </si>
  <si>
    <t>Lipsa semnal, ODB vandalizat</t>
  </si>
  <si>
    <t>S-a inlocuit ODB-ul, semnalul este in parametrii si clientii s-au ridicat cu exceptia 300000452576, 300000243149 probabil scosi din priza. Noi am pus cablurile de client asa cum au fost gasite in ODB-ul vechi.</t>
  </si>
  <si>
    <t>BE2980FAN1ODB25</t>
  </si>
  <si>
    <t>FITT00000116681</t>
  </si>
  <si>
    <t>lipsa semnal optic in BE2980FAN1ODB25 , HH300000287550</t>
  </si>
  <si>
    <t>Fibra stresata in armorod. S-a indreptat cablul, si clientul are acum semnal.</t>
  </si>
  <si>
    <t>CL0026FAN1ODB3191</t>
  </si>
  <si>
    <t>FITT00000116697</t>
  </si>
  <si>
    <t>Schimbare retea stalpi Electrica ODB pe jos, cablu fo taiat.</t>
  </si>
  <si>
    <t>S-a instalat 146m fo de la ODB3192 pana la ODB3191 si s-au refacut sudurile in cele 2 ODB-uri. Semnal in parametrii.</t>
  </si>
  <si>
    <t>OLT1-BR0018 / Slot : 1 / PON1/14</t>
  </si>
  <si>
    <t>FITT00000116699</t>
  </si>
  <si>
    <t>Port OLT1-BR0018 / Slot : 1 / PON1/14 DOWN. Traseu cablu fo avariat langa OSC222. Necesar instalare stalp.</t>
  </si>
  <si>
    <t>S-a instalat un stalp, 60m fo24 intre OSC222 si un OSC_new_FITT116699. Clientii s-au ridicat si semnalul este in parametrii.</t>
  </si>
  <si>
    <t>CR0413FAN2ODB1504</t>
  </si>
  <si>
    <t>FITT00000116700</t>
  </si>
  <si>
    <t>2 din cei 3 clienti activi din CR0413FAN2ODB1504 sunt down cu alarma de fibra (LOS).</t>
  </si>
  <si>
    <t>Fir rupt in DP care era cazut de pa stalp. S-a resudat firul rupt in DP, dar nu s-au ridicat toti clientii. S-au masurat toate porturile si au semnal in parametrii.</t>
  </si>
  <si>
    <t>OLT1-BR0302 / Slot : 1 / PON1/12</t>
  </si>
  <si>
    <t>FITT00000116702</t>
  </si>
  <si>
    <t>Valori optice nok la ODB-uri.</t>
  </si>
  <si>
    <t>S-a constatat ca pach-ul fo are probleme, drept urmare s-a inlocuit patch intre EDFA si ODF in BR0302.</t>
  </si>
  <si>
    <t>TI0401FAN2ODB1003</t>
  </si>
  <si>
    <t>FITT00000116651</t>
  </si>
  <si>
    <t>ODB cu cablu smuls  - capac rupt</t>
  </si>
  <si>
    <t>Tras din rezerva si refacut cablu + schimbat capac</t>
  </si>
  <si>
    <t>Loss of signal Drobeta WDM CR0077 - Drobeta_1 CR0076</t>
  </si>
  <si>
    <t>IMO000000276577</t>
  </si>
  <si>
    <t>OSC ex cazut de pe stalp - buffer rupt</t>
  </si>
  <si>
    <t>Refacut buffer in osc existent</t>
  </si>
  <si>
    <t>ma1-ti0117_Te0/0/27&lt;10GbWDM&gt;Te0/0/25_ma1-ti0338 down  / Loss of signal TI0117-TI0338</t>
  </si>
  <si>
    <t>IMO000000276599</t>
  </si>
  <si>
    <t xml:space="preserve"> </t>
  </si>
  <si>
    <t>Sudura defecta in ODF</t>
  </si>
  <si>
    <t xml:space="preserve">S-a refacut sudura in ODF </t>
  </si>
  <si>
    <t>TI0079FAN1ODB161</t>
  </si>
  <si>
    <t>FITT00000116762</t>
  </si>
  <si>
    <t>Sunt picati toti clientii conectati pe acest port din OLT TI0079 / Slot : 1 / PON1/11   ( ODB161, ODB163, ODB162 , ODB166 ). Problema indentificata la 2,33km de la site TI0079 port ODF1_P19 care pica la trecerea de cale ferata unde fo este in sapatura. Sunt urme de sapatura.</t>
  </si>
  <si>
    <t>Cablu ros in camereta</t>
  </si>
  <si>
    <t>S-a eliberat rezerva si resudat jonctiune existenta</t>
  </si>
  <si>
    <t>TI0079FAN1ODB166</t>
  </si>
  <si>
    <t>FITT00000116773</t>
  </si>
  <si>
    <t>cauza comuna cu FITT00000116762</t>
  </si>
  <si>
    <t>TI0079FAN1ODB163</t>
  </si>
  <si>
    <t>FITT00000116779</t>
  </si>
  <si>
    <t>BE2980FAN1ODB28</t>
  </si>
  <si>
    <t>FITT00000116760</t>
  </si>
  <si>
    <t>lipsa semnal ODB .Fir semnal spliter rupt.</t>
  </si>
  <si>
    <t>S-a refacut lipitura, acum semnalul este in parametrii, dar clientul 300000283633 nu s-a ridicat probabil nu este alimentat.</t>
  </si>
  <si>
    <t>CR0413FAN2ODB1809</t>
  </si>
  <si>
    <t>FITT00000116701</t>
  </si>
  <si>
    <t>lipsa semnal ODB, client existent 300000346537</t>
  </si>
  <si>
    <t>Fir rupt in ODB din fata ODB1810. S-a resudat firul cu semnal, iar acum semnalul este in parametrii.</t>
  </si>
  <si>
    <t>CL0704FAN1ODB12738</t>
  </si>
  <si>
    <t>FITT00000116805</t>
  </si>
  <si>
    <t>Fir intrerupt in osc intermediar</t>
  </si>
  <si>
    <t xml:space="preserve"> Loss of signal in MEHEDINTI  intre   CR0039 - CR0412</t>
  </si>
  <si>
    <t>IMO000000276826</t>
  </si>
  <si>
    <t>Loss of signal in ARGES  intre   BE0068 - BE2997</t>
  </si>
  <si>
    <t>IMO000000276803</t>
  </si>
  <si>
    <t>Afectare pe 1 fir - intrerupt in osc intermediar</t>
  </si>
  <si>
    <t>BE2980FAN1ODB33</t>
  </si>
  <si>
    <t>FITT00000116902</t>
  </si>
  <si>
    <t>CR0344FAN1ODB3203</t>
  </si>
  <si>
    <t>FITT00000116949</t>
  </si>
  <si>
    <t xml:space="preserve">ODB3205 lipsa. </t>
  </si>
  <si>
    <t>S-a instalat ODB3205. Semnal in parametrii.</t>
  </si>
  <si>
    <t>TI0445FAN2ODB1002</t>
  </si>
  <si>
    <t>FITT00000116947</t>
  </si>
  <si>
    <t>Semnalul se atenua si pe SPL1 si pe SPL2 din cauza ODC-urilor care sunt neincapatoare. Astfel, pentru remedierea situatiei si pentru a nu mai avem probleme, s-a instalat un alt ODB. Valorile sunt in parametrii.</t>
  </si>
  <si>
    <t>OLT1-CR0187 / Slot : 1 / PON1/10</t>
  </si>
  <si>
    <t>FITT00000116965</t>
  </si>
  <si>
    <t xml:space="preserve">Conector infundat in ODF. </t>
  </si>
  <si>
    <t>S-a inlocuit. Portul este up.</t>
  </si>
  <si>
    <t>OLT1-CL0732 / Slot : 5
PON5/1, PON5/5, PON5/6</t>
  </si>
  <si>
    <t>FITT00000116969</t>
  </si>
  <si>
    <t xml:space="preserve">Fibra roasa de soareci la jonctiune. </t>
  </si>
  <si>
    <t>Soareci</t>
  </si>
  <si>
    <t>Resudat OSC69, porturile sunt up.</t>
  </si>
  <si>
    <t>BR0556 - BR0558</t>
  </si>
  <si>
    <t>IMO000000276948</t>
  </si>
  <si>
    <t>fibra rupta in sapatura in 2 locuri</t>
  </si>
  <si>
    <t xml:space="preserve">S-au instlat 2 buc de cite 60m cablu FO 24 si s-au instalt 4 jonctiuni </t>
  </si>
  <si>
    <t xml:space="preserve">WDM BR0632 - BR0051 </t>
  </si>
  <si>
    <t>IMO000000277040</t>
  </si>
  <si>
    <t>Cablu rupt pe aerian</t>
  </si>
  <si>
    <t>Tras 970m fo + 2 osc noi</t>
  </si>
  <si>
    <t>BR0433FAN1ODB35</t>
  </si>
  <si>
    <t>FITT00000116950</t>
  </si>
  <si>
    <t>lipsa capac la BR0433FAN1ODB35, pigtail-uri crapate/rupte</t>
  </si>
  <si>
    <t>vandalism'</t>
  </si>
  <si>
    <t>S-a inlocuit capacul ODB-uli. S-au aranjat pigtails in casete</t>
  </si>
  <si>
    <t>TI0018 - TI0837</t>
  </si>
  <si>
    <t>IMO000000277084</t>
  </si>
  <si>
    <t>Tras rez + 1 osc nou</t>
  </si>
  <si>
    <t>OLT1-BE2997 / Slot : 2 / PON2/9</t>
  </si>
  <si>
    <t>FITT00000117086</t>
  </si>
  <si>
    <t>DP 12 agatat de agabaritic</t>
  </si>
  <si>
    <t>200m fo nou + 1 osc si refacut complet dp 12 cu 2 spl noi</t>
  </si>
  <si>
    <t xml:space="preserve"> CR2950FAN5ODB205</t>
  </si>
  <si>
    <t>FITT00000117114</t>
  </si>
  <si>
    <t>ODB provizionat in port gresit</t>
  </si>
  <si>
    <t>s-a sudat confrom NICM in DP21</t>
  </si>
  <si>
    <t>CR0257FAN1ODB138</t>
  </si>
  <si>
    <t>FITT00000117148</t>
  </si>
  <si>
    <t>fir nesudat in ODB</t>
  </si>
  <si>
    <t>s-a resudat conform NICM</t>
  </si>
  <si>
    <t>OLT1-CL0538</t>
  </si>
  <si>
    <t>FITT00000117162</t>
  </si>
  <si>
    <t>FO 12 smuls din ODB11211</t>
  </si>
  <si>
    <t>s-a eliberat rezerva si s-a reintrodus cablul in ODB11211</t>
  </si>
  <si>
    <t>CL0430FAN1ODB59</t>
  </si>
  <si>
    <t>FITT00000117182</t>
  </si>
  <si>
    <t>FO12 agatat de agabaritic</t>
  </si>
  <si>
    <t>s-au instalat 150m FO12 intre OSC24 si ODB59</t>
  </si>
  <si>
    <t>BR2727FAN2ODB165</t>
  </si>
  <si>
    <t>FITT00000117199</t>
  </si>
  <si>
    <t>TI0338FAN1ODB1008</t>
  </si>
  <si>
    <t>FITT00000117207</t>
  </si>
  <si>
    <t>100m FO24 si doua OSC-uri</t>
  </si>
  <si>
    <t>CL0453 - CL0077</t>
  </si>
  <si>
    <t>IMO000000278459</t>
  </si>
  <si>
    <t>BR0375-BR0378</t>
  </si>
  <si>
    <t>IMO000000278446</t>
  </si>
  <si>
    <t>100m FO24 + 2 OSC-uri</t>
  </si>
  <si>
    <t>CR0006 - CR0034</t>
  </si>
  <si>
    <t>IMO000000278527</t>
  </si>
  <si>
    <t>Perieti</t>
  </si>
  <si>
    <t>Florin Carciumaru</t>
  </si>
  <si>
    <t>OSC agatat - cabluri smulse</t>
  </si>
  <si>
    <t>AGRICOL</t>
  </si>
  <si>
    <t>refacut osc existent</t>
  </si>
  <si>
    <t>TI0338FAN2ODB2125</t>
  </si>
  <si>
    <t>FITT00000117270</t>
  </si>
  <si>
    <t>ODB calcat de masina - distrus complet</t>
  </si>
  <si>
    <t xml:space="preserve">accident auto </t>
  </si>
  <si>
    <t>inlocuit odb complet</t>
  </si>
  <si>
    <t>TI0401FAN2ODB3052</t>
  </si>
  <si>
    <t>FITT00000117248</t>
  </si>
  <si>
    <t>Atenuare tot portul OLT</t>
  </si>
  <si>
    <t>patch defect in site - a fost inlocuit</t>
  </si>
  <si>
    <t>PON1/0, PON1/1, PON1/2, PON1/3, PON1/4</t>
  </si>
  <si>
    <t>FITT00000117284</t>
  </si>
  <si>
    <t>Returnat - lucrare build</t>
  </si>
  <si>
    <t>CL0077FAN1ODB0615</t>
  </si>
  <si>
    <t>FITT00000117285</t>
  </si>
  <si>
    <t>BE2997FAN1ODB189</t>
  </si>
  <si>
    <t>FITT00000117307</t>
  </si>
  <si>
    <t>Cablu agatat de camion cu lemne</t>
  </si>
  <si>
    <t>Tras rez + 1 osc nou -+ verificat cu fiecare client functionalitatea</t>
  </si>
  <si>
    <t>FITT00000117330</t>
  </si>
  <si>
    <t>Atenuare tot portu OLT - spl r1 defect + spl odb cu probleme</t>
  </si>
  <si>
    <t>Inlocuit spl r1 in dp + in ODB reclamat</t>
  </si>
  <si>
    <t>OLT1-BR0533 / Slot : 1 / PON1/14</t>
  </si>
  <si>
    <t>FITT00000117405</t>
  </si>
  <si>
    <t xml:space="preserve">Fir rupt la DP13. </t>
  </si>
  <si>
    <t>Resudat fibra, port up.</t>
  </si>
  <si>
    <t>CR0344FAN1ODB3016</t>
  </si>
  <si>
    <t>FITT00000117184</t>
  </si>
  <si>
    <t>Spliter defect in ODB.</t>
  </si>
  <si>
    <t xml:space="preserve"> S-a inlocuit, valori ok.</t>
  </si>
  <si>
    <t>BR0781FAN2ODB727</t>
  </si>
  <si>
    <t>FITT00000117475</t>
  </si>
  <si>
    <t>pigtaili copti in odb. s-a inlocuit spliter-ul. toti clientii de pe acest port sunt in acest odb. acest tip de odb este foarte stramt, fibrele nu se pot pozitiona conform astfel apar atenuari la fiecare interventie.</t>
  </si>
  <si>
    <t>inlocuit spliter in odb</t>
  </si>
  <si>
    <t>CR2950FAN6ODB197</t>
  </si>
  <si>
    <t>FITT00000117482</t>
  </si>
  <si>
    <t>Fir rupt la DP27. Resudat, valori ok la ODB.</t>
  </si>
  <si>
    <t>TI0331 – TI0216</t>
  </si>
  <si>
    <t>IMO000000279568</t>
  </si>
  <si>
    <t>Fibra rupta in urma caderii unui stalp de electrica</t>
  </si>
  <si>
    <t>CR2950FAN6ODB155</t>
  </si>
  <si>
    <t>FITT00000117491</t>
  </si>
  <si>
    <t xml:space="preserve">Fir rupt in ODB. </t>
  </si>
  <si>
    <t>OLT1-CL0732 / Slot : 5 / PON5/3</t>
  </si>
  <si>
    <t>FITT00000117529</t>
  </si>
  <si>
    <t>Cablu ros de rozatoare</t>
  </si>
  <si>
    <t>Resudat in OSC69 si OSC22</t>
  </si>
  <si>
    <t>CR0754 - CR0460</t>
  </si>
  <si>
    <t>IMO000000279529</t>
  </si>
  <si>
    <t>Cosmin Gavrila</t>
  </si>
  <si>
    <t>Atenuare pe circuit VDF</t>
  </si>
  <si>
    <t>Resudat fir in OSC existent</t>
  </si>
  <si>
    <t>TI0258 - TI0782</t>
  </si>
  <si>
    <t>IMO000000279758</t>
  </si>
  <si>
    <t>Fibra rasucita in armorod</t>
  </si>
  <si>
    <t>Indreptat cablu la cald</t>
  </si>
  <si>
    <t>OLT1-CR0372 / Slot : 1 / PON1/6</t>
  </si>
  <si>
    <t>FITT00000117642</t>
  </si>
  <si>
    <t>Schimbat SFP de la alt port</t>
  </si>
  <si>
    <t>BR0089 - BR0211 ; BR0368 - BR0211</t>
  </si>
  <si>
    <t>IMO000000279772</t>
  </si>
  <si>
    <t>Solutie temporara - atenuare suplimentara</t>
  </si>
  <si>
    <t>Netconstruct -Alex Nadasan+ Civile Sorin Zubasco</t>
  </si>
  <si>
    <t>Cablu rupt de agabaritc agricol</t>
  </si>
  <si>
    <t>Instalat 2 OSC +400m de cablu</t>
  </si>
  <si>
    <t>EDFA64-01-BR0533</t>
  </si>
  <si>
    <t>FITT00000117643</t>
  </si>
  <si>
    <t>Netconstruct -Alex Nadasan + Civile Sorin Zubasco</t>
  </si>
  <si>
    <t>Comun cu  IMO000000279772.Cablu rupt de agabaritc agricol</t>
  </si>
  <si>
    <t>CR0344FAN2ODB501</t>
  </si>
  <si>
    <t>FITT00000117499</t>
  </si>
  <si>
    <t>ODB Vandalizat</t>
  </si>
  <si>
    <t>Resudat fire in ODB</t>
  </si>
  <si>
    <t>CL0179FAN1ODB2404</t>
  </si>
  <si>
    <t>FITT00000117647</t>
  </si>
  <si>
    <t>Resudat fir in ODB</t>
  </si>
  <si>
    <t>OLT1-BR0018 / Slot : 2 / PON2/2, PON2/3, PON2/5</t>
  </si>
  <si>
    <t>FITT00000117680</t>
  </si>
  <si>
    <t>Solutie provizorie-Necesari 150m fibra</t>
  </si>
  <si>
    <t>Cablu rupt de utilaj de constructie</t>
  </si>
  <si>
    <t>Instalat o jonctiune.</t>
  </si>
  <si>
    <t>BR0720FAN1ODB10610</t>
  </si>
  <si>
    <t>FITT00000117967</t>
  </si>
  <si>
    <t xml:space="preserve">Inversare in SPL - inversarea era din site defapt - fo 34 activat in loc de fo 33 </t>
  </si>
  <si>
    <t>nversarea a fost produsa din site si nu din DP , in DP era sudat corect conform NICM , in site FO 33 a fost activat in loc de FO34 - verificat si cu ONT 
REMEDIERE: inlocuit FO 33 cu 34 din sie - verificat la ODB cu ONT de test - provizorat corect in Slot 3 - port 3</t>
  </si>
  <si>
    <t>IMO000000279844</t>
  </si>
  <si>
    <t>Resudat in jonctiune. Ridicat circuit cu atenuare, necesari stalpi.</t>
  </si>
  <si>
    <t>OLT1-CR0056 / Slot : 8 / PON8/5</t>
  </si>
  <si>
    <t>FITT00000117975</t>
  </si>
  <si>
    <t>DP cazut</t>
  </si>
  <si>
    <t>Ridicat, repozitionat si resudat fibre din DP</t>
  </si>
  <si>
    <t>OLT1-CR2950 / Slot : 12 / PON12/7</t>
  </si>
  <si>
    <t>FITT00000117984</t>
  </si>
  <si>
    <t xml:space="preserve">Fir rupt in DP. </t>
  </si>
  <si>
    <t>Refacut sudura in DP.Port up</t>
  </si>
  <si>
    <t>CR2950FAN3ODB55</t>
  </si>
  <si>
    <t>FITT00000118041</t>
  </si>
  <si>
    <t>Suport suduri + sudura rupta in OSC</t>
  </si>
  <si>
    <t>Def echip.</t>
  </si>
  <si>
    <t>Schimbat caseta si refacut sudura</t>
  </si>
  <si>
    <t>CR0168FAN1ODB11013</t>
  </si>
  <si>
    <t>FITT00000118042</t>
  </si>
  <si>
    <t>Sudura neconforma in caseta ODB</t>
  </si>
  <si>
    <t>CR2950FAN3ODB4</t>
  </si>
  <si>
    <t>FITT00000118044</t>
  </si>
  <si>
    <t>Sudura sparta pe iesire SPL in DP</t>
  </si>
  <si>
    <t>OLT1-BR0018 / Slot : 2</t>
  </si>
  <si>
    <t>FITT00000118071</t>
  </si>
  <si>
    <t>Solutie provizorie -necesar ridicare cablu pe stalpi</t>
  </si>
  <si>
    <t xml:space="preserve">Incident din 19 - distrus de utilaj agricol </t>
  </si>
  <si>
    <t xml:space="preserve">Tras rez + 1 osc. </t>
  </si>
  <si>
    <t>CR0132FAN1ODB0209</t>
  </si>
  <si>
    <t>FITT00000118154</t>
  </si>
  <si>
    <t>S-a refacut sudura, toti clientii mentionati sunt UP.</t>
  </si>
  <si>
    <t>TI0160 - TI22163 _AR</t>
  </si>
  <si>
    <t>IMO000000280160</t>
  </si>
  <si>
    <t>Problema sudura in DP6 si fibra atenuata la 1,8km de site TI0160</t>
  </si>
  <si>
    <t>S-au refacut sudurile in DP6 si s-a indeparta atenuarea pe fibra la 1,8km de site  TI0160</t>
  </si>
  <si>
    <t>WDM Bistrita ( CL0456) - CL0146 + SDH BISTRITA - V. DORNEI</t>
  </si>
  <si>
    <t>IMO000000280175</t>
  </si>
  <si>
    <t>Slutie provizorie -swap</t>
  </si>
  <si>
    <t>Sergiu - NETCONSTRUCT</t>
  </si>
  <si>
    <t> Zsolt</t>
  </si>
  <si>
    <t> </t>
  </si>
  <si>
    <t>Cblu afectat in subteran</t>
  </si>
  <si>
    <t> Necesar In</t>
  </si>
  <si>
    <t>FITT00000118160</t>
  </si>
  <si>
    <t>Probleme cu semnalul pe sliterul 2 din ODB, semnal iesit din parametrii.</t>
  </si>
  <si>
    <t>S-a inlocuit SPL2 optic 1/8 preconectat din ODB. Semnal OK, client UP.</t>
  </si>
  <si>
    <t>CR2950FAN5ODB21</t>
  </si>
  <si>
    <t>FITT00000118181</t>
  </si>
  <si>
    <t>Lipsa semnal in ODB.</t>
  </si>
  <si>
    <t>Fir semnal nesudat, s-a sudat spliterul in ODB.</t>
  </si>
  <si>
    <t>OLT1-CR0077 / Slot : 4 / PON4/15</t>
  </si>
  <si>
    <t>FITT00000118188</t>
  </si>
  <si>
    <t>Port OLT picat, fara semnal. Fibra atenuata si sudura sparta in DP (cu ocazia tualetarii copacilor).</t>
  </si>
  <si>
    <t>S-a refacut sudura in DP si s-a repozitionat fibra in armorod.</t>
  </si>
  <si>
    <t>BR0368 - BR0019</t>
  </si>
  <si>
    <t>IMO000000280221</t>
  </si>
  <si>
    <t>Slutie provizorie- cablu afectat pe dstanta mare</t>
  </si>
  <si>
    <t>FO rupt, https://maps.app.goo.gl/fJp974RFrD6dpNwr7  necesar instalare 200m fo24 pe stalpi de medie tensiune + 2 OSC-uri</t>
  </si>
  <si>
    <t> S-a instalat 200m de cablu si doua jonctiuni ( cablu afectat pe o portiune de 1km)</t>
  </si>
  <si>
    <t xml:space="preserve">N </t>
  </si>
  <si>
    <t>CR0412FAN1ODB0706</t>
  </si>
  <si>
    <t>FITT00000118251</t>
  </si>
  <si>
    <t>ACTIUNI: ODB 708 agatat de agabaritic - sau camion lemne , odb cazut cu cablu smuls
REMEDIERE: refacut cablu din rezerva in ODB 708 - ambele reclamate cu semnal ok</t>
  </si>
  <si>
    <t>refacut ODB 708 din rezerva</t>
  </si>
  <si>
    <t>CR0011FAN1ODB11317</t>
  </si>
  <si>
    <t>FITT00000118136</t>
  </si>
  <si>
    <t>Nu sa dispecerizat</t>
  </si>
  <si>
    <t>Proiect Build</t>
  </si>
  <si>
    <t>reabilitare blocuri</t>
  </si>
  <si>
    <t>CR2999FAN1ODB404</t>
  </si>
  <si>
    <t>FITT00000118266</t>
  </si>
  <si>
    <t>CL0522FAN3ODB2401</t>
  </si>
  <si>
    <t>FITT00000116332</t>
  </si>
  <si>
    <t>Inlocuit patch</t>
  </si>
  <si>
    <t>CL0240FAN1ODB0101</t>
  </si>
  <si>
    <t>FITT00000116304</t>
  </si>
  <si>
    <t>PORT DEFECT IN EDFA</t>
  </si>
  <si>
    <t>Inlocuit port in EDFA cu altul ok</t>
  </si>
  <si>
    <t>def echip</t>
  </si>
  <si>
    <t>BE2997 &lt;&gt; BE0764 + NEC BE2997 &lt;&gt; BE0055</t>
  </si>
  <si>
    <t>IMO000000280338</t>
  </si>
  <si>
    <t>4 stalpi de EE inlocuiti - OSC 66 + cabluri rupte</t>
  </si>
  <si>
    <t>Electrica</t>
  </si>
  <si>
    <t>Inlocuit cablu de 48 FO intre OSC71-OSC66  315m,cablu de 12 FO intre OSC66-ODB221 130m, cablu ODB221 refacut rezervă si reorientat pe stalpun nou SE14 EE,cruce mare,armoruzi 6 buc!</t>
  </si>
  <si>
    <t>LOSS OF SIGNAL WDM BE2997 &lt;&gt; BE0764 + NEC BE2997 &lt;&gt; BE0055</t>
  </si>
  <si>
    <t>FITT00000118319</t>
  </si>
  <si>
    <t>comun cu IMO000000280338</t>
  </si>
  <si>
    <t xml:space="preserve">CL0400)-Dej(CL0079) // CL0470 - CL0395 +SDH + NEC CL0088-CL0079 // CL0035-CL0079 </t>
  </si>
  <si>
    <t>IMO000000280342</t>
  </si>
  <si>
    <t>2 stalpi din care unul cu osc existent rupti</t>
  </si>
  <si>
    <t>vreme - vant</t>
  </si>
  <si>
    <t>Refacut cablu in OSC existent</t>
  </si>
  <si>
    <t>Furtuna - vant</t>
  </si>
  <si>
    <t>WDM Izbasesti_1(CR0609) - Valcea(CR0093);Valcea(CR0093) - Ciocanei_1(BE0409);Valcea(CR0093) - CR0078 _</t>
  </si>
  <si>
    <t>IMO000000280351</t>
  </si>
  <si>
    <t xml:space="preserve">Solutie finala - remediat sub IMO000000286038 </t>
  </si>
  <si>
    <t>Marica + Alin Nonu</t>
  </si>
  <si>
    <t>Cablu rupt in trotuar in urma unor sapaturi</t>
  </si>
  <si>
    <t>Tras rez + 1 osc - necesar camereta</t>
  </si>
  <si>
    <t>Adus in solutie finala sub IMO000000286038 . La IMO000000286038  s-a indrodus cablu sa cuprinda si jonctiunea de ala acest IMO</t>
  </si>
  <si>
    <t>TI0203 - TI0299</t>
  </si>
  <si>
    <t xml:space="preserve"> IMO000000280336</t>
  </si>
  <si>
    <t>OSC cazut de pe cruce - fasete rupte</t>
  </si>
  <si>
    <t>resudat fir rosu rupt in caseta</t>
  </si>
  <si>
    <t>def. echip</t>
  </si>
  <si>
    <t>CR0412FAN1ODB0709</t>
  </si>
  <si>
    <t>FITT00000118328</t>
  </si>
  <si>
    <t>ODB710 intermediar aproape distrus - fara capac si rupt</t>
  </si>
  <si>
    <t>refacut ODB 710 complet din rezerva si montat capac</t>
  </si>
  <si>
    <t>CL1198 - CL0237</t>
  </si>
  <si>
    <t>IMO000000280398</t>
  </si>
  <si>
    <t>Problema pe tronson VDF</t>
  </si>
  <si>
    <t>FITT00000118348</t>
  </si>
  <si>
    <t>Denis Motru</t>
  </si>
  <si>
    <t xml:space="preserve">Insecte in OSC intermediar la 289 m </t>
  </si>
  <si>
    <t>refacut sudura si curatat</t>
  </si>
  <si>
    <t>Loss of signal WDM Dumbravita(BR0433)-RUCAR (BE0782) // RUCAR (BE0782)--BR0015 // BR0015-BE0733 + SDH</t>
  </si>
  <si>
    <t>IMO000000280296</t>
  </si>
  <si>
    <t>Cablu afectat la instalare semne rutiere</t>
  </si>
  <si>
    <t>Strabag</t>
  </si>
  <si>
    <t xml:space="preserve">Remediat de Connexion Group </t>
  </si>
  <si>
    <t>Loss of signal WDM Grosi(CL0452)- - CL0159 // Grosi(CL0452)-Baia Mare(CL0051) + SDH + NEC CL0452-CL0121 // ,CL0452-,CL0453 // CL0452-CL0907</t>
  </si>
  <si>
    <t>IMO000000280356</t>
  </si>
  <si>
    <t>24Fo</t>
  </si>
  <si>
    <t>Cablu agatat de agabaritic si smuls din OSC</t>
  </si>
  <si>
    <t>Tras din rezerva si refacut OSC</t>
  </si>
  <si>
    <t>TI0337FAN1ODB1102</t>
  </si>
  <si>
    <t>FITT00000118360</t>
  </si>
  <si>
    <t>ODB cu capac deschis - buffer albastru rupt in caseta</t>
  </si>
  <si>
    <t>refacut buffer albastru</t>
  </si>
  <si>
    <t>NECUNOSCUT</t>
  </si>
  <si>
    <t>Loss of signal WDM Fagaras(BR0781) - Medias(BR0782) // Medias(BR0782)-BR0609 +SDH</t>
  </si>
  <si>
    <t>IMO000000280416</t>
  </si>
  <si>
    <t>TV ADLER + ZSOLT</t>
  </si>
  <si>
    <t xml:space="preserve">Cablu rupt in sapatura proprietate privata </t>
  </si>
  <si>
    <t>Companie Gaz</t>
  </si>
  <si>
    <t>Tras rezerva + 1 osc si o camereta</t>
  </si>
  <si>
    <t>Lipsa acces in zona incidentului. Proprietate privata</t>
  </si>
  <si>
    <t>CR2950FAN4ODB123</t>
  </si>
  <si>
    <t>FITT00000118515</t>
  </si>
  <si>
    <t>Sudura sparta in OSC 6 intermediar</t>
  </si>
  <si>
    <t>TI0337FAN1ODB1101</t>
  </si>
  <si>
    <t>FITT00000118396</t>
  </si>
  <si>
    <t xml:space="preserve">Fir albastru rupt de furnici </t>
  </si>
  <si>
    <t>insecte</t>
  </si>
  <si>
    <t>BR0023FAN1ODB0101</t>
  </si>
  <si>
    <t>FITT00000118475</t>
  </si>
  <si>
    <t>DP cazut, fir semnal DB atenuat ininte de SPL1</t>
  </si>
  <si>
    <t>Pigtail deteriorate in OLT, s-a inlocuit si sudat altul. Toti clientii sunt UP.</t>
  </si>
  <si>
    <t>Loss of signal WDM +SDH + NEC ; CL0445 - CL0128 / GROSI (CL0452) - ZALAU (CL0445) / CL0149 - CL0101</t>
  </si>
  <si>
    <t>IMO000000280704</t>
  </si>
  <si>
    <t>S-a indentificat incidentul, cablu fo rup de un utilaj.</t>
  </si>
  <si>
    <t>S-a instalare 90m fo24 si 2 buc OSC. Circuitele sunt UP</t>
  </si>
  <si>
    <t>47°12'04.9"N 23°12'21.8"E</t>
  </si>
  <si>
    <t>TI0339FAN1ODB2001</t>
  </si>
  <si>
    <t xml:space="preserve">FITT00000118516 </t>
  </si>
  <si>
    <t>Au fost indentificate 3 fire rupte in ODB 2010, probabil rupte de viespi.</t>
  </si>
  <si>
    <t>S-a resudat cele 3 fire, iar acum toti clientii sunt UP din ODB2001 si ODB2003 si semnalul este in parametrii.</t>
  </si>
  <si>
    <t>45.71018401 21.08884005</t>
  </si>
  <si>
    <t>TI0339FAN1ODB2003</t>
  </si>
  <si>
    <t xml:space="preserve">FITT00000118511 </t>
  </si>
  <si>
    <t>comun cu FITT00000118516.Au fost indentificate 3 fire rupte in ODB 2010, probabil rupte de viespi.</t>
  </si>
  <si>
    <t>FITT00000118342</t>
  </si>
  <si>
    <t>Mota Ion</t>
  </si>
  <si>
    <t xml:space="preserve">ODB fara semnal. </t>
  </si>
  <si>
    <t>ODB sudat gresit de catre constructor, s-a reasignat corect si resudat.  Firul de la abonat este taiat de langa ODB.</t>
  </si>
  <si>
    <t>OLT1-CL2990 / Slot : 2 PON2/3, PON2/4</t>
  </si>
  <si>
    <t>FITT00000118626</t>
  </si>
  <si>
    <t>Pomi_SM</t>
  </si>
  <si>
    <t>Pitaci Calin + Criste Iosif + Biriszlo Gergo Istvan</t>
  </si>
  <si>
    <t>Cablu fo48 rupt intre ODB709 si ODB711.</t>
  </si>
  <si>
    <t>S-a instalat 120m FO48, 2 osc-uri si s-a intregit cablul fo.</t>
  </si>
  <si>
    <t>47.69858 23.297038</t>
  </si>
  <si>
    <t>olt1-cl2990 (ZTE), Slot: 2, Port: 2</t>
  </si>
  <si>
    <t>FITT00000118624</t>
  </si>
  <si>
    <t>Pitaci Calin + Criste Iosif</t>
  </si>
  <si>
    <t>comun cu FITT00000118626</t>
  </si>
  <si>
    <t>CR0372FAN1ODB0509</t>
  </si>
  <si>
    <t xml:space="preserve">FITT00000118606 </t>
  </si>
  <si>
    <t>Fibra nesudata in DP05OSC07. Refacut sudura conform NICM</t>
  </si>
  <si>
    <t>CL0781FAN1ODB22</t>
  </si>
  <si>
    <t xml:space="preserve">FITT00000118618 </t>
  </si>
  <si>
    <t>S-au executat masuratori OTDR atat din site CL0781 cat si din DP3. Masuratorile au indicat eveniment la 4.4km fata de site, respectiv 3.1km fata de DP3. Avaria a fost localizata in zona santierului de reabilitare a caii ferate Cluj-Oradea. Accesul a fost posibil doar azi. S-a descoperit camereta pentru acces jonctiunea CL0781FAN1J_Deriv. V.Draganului. In urma refacerii sudurii, clientul s-a ridicat in parametri, fapt confirmat atat in Netnumen cat si in urma masuratorilor cu powermetru in ODB22</t>
  </si>
  <si>
    <t>s-a refacut sudur in jonctiune</t>
  </si>
  <si>
    <t>CR2950FAN6ODB248</t>
  </si>
  <si>
    <t xml:space="preserve">FITT00000118620 </t>
  </si>
  <si>
    <t>Sudura sparta in ODB.</t>
  </si>
  <si>
    <t>S-a refacut sudura in ODB, clientii sunt UP si semnalul in parametrii.</t>
  </si>
  <si>
    <t>44.642377 22.642841</t>
  </si>
  <si>
    <t>CL0704FAN1ODB11214</t>
  </si>
  <si>
    <t xml:space="preserve">FITT00000118619 </t>
  </si>
  <si>
    <t>Cablu fo12 rupt spre ODB11214 la tăieri de copaci.</t>
  </si>
  <si>
    <t>S-a instalat 130m cablu fo12 si 2 OSC-uri, apoi s-a intregit cablul. Semnal in parametri, client UP.</t>
  </si>
  <si>
    <t xml:space="preserve"> 47°41'38.72"N  24°43'7.57"E</t>
  </si>
  <si>
    <t>TI0076FAN1ODB315</t>
  </si>
  <si>
    <t>FITT00000118683</t>
  </si>
  <si>
    <t xml:space="preserve">Scrut circuit electric </t>
  </si>
  <si>
    <t>100m Fo24 si doua OSC-uri</t>
  </si>
  <si>
    <t>OLT1-BE0764 / Slot : 1 / PON1/11</t>
  </si>
  <si>
    <t>FITT00000118686</t>
  </si>
  <si>
    <t>Fibra smulsa din ODB</t>
  </si>
  <si>
    <t xml:space="preserve"> S-a tras din rezerva si s-a refacut ODB101.</t>
  </si>
  <si>
    <t>OLT1-CR0003 / Slot : 1 PON1/5, PON1/13</t>
  </si>
  <si>
    <t>FITT00000118718</t>
  </si>
  <si>
    <t>Fibra roasa de insecte  in ODB27</t>
  </si>
  <si>
    <t>S-a identificat si s-a refacut ODB .</t>
  </si>
  <si>
    <t>BE0764FAN1ODB101</t>
  </si>
  <si>
    <t>FITT00000118724</t>
  </si>
  <si>
    <t>Comun cu FITT00000118686</t>
  </si>
  <si>
    <t>CR0003FAN1ODB24</t>
  </si>
  <si>
    <t>FITT00000118729</t>
  </si>
  <si>
    <t>Comun cu FITT00000118718</t>
  </si>
  <si>
    <t>TI0076FAN1ODB314</t>
  </si>
  <si>
    <t>FITT00000118899</t>
  </si>
  <si>
    <t>returnat - generat de interventia de la FITT00000118683</t>
  </si>
  <si>
    <t>olt1-ti0076</t>
  </si>
  <si>
    <t>FITT00000118902</t>
  </si>
  <si>
    <t>olt1-ti0203 1/7</t>
  </si>
  <si>
    <t>FITT00000118869</t>
  </si>
  <si>
    <t>relocat pe lucrare de build</t>
  </si>
  <si>
    <t>olt1-ti0203 1/1, 1/2/ 1/3, 1/4</t>
  </si>
  <si>
    <t>FITT00000118873</t>
  </si>
  <si>
    <t>TI0203FAN1ODB1404</t>
  </si>
  <si>
    <t>FITT00000118969</t>
  </si>
  <si>
    <t>olt1-ti0203 3/10, 3/11</t>
  </si>
  <si>
    <t>FITT00000118922</t>
  </si>
  <si>
    <t>BE0409 - BE0803</t>
  </si>
  <si>
    <t>IMO000000281297</t>
  </si>
  <si>
    <t>FO local</t>
  </si>
  <si>
    <t>FO12 smuls din OSC</t>
  </si>
  <si>
    <t>s-a refacut OSC</t>
  </si>
  <si>
    <t>R0433)-RUCAR (BE0782</t>
  </si>
  <si>
    <t>IMO000000281285</t>
  </si>
  <si>
    <t>nu s-a dispecerizat</t>
  </si>
  <si>
    <t>CL0441 - CL0300</t>
  </si>
  <si>
    <t>IMO000000281384</t>
  </si>
  <si>
    <t>FO smuls din OSC in urma taierii unui copac</t>
  </si>
  <si>
    <t>CL0240FAN1ODB0906</t>
  </si>
  <si>
    <t>FITT00000118889</t>
  </si>
  <si>
    <t>Cablu 6fo taiat la taiere copac proprietate privata</t>
  </si>
  <si>
    <t>proprietate privata</t>
  </si>
  <si>
    <t>Inlocuit 100m intre odb907 si o jonctiune noua</t>
  </si>
  <si>
    <t>CL0031FAN2ODB2724</t>
  </si>
  <si>
    <t>FITT00000118957</t>
  </si>
  <si>
    <t>refacut canalizare si inlocuit 220m fo6 intre ODB si jonctiune noua</t>
  </si>
  <si>
    <t>TI0339FAN1ODB202</t>
  </si>
  <si>
    <t>FITT00000118920</t>
  </si>
  <si>
    <t>FO smult din OSC</t>
  </si>
  <si>
    <t>TI2954FAN1ODB11019</t>
  </si>
  <si>
    <t>FITT00000118970</t>
  </si>
  <si>
    <t>FO afectat in urma taierii unor copaci</t>
  </si>
  <si>
    <t>CL0335FAN1ODB11112</t>
  </si>
  <si>
    <t>FITT00000118930</t>
  </si>
  <si>
    <t>Cablu rupt de masina de gunoi</t>
  </si>
  <si>
    <t>RETIM SA</t>
  </si>
  <si>
    <t>Tras 220 m fo12 pus 2 jonctiuni noi refacut odb 11021</t>
  </si>
  <si>
    <t>WDM Dumbravita(BR0433)-RUCAR (BE0782) // RUCAR (BE0782)--BR0015 // BR0015-BE0733</t>
  </si>
  <si>
    <t>IMO000000281442</t>
  </si>
  <si>
    <t>Connect Group</t>
  </si>
  <si>
    <t>afectare la 52,627km de Dumbravita</t>
  </si>
  <si>
    <t>IMO000000281484</t>
  </si>
  <si>
    <t>Cablu agatat de agabaritic la 1km de Mosnita veche</t>
  </si>
  <si>
    <t xml:space="preserve">(CL0229) - CL0601, Oradea (CL0229) - CL0223, CIUMEGiU_1 - Oradea (CL0229) </t>
  </si>
  <si>
    <t>IMO000000281542</t>
  </si>
  <si>
    <t>Cablu rupt in sapatura. Se pare ca pentru instalare conducta apa</t>
  </si>
  <si>
    <t>80m + 2 osc  si 2 camerete</t>
  </si>
  <si>
    <t>Possible FO CUT in Oradea between CL0229 - Cl0274</t>
  </si>
  <si>
    <t>IMO000000281444</t>
  </si>
  <si>
    <t>Nu sa dispecerizat.Directionat catre COm</t>
  </si>
  <si>
    <t>FITT00000119049</t>
  </si>
  <si>
    <t>comun cu IMO000000281484</t>
  </si>
  <si>
    <t>Possible FO CUT in Arad between TI0264 - TI0199</t>
  </si>
  <si>
    <t>IMO000000281537</t>
  </si>
  <si>
    <t>Accident auto - stalp electric rupt</t>
  </si>
  <si>
    <t>Tras din rezerva + 1 OSC nou - mutat pe alt stalp</t>
  </si>
  <si>
    <t>Loss of signal WDM in Bihor  CL0165 -CL0004</t>
  </si>
  <si>
    <t>IMO000000281554</t>
  </si>
  <si>
    <t>Solutie provizorie - atenuare suplimentara</t>
  </si>
  <si>
    <t xml:space="preserve">80m + 2 osc </t>
  </si>
  <si>
    <t>Loss of signal WDM in Mures BR0368 - BR0019</t>
  </si>
  <si>
    <t>IMO000000281570</t>
  </si>
  <si>
    <t>Cablu agatat de utilaj agricol</t>
  </si>
  <si>
    <t>Utilaj agricol</t>
  </si>
  <si>
    <t xml:space="preserve">Tras rez + 1 osc - necesar schimbat 800m fo </t>
  </si>
  <si>
    <t>CR0077FAN1ODB1112</t>
  </si>
  <si>
    <t>FITT00000119126</t>
  </si>
  <si>
    <t xml:space="preserve">Sudura rupta pe iesire din SPL in dp </t>
  </si>
  <si>
    <t>Possible FO CUT NEC local in Arges between BE0016 - BE2108</t>
  </si>
  <si>
    <t>IMO000000281578</t>
  </si>
  <si>
    <t>Incident aproape de siteul OROC - stalp rupt</t>
  </si>
  <si>
    <t>BR0093FAN1ODB63</t>
  </si>
  <si>
    <t>FITT00000119104</t>
  </si>
  <si>
    <t>ti0055  - BP130</t>
  </si>
  <si>
    <t>IMO000000281651</t>
  </si>
  <si>
    <t>Fir rupt in BP179</t>
  </si>
  <si>
    <t>(BR0042)  - BR0639 / Reghin BR0042 - Band BR0471  + SDH</t>
  </si>
  <si>
    <t>IMO000000281683</t>
  </si>
  <si>
    <t>FIbra rupta</t>
  </si>
  <si>
    <t>(BR0471) - BR0242 / BR0391 - BR30354 + NEC BR0482 - BR0848 / BR0043 - BR0357 + SDH</t>
  </si>
  <si>
    <t>IMO000000281713</t>
  </si>
  <si>
    <t>Mureș County</t>
  </si>
  <si>
    <t>Raport finalizat-luna mai</t>
  </si>
  <si>
    <t>Solutie provizorie - traseu relocat provizoriu</t>
  </si>
  <si>
    <t>Vasile Vultur/Zsolt</t>
  </si>
  <si>
    <t xml:space="preserve">S-au realizat sapaturi de decopertare a drumului si fibrele au fost rupte. S-a sapat pe o suprafata mai mare, fibrele sunt afectate in mai multe zone. </t>
  </si>
  <si>
    <t>constructor</t>
  </si>
  <si>
    <t>Echipa din teren a terminat de sudat cele 2 cabluri fo. S-a instalat 350m fo12 si 2 OSC-uri,  respective 400m fo48 si 2 OSC-uri si 2 camerete.
S-a facut un traseu parallel cu cel initial, deoarece firma de constructii care a asfaltat drumul a distrus cablul.</t>
  </si>
  <si>
    <t xml:space="preserve">46.542784, 24.497664   https://maps.app.goo.gl/zJKtFym7M8jkuKfZ9   </t>
  </si>
  <si>
    <t>CL2965FAN1ODB1418</t>
  </si>
  <si>
    <t>FITT00000119207</t>
  </si>
  <si>
    <t>Lucrari la drum, cablu 6FO rupt,</t>
  </si>
  <si>
    <t>Lucrari la drum, cablu 6FO rupt, inlocuit 80m FO6, si executat 2 jonctiuni noi.Clientul 300000283499 este UP de la 12:46.</t>
  </si>
  <si>
    <t>CR0413FAN1ODB1223</t>
  </si>
  <si>
    <t>FITT00000119200</t>
  </si>
  <si>
    <t xml:space="preserve">Fire rupte in ODB1221, ODB1221 cazut de pe stalp. </t>
  </si>
  <si>
    <t>Resudat, valori ok, clienti up.</t>
  </si>
  <si>
    <t>CR0752FAN1ODB0304</t>
  </si>
  <si>
    <t>FITT00000119205</t>
  </si>
  <si>
    <t xml:space="preserve">ODB cazut de pe stalp, spliter rupt. </t>
  </si>
  <si>
    <t>S-a inlocuit spliter-ul si s-a repozitionat ODB-ul. Valori ok.</t>
  </si>
  <si>
    <t>TI0337-TI0905</t>
  </si>
  <si>
    <t>IMO000000281775</t>
  </si>
  <si>
    <t>Fir rupt in DP26OC26</t>
  </si>
  <si>
    <t>TI0022 - TI0542 / Caransebes_1 TI0781 - Resita TI0417</t>
  </si>
  <si>
    <t>IMO000000281778</t>
  </si>
  <si>
    <t>Ernest + ec. civile</t>
  </si>
  <si>
    <t>S-a eliberat fibra din rezerva, s-a instalat o camerata in care s-a montat un OSC.</t>
  </si>
  <si>
    <t>VDF Link between BR21413 - BR21414   / Miercurea Ciuc - Danesti (L10970)</t>
  </si>
  <si>
    <t>IMO000000281826</t>
  </si>
  <si>
    <t>M ciuc</t>
  </si>
  <si>
    <t>Jozsef Vass</t>
  </si>
  <si>
    <t>Cablu fo atenuat</t>
  </si>
  <si>
    <t>S-a indentificat fo atenuata in armorod, locul incidentului 46,533256 25,758802 si s-a remediat fara atenuari.</t>
  </si>
  <si>
    <t>46,533256 25,758802</t>
  </si>
  <si>
    <t>CL0240FAN1ODB0902</t>
  </si>
  <si>
    <t>FITT00000119229</t>
  </si>
  <si>
    <t>Negresti-Oas_SM</t>
  </si>
  <si>
    <t>lipsa semnal ODB. Fir atenuat în dp9.</t>
  </si>
  <si>
    <t>Refacut lipituri, semnal in parametrii.</t>
  </si>
  <si>
    <t>TI0339FAN1ODB402</t>
  </si>
  <si>
    <t>FITT00000119184</t>
  </si>
  <si>
    <t>Spliter 2 in ODB402 fara semnal.</t>
  </si>
  <si>
    <t>Fir rupt in DP12. S-a resudat firul si acum semnalul este in parametrii.</t>
  </si>
  <si>
    <t>OLT1-BR0378 / Slot : 1 PON1/15, PON1/16</t>
  </si>
  <si>
    <t>FITT00000119315</t>
  </si>
  <si>
    <t xml:space="preserve">O echipa Prime executa o lucrare de relocare. </t>
  </si>
  <si>
    <t>Am verificat ODB1811 conectat in ---OLT1-BR0378_SL1_PON1/15 si avea semnal in parametrii. Acum toate porturile de OLT reclamate sunt UP.</t>
  </si>
  <si>
    <t>CR0077FAN1ODB1126</t>
  </si>
  <si>
    <t>FITT00000119336</t>
  </si>
  <si>
    <t xml:space="preserve">Spliter optic defect. </t>
  </si>
  <si>
    <t>A fost inlocuit spliterul. Client UP si semnal in parametrii de la ora 17:35.</t>
  </si>
  <si>
    <t>OLT1-BR0567 / Slot : 2 / PON2/10</t>
  </si>
  <si>
    <t>FITT00000119347</t>
  </si>
  <si>
    <t>CL0300 - CL1552</t>
  </si>
  <si>
    <t>DLP000735744 - IMO281919</t>
  </si>
  <si>
    <t>Cablu fo a fost avariat de capacul de metal de la camerata.</t>
  </si>
  <si>
    <t>S-a remediat prin inserarea unui OSC, circuitul s-a ridicat fara atenuari.</t>
  </si>
  <si>
    <t>47.062336, 21.941959</t>
  </si>
  <si>
    <t>CL0217 - CL0124  (MARGHITA_1)</t>
  </si>
  <si>
    <t>IMO000000281953</t>
  </si>
  <si>
    <t>cablu fo rupt</t>
  </si>
  <si>
    <t>Traseu este aerian, probabil a fost agatat de un utilaj care a lucrat in acea zona (in zona s-au facut sapaturi). S-a gasit rezerva de fo, si se va suda intr-un OSC.</t>
  </si>
  <si>
    <t>47.272700, 22.240680</t>
  </si>
  <si>
    <t>CR0448 - CR1196</t>
  </si>
  <si>
    <t>IMO000000281987</t>
  </si>
  <si>
    <t xml:space="preserve">Fibra rupta in OSC </t>
  </si>
  <si>
    <t xml:space="preserve">S-a identificat si s-a resudat fibra rupta </t>
  </si>
  <si>
    <t>Retea nedocumentata corect in NICM</t>
  </si>
  <si>
    <t>WDM + SDH + NEC; (SIGHISOARA) BR0158 - MEDIAS (BR0782)</t>
  </si>
  <si>
    <t>IMO000000282044</t>
  </si>
  <si>
    <t>S-a introdus bucata de cablu 12 FO -100 m si s-au executat 2 jonctiuni</t>
  </si>
  <si>
    <t xml:space="preserve">OLT1-TI0117 porturile 2/15, 2/16, 3/1 si 3/2 </t>
  </si>
  <si>
    <t>FITT00000119427</t>
  </si>
  <si>
    <t xml:space="preserve">Cablu agatat de agbaritic </t>
  </si>
  <si>
    <t>Tras rez si refacut osc existent</t>
  </si>
  <si>
    <t>CR0413FAN2ODB1909</t>
  </si>
  <si>
    <t>FITT00000119428</t>
  </si>
  <si>
    <t xml:space="preserve">Fir rupt in ODB 1910 </t>
  </si>
  <si>
    <t>Loss of signal WDM BR0538 - BR0931 + MPR BR0931 - BR0538</t>
  </si>
  <si>
    <t>IMO000000282123</t>
  </si>
  <si>
    <t>Necesar camerets</t>
  </si>
  <si>
    <t>Cablu rupt in subteran</t>
  </si>
  <si>
    <t>FITT00000119494</t>
  </si>
  <si>
    <t>CR0752FAN2ODB0302</t>
  </si>
  <si>
    <t>FITT00000119540</t>
  </si>
  <si>
    <t>Fir rupt pa 400m de ODB</t>
  </si>
  <si>
    <t>Reafcut sudura</t>
  </si>
  <si>
    <t>CR0413FAN2ODB1702</t>
  </si>
  <si>
    <t>FITT00000119541</t>
  </si>
  <si>
    <t>Insecte in ODB</t>
  </si>
  <si>
    <t>Insecte</t>
  </si>
  <si>
    <t>Curatat si refacut suduri</t>
  </si>
  <si>
    <t>CR0410FAN1ODB1214</t>
  </si>
  <si>
    <t>FITT00000119543</t>
  </si>
  <si>
    <t>(CR0410FAN1ODB1233</t>
  </si>
  <si>
    <t>FITT00000119546</t>
  </si>
  <si>
    <t>(BE0793FAN2ODB223</t>
  </si>
  <si>
    <t>FITT00000119539</t>
  </si>
  <si>
    <t>Fibra rupta.</t>
  </si>
  <si>
    <t xml:space="preserve"> Instalat 350m fo intre DP20 si ODB221. Valori ok la ODB.</t>
  </si>
  <si>
    <t>TI0338FAN2ODB2112</t>
  </si>
  <si>
    <t>FITT00000119601</t>
  </si>
  <si>
    <t xml:space="preserve">fibra smulsa din ODB2111 intermediat. </t>
  </si>
  <si>
    <t>Resudat fibra in ODB, valori ok.</t>
  </si>
  <si>
    <t>CR0410FAN1ODB1412</t>
  </si>
  <si>
    <t>FITT00000119602</t>
  </si>
  <si>
    <t xml:space="preserve">FIbra rupta in ODB1411, gasit cu capacul deschis. </t>
  </si>
  <si>
    <t>S-a resudat, valori ok la ODB.</t>
  </si>
  <si>
    <t>CR2950FAN3ODB87</t>
  </si>
  <si>
    <t>FITT00000119604</t>
  </si>
  <si>
    <t xml:space="preserve">Fir rupt in sudura la DP10. </t>
  </si>
  <si>
    <t>OLT1-MO0103 / Slot : 11 / PON11/10</t>
  </si>
  <si>
    <t>FITT00000119603</t>
  </si>
  <si>
    <t xml:space="preserve">ODB1237 cazut de pe stalp si spart. </t>
  </si>
  <si>
    <t>Instalat ODB nou, port up.</t>
  </si>
  <si>
    <t>BR0781FAN2ODB685</t>
  </si>
  <si>
    <t>FITT00000119590</t>
  </si>
  <si>
    <t xml:space="preserve">Fibra smulsa din ODB683. </t>
  </si>
  <si>
    <t>Resudat fibra, valori ok la ODB.</t>
  </si>
  <si>
    <t>FITT00000119614</t>
  </si>
  <si>
    <t>FIbra agatata si smulsa din OSC.</t>
  </si>
  <si>
    <t xml:space="preserve"> Pentru remediere s-a resudat OSC existent. Porturile sunt up.</t>
  </si>
  <si>
    <t>TI0401FAN1ODB2911</t>
  </si>
  <si>
    <t>FITT00000119600</t>
  </si>
  <si>
    <t xml:space="preserve">Pigtail rupte, ODB fara capac. </t>
  </si>
  <si>
    <t>IMO000000282327</t>
  </si>
  <si>
    <t>Fibra rupta, lucrari drum</t>
  </si>
  <si>
    <t>CR0077FAN1ODB114110</t>
  </si>
  <si>
    <t>FITT00000119624</t>
  </si>
  <si>
    <t xml:space="preserve">Fir rupt in sudura la ODB. </t>
  </si>
  <si>
    <t>Resudat fir, valori ok.</t>
  </si>
  <si>
    <t>CR2950FAN2ODB280</t>
  </si>
  <si>
    <t>FITT00000119654</t>
  </si>
  <si>
    <t xml:space="preserve">Fir rupt in ODB278 intermediar. </t>
  </si>
  <si>
    <t>S-a resudat, valori ok la ODB280.</t>
  </si>
  <si>
    <t>BR0567FAN2ODB813</t>
  </si>
  <si>
    <t>FITT00000119636</t>
  </si>
  <si>
    <t>Clienti up, s-a remediat buffer rupt la interventia din FITT00000119347</t>
  </si>
  <si>
    <t>BR0567FAN2ODB814</t>
  </si>
  <si>
    <t>FITT00000119656</t>
  </si>
  <si>
    <t>BR0567FAN2ODB804</t>
  </si>
  <si>
    <t>FITT00000119658</t>
  </si>
  <si>
    <t>B2B_CL44882_DR.MAX SRL_SID#114471</t>
  </si>
  <si>
    <t>FITT00000119773</t>
  </si>
  <si>
    <t>OSC existent de interconect ORO+OROC rupt</t>
  </si>
  <si>
    <t>CR2950FAN5ODB287</t>
  </si>
  <si>
    <t>FITT00000119768</t>
  </si>
  <si>
    <t xml:space="preserve">Cablu rupt in TB 3 </t>
  </si>
  <si>
    <t>Refacut TB 3 din rezerva</t>
  </si>
  <si>
    <t>BE0081FAN1ODB35</t>
  </si>
  <si>
    <t>FITT00000119778</t>
  </si>
  <si>
    <t>170m FO12,OSC,cruce!</t>
  </si>
  <si>
    <t>OLT1-TI0445 / Slot : 7 / PON7/7</t>
  </si>
  <si>
    <t>FITT00000119793</t>
  </si>
  <si>
    <t>Cablu principal ODB + cele last mile rupte toate in pamant</t>
  </si>
  <si>
    <t>lucrari civile</t>
  </si>
  <si>
    <t>Tras rez si refcut ODB</t>
  </si>
  <si>
    <t>CR0410FAN1ODB1325</t>
  </si>
  <si>
    <t>FITT00000119810</t>
  </si>
  <si>
    <t>Buffer ros de insecte</t>
  </si>
  <si>
    <t>INSECTE</t>
  </si>
  <si>
    <t>TI0076FAN1ODB1101</t>
  </si>
  <si>
    <t>FITT00000119785</t>
  </si>
  <si>
    <t>insecte in ODB</t>
  </si>
  <si>
    <t>CL0567FAN1ODB11611</t>
  </si>
  <si>
    <t>FITT00000119776</t>
  </si>
  <si>
    <t>Cablu fo24 taiat la removarea blocului.</t>
  </si>
  <si>
    <t>S-a instalat un cablu fo24 si un OSC, pentru a reintregi circuitul. Semnal in paramentrii clientul s-a ridicat a confirmat George Anghel. Este necesar relocare cablu fo prin canal cablu precum a fost instalat cel de la RDS.</t>
  </si>
  <si>
    <t>OLT1-TI0337 / Slot : 7 PON7/12, PON7/13</t>
  </si>
  <si>
    <t>FITT00000119803</t>
  </si>
  <si>
    <t>Cablu taiat in subteran in proprietate privata - proprietarul a cosit terenul si a taiat tubul in pamant + sifonul aerian cu OSC - cand echipa a ajuns erau doar copii dansului care nu au permis accesul fara un parinte - echipa revine dimineata ora 08 pentru a sapa cu acordul proprietarului.</t>
  </si>
  <si>
    <t>S-a instalat o camerata noua si sau instalat 60m fo24 intre cele 2 osc-uri existente si s-au refacut sudurile in ele.Un OSC in camereta existenta si unul in camereta nou instalata</t>
  </si>
  <si>
    <t>OLT2-TI0337 / Slot : 3 / PON3/7</t>
  </si>
  <si>
    <t>FITT00000119804</t>
  </si>
  <si>
    <t xml:space="preserve">Incident reclamatie GTS Giurgiu (BE0037)-Alexandria (CR0781) L10642 </t>
  </si>
  <si>
    <t>IMO000000282682</t>
  </si>
  <si>
    <t>Iulian+Serban</t>
  </si>
  <si>
    <t>GTS a facut Masuratorile si au iesit ok. Dupa ce s-au resudat fibrele, circuitul s-a restabilit.</t>
  </si>
  <si>
    <t>Problema de atenuare este la 64.7km de Alexandria, adica pe tronson GTS.</t>
  </si>
  <si>
    <t>IMO000000282700</t>
  </si>
  <si>
    <t>Nu s-a dispecerizat</t>
  </si>
  <si>
    <t>Se pare ca exista o lucrare urgenta de relocare la autostrada in zona localitatii Chislaz Bihor. Persoana care face relocarea este Construct ORO BH  0743 658631 care spune ca intreruperea va mai dura ~20 min.</t>
  </si>
  <si>
    <t>CR0257FAN2ODB487</t>
  </si>
  <si>
    <t>FITT00000119966</t>
  </si>
  <si>
    <t>Sudura cu probleme in DP30.</t>
  </si>
  <si>
    <t>S-a refacut sudura in DP, semnalul la ODB487 este in parametrii.</t>
  </si>
  <si>
    <t>BE0068FAN1ODB222</t>
  </si>
  <si>
    <t>FITT00000119979</t>
  </si>
  <si>
    <t>S-a gasit cablul fo in fata blocului si un locatar s-a impotrivit sa legam cablul de fatada blocului cum era initial.</t>
  </si>
  <si>
    <t>S-a instalat 130m cablu fo12 din ODB pozat pe pereti interior si exteriori ai blocului pana in camin la DP15. Sau refacut sudurile in OSC cat si in ODB.</t>
  </si>
  <si>
    <t>CL0567FAN1ODB1612</t>
  </si>
  <si>
    <t>FITT00000120000</t>
  </si>
  <si>
    <t>Instalat 280 m FO24 si instalat 2 jonctiuni noi.</t>
  </si>
  <si>
    <t>CR2950FAN3ODB70</t>
  </si>
  <si>
    <t>FITT00000119996</t>
  </si>
  <si>
    <t>ODB68 din care este conectat ODB reclamat era vandalizat.</t>
  </si>
  <si>
    <t xml:space="preserve"> S-a refacut ODB68 si a fost repozitionat. Semnal in parametrii in ODB70. </t>
  </si>
  <si>
    <t>BE0039FAN1ODB126</t>
  </si>
  <si>
    <t>FITT00000120001</t>
  </si>
  <si>
    <t>Incident la 650m de ODB126 mai exact la ODB124. La ODB124 buffer fo rupt.</t>
  </si>
  <si>
    <t>A fost necesar sa refacem tot ODB124. Semnal in parametrii la ODB126</t>
  </si>
  <si>
    <t>WDM CL0602 Salard - CL0217</t>
  </si>
  <si>
    <t>IMO000000282789</t>
  </si>
  <si>
    <t>S-a masuratoare din site CL0602 si problema este la 15,98 km.</t>
  </si>
  <si>
    <t>S-a indentificat incidentul https://maps.app.goo.gl/DBsouLYmRDeeyZYz8 47.226656, 22.149789, cablu fo rupt de agabaritic. Se va inlocui cablul fo24 intre OSC-urile J3 si J3a ~120m si se vor reface sudurile in cele 2 cuti.</t>
  </si>
  <si>
    <t>BR0003 - BR0556 Covasna</t>
  </si>
  <si>
    <t>IMO000000282826</t>
  </si>
  <si>
    <t xml:space="preserve">Cablu si stalpi rupti de agabaritic </t>
  </si>
  <si>
    <t xml:space="preserve">S-a tras din rezerva si s-a instalat o jonctiune noua </t>
  </si>
  <si>
    <t>OLT1-CL2983 / Slot : 1 / PON1/8</t>
  </si>
  <si>
    <t>FITT00000120155</t>
  </si>
  <si>
    <t>Fibra rupta in OSC</t>
  </si>
  <si>
    <t>BR0461 - BR0457</t>
  </si>
  <si>
    <t>IMO000000282945</t>
  </si>
  <si>
    <t>Solutie provizorie - necesar relocare traseu in subteran (FO24)</t>
  </si>
  <si>
    <t xml:space="preserve">Kulze Attila </t>
  </si>
  <si>
    <t>FO24</t>
  </si>
  <si>
    <t xml:space="preserve">Fibra taiata de primarie </t>
  </si>
  <si>
    <t xml:space="preserve">Primarie </t>
  </si>
  <si>
    <t>S-a instalat provizoriu un cablu pe linga garad aproximativ 250 m si s-au executat 2 jonctiuni .</t>
  </si>
  <si>
    <t>CL0217 - CL0124 (MARGHITA_1)</t>
  </si>
  <si>
    <t>DLP000739501</t>
  </si>
  <si>
    <t xml:space="preserve">Tel Proiect </t>
  </si>
  <si>
    <t>Tel Proiect</t>
  </si>
  <si>
    <t>OLT1-BR2700 / Slot : 2 PON2/1, PON2/3, PON2/4</t>
  </si>
  <si>
    <t>FITT00000120173</t>
  </si>
  <si>
    <t>Solutie provizorie -instalat cablu 48FO in loc de cablu de FO144</t>
  </si>
  <si>
    <t>FO144 (instalat cablu FO48)</t>
  </si>
  <si>
    <t>S-a instalat bucata de cablu si s-au executat 2 jonctiuni.</t>
  </si>
  <si>
    <t>BE0081FAN1ODB51</t>
  </si>
  <si>
    <t>FITT00000120177</t>
  </si>
  <si>
    <t xml:space="preserve">Fibra mancata de viespi. </t>
  </si>
  <si>
    <t>FITT00000120182</t>
  </si>
  <si>
    <t xml:space="preserve">Fibra rupta in OSC la SPL1. </t>
  </si>
  <si>
    <t xml:space="preserve"> S-a identificat si s-a inlocuit spl1 defect.</t>
  </si>
  <si>
    <t>FITT00000120187</t>
  </si>
  <si>
    <t>Comun cu FITT00000120173</t>
  </si>
  <si>
    <t>BR2700FAN1ODB1104</t>
  </si>
  <si>
    <t>FITT00000120217</t>
  </si>
  <si>
    <t>FITT00000120224</t>
  </si>
  <si>
    <t>Bufer rupt de insecte in ODB</t>
  </si>
  <si>
    <t xml:space="preserve">Refacut suduri </t>
  </si>
  <si>
    <t>WLA_SAROS_1 (BR0426) – BR0330 + RM SAROS BAND</t>
  </si>
  <si>
    <t>IMO000000283023</t>
  </si>
  <si>
    <t>cablu impuscat</t>
  </si>
  <si>
    <t>CL0336FAN1ODB1116</t>
  </si>
  <si>
    <t>FITT00000120335</t>
  </si>
  <si>
    <t>FP CONECT</t>
  </si>
  <si>
    <t>Fibra smulsă din ODB1102. Resudat fibra</t>
  </si>
  <si>
    <t>OLT1-BR2700 / Slot : 2 / PON2/1</t>
  </si>
  <si>
    <t>FITT00000120324</t>
  </si>
  <si>
    <t>Returnat - a fost in acelasi OSC</t>
  </si>
  <si>
    <t>Fir rupt in OSC facut cu o seara inainte</t>
  </si>
  <si>
    <t>FITT00000120321</t>
  </si>
  <si>
    <t>Fir rupt in DP - albastru din albastru</t>
  </si>
  <si>
    <t>sudura defecta</t>
  </si>
  <si>
    <t>refacut sudura in DP</t>
  </si>
  <si>
    <t>CR2950FAN3ODB192</t>
  </si>
  <si>
    <t>FITT00000120259</t>
  </si>
  <si>
    <t>Sudura sparta in caseta ODB192</t>
  </si>
  <si>
    <t>CL0276FAN1ODB1643</t>
  </si>
  <si>
    <t>FITT00000120202</t>
  </si>
  <si>
    <t>PATCH DEFECT IN SITE - NU EMITE IN 1490</t>
  </si>
  <si>
    <t>S-a inlocuit patch in site</t>
  </si>
  <si>
    <t>FITT00000120393</t>
  </si>
  <si>
    <t>Cablu rupt în săpătură. Înlocuit 180m fo . Tras pe aerian. O joncțiune nouă și una existența</t>
  </si>
  <si>
    <t>sapatura sifon</t>
  </si>
  <si>
    <t>CR0078FAN1ODB0320</t>
  </si>
  <si>
    <t>FITT00000120379</t>
  </si>
  <si>
    <t>Doru Marica</t>
  </si>
  <si>
    <t>fo24</t>
  </si>
  <si>
    <t>Buffer rupt de insect in ODB314. incident comun cu FITT00000120379.</t>
  </si>
  <si>
    <t>S-a refacut ODB314, clientii s-au ridicat din cele 6 ODB-uri impactate inclusive ODB317 si ODB320 reclamate.</t>
  </si>
  <si>
    <t>BR0787FAN1ODB21</t>
  </si>
  <si>
    <t>FITT00000120383</t>
  </si>
  <si>
    <t>Necunoscut -agabaritic</t>
  </si>
  <si>
    <t>S-a instalat bucata de cablu 150m intre o jonctiune existenta si un ODB existent</t>
  </si>
  <si>
    <t>CR0078FAN1ODB0317</t>
  </si>
  <si>
    <t>FITT00000120391</t>
  </si>
  <si>
    <t>OLT1-TI0187 / Slot : 1 / PON1/7</t>
  </si>
  <si>
    <t>FITT00000120389</t>
  </si>
  <si>
    <t>Cablu agatat de copac cazut</t>
  </si>
  <si>
    <t>copac cazut</t>
  </si>
  <si>
    <t>CR0257FAN2ODB370</t>
  </si>
  <si>
    <t>FITT00000120365</t>
  </si>
  <si>
    <t>ODB intermediar nu e montat inca - tichetul sa intors la Orange</t>
  </si>
  <si>
    <t>CR2950FAN3ODB71</t>
  </si>
  <si>
    <t>FITT00000120343</t>
  </si>
  <si>
    <t>caseta inchisa peste buffer albastru</t>
  </si>
  <si>
    <t>Refacut buffer albastru in ODB</t>
  </si>
  <si>
    <t>CL0456 Bistrita - CL0146  V.DORNEI</t>
  </si>
  <si>
    <t>IMO000000283306</t>
  </si>
  <si>
    <t>Solutie Finala</t>
  </si>
  <si>
    <t>Borgovan Alin</t>
  </si>
  <si>
    <t>Cablu si tub sectionat de un utilaj agricol la coordonatele 47.17598 24.60916 https://maps.app.goo.gl/wfwe5roFUpV5FkMF9 la 16,5km de site CL0456.</t>
  </si>
  <si>
    <t>S-a recuperate cablu fo de rezerva din camerata J2EVR655757 si s-a montat un OSC. Camereta instalata pe 07.iul</t>
  </si>
  <si>
    <t>47.17598 24.60916</t>
  </si>
  <si>
    <t>OLT1-CL0704 / Slot : 7 PON7/1, PON7/4, PON7/5</t>
  </si>
  <si>
    <t>FITT00000120495</t>
  </si>
  <si>
    <t>fo48</t>
  </si>
  <si>
    <t>O masina agabaritica a intins si rupt fo48 langa DP4.</t>
  </si>
  <si>
    <t>S-a eliberat cablu fo48 din rezerva si s-a refacut OSC-ul cu DP4. Clientii sunt UP si cu semnal ok.</t>
  </si>
  <si>
    <t>47.6529936 24.6690977</t>
  </si>
  <si>
    <t>OLT1-TI0004 / Slot : 3 / PON3/0  TI0004FAN1ODB11712</t>
  </si>
  <si>
    <t>FITT00000120491</t>
  </si>
  <si>
    <t>Cosmin Pau + civile Timisoara( instalat stalp)</t>
  </si>
  <si>
    <t>Un autovehicul a lovit stalpul si a rupt cablul FO incident la cota 46.0713516 21.69330833</t>
  </si>
  <si>
    <t>S-a instalat si sudat un OSC nou pe rezerva de cablul fo24. Clientii sau ridicat, semnal conform.S-a inlocuit stalpul de lemn cu unul de composit</t>
  </si>
  <si>
    <t>46.0713516 21.69330833</t>
  </si>
  <si>
    <t>BE0327FAN4ODB1062</t>
  </si>
  <si>
    <t>FITT00000120487</t>
  </si>
  <si>
    <t>fo12</t>
  </si>
  <si>
    <t>Cablu fo12 afectat in 2 locuri langa ODB1060 si la stalp spre ODB1062.</t>
  </si>
  <si>
    <t>S-a inlocuit tronsonul de cablu fo12 (140m) de la ODB1060 pana la ODB1062. Cablul este pozat pe langa schela ca si celelalte cabluri, deoarece blocurile din zona sunt in reabilitare.</t>
  </si>
  <si>
    <t>OLT1-CL0704 / Slot : 7 PON7/2, PON7/3</t>
  </si>
  <si>
    <t>FITT00000120527</t>
  </si>
  <si>
    <t>Comun cu FITT00000120495 O masina agabaritica a intins si rupt fo48 langa DP4.</t>
  </si>
  <si>
    <t>Incident reclamatie GTS L172 - CL0781 - CL0400</t>
  </si>
  <si>
    <t>IMO000000283599</t>
  </si>
  <si>
    <t>Cablu afectat in urma unor lucrari de apa-canal</t>
  </si>
  <si>
    <t>Primaria Cluj</t>
  </si>
  <si>
    <t>S-a eliberat rezerva si eliminat bucata afectata si realizat o jonctiune in camereta existenta</t>
  </si>
  <si>
    <t>FITT00000120556</t>
  </si>
  <si>
    <t>Atenuare in caseta ODB</t>
  </si>
  <si>
    <t>Refacut sudura in caseta</t>
  </si>
  <si>
    <t>BR2700FAN1ODB1101</t>
  </si>
  <si>
    <t xml:space="preserve">FITT00000120518 </t>
  </si>
  <si>
    <t>tras rez + 1 osc nou</t>
  </si>
  <si>
    <t>Reclamatie FO CUT BR0003 &lt;&gt; BR0556</t>
  </si>
  <si>
    <t>IMO000000283558</t>
  </si>
  <si>
    <t>Kolcze</t>
  </si>
  <si>
    <t>Vandalism la 300m de site Aita Mare</t>
  </si>
  <si>
    <t>Refacut osc vandalizat ( necesar osc nou )</t>
  </si>
  <si>
    <t xml:space="preserve">Loss of signal WDM BR0093 - BR2727 // BE2727-BR0014 // Dumbravita(BR0433)-RUCAR (BE0782) + SDH </t>
  </si>
  <si>
    <t>IMO000000283563</t>
  </si>
  <si>
    <t>nu sa dispecerizat</t>
  </si>
  <si>
    <t>CR2950FAN3ODB68</t>
  </si>
  <si>
    <t>FITT00000120722</t>
  </si>
  <si>
    <t>Caseta inchisa peste fire</t>
  </si>
  <si>
    <t>Refacut 2 suduri in ODB - era afectat inca unul</t>
  </si>
  <si>
    <t>OLT1-TI0164 / Slot : 3 / PON3/15</t>
  </si>
  <si>
    <t>FITT00000120720</t>
  </si>
  <si>
    <t>Traversa 48FO rupta in intersectie pe 200m</t>
  </si>
  <si>
    <t>tras 200m( relocat in subteran intre doua jonctiuni) + 2 osc</t>
  </si>
  <si>
    <t>BR0294FAN1ODB165</t>
  </si>
  <si>
    <t>FITT00000120723</t>
  </si>
  <si>
    <t>Masurat din ODB165. S-a refacut sudura in DP21OSC33</t>
  </si>
  <si>
    <t>TI0401FAN1ODB2603</t>
  </si>
  <si>
    <t>FITT00000120739</t>
  </si>
  <si>
    <t>S-a identificat fibra reclamata in DP cu lumina rosie. S-a refacut sudura in DP conform NICM</t>
  </si>
  <si>
    <t>Loss of signal WDM CL0719 - CL2981 + NEC : CL0065-CL0719</t>
  </si>
  <si>
    <t>IMO000000283637</t>
  </si>
  <si>
    <t>Solutie provizorie - aeriana</t>
  </si>
  <si>
    <t>Cablu afectat in sapatur in urma unor lucrari la drum</t>
  </si>
  <si>
    <t>lucrari PNRR</t>
  </si>
  <si>
    <t>Instalat 280 m FO24 aerian intre un OSC existent si un OSC nou</t>
  </si>
  <si>
    <t>OLT1-CL0667 / Slot : 1 / PON1/14</t>
  </si>
  <si>
    <t>FITT00000120747</t>
  </si>
  <si>
    <t>FO48</t>
  </si>
  <si>
    <t>Eliberat rezerva si montat OSC nou</t>
  </si>
  <si>
    <t>Loss of signal in MARAMURES intre CL2980 - CL0611</t>
  </si>
  <si>
    <t>IMO000000283844</t>
  </si>
  <si>
    <t>Fir intrerupt la 8.4km de CL2980 catre Cl0611</t>
  </si>
  <si>
    <t>Refacut sudura in OSC</t>
  </si>
  <si>
    <t>BR0319FAN1ODB80</t>
  </si>
  <si>
    <t xml:space="preserve">FITT00000120801 </t>
  </si>
  <si>
    <t>Cablu rupt de lucrari schimbare stalp electrica. Refacut ODB81</t>
  </si>
  <si>
    <t>BR0163FAN2ODB0608</t>
  </si>
  <si>
    <t xml:space="preserve">FITT00000120685 </t>
  </si>
  <si>
    <t>BE0645FAN1ODB53</t>
  </si>
  <si>
    <t xml:space="preserve">FITT00000120850 </t>
  </si>
  <si>
    <t>Fibre afectate de insecte in BE0645FAN1ODB53. Refacut BE0645FAN1ODB53</t>
  </si>
  <si>
    <t>CL0400FAN2ODB0803</t>
  </si>
  <si>
    <t>FITT00000120351</t>
  </si>
  <si>
    <t>Borgovan /Sebastian Falnicu</t>
  </si>
  <si>
    <t>Borgovan/Zsolt</t>
  </si>
  <si>
    <t>Semnal la intrare in DP -5 12, trebuie intrat la CL0400 MSC in site pentru investigatii (masuratoare, schimbat patch, pigtail).S-au executat masuratori din CL400 , s-au curatat pachcordurile</t>
  </si>
  <si>
    <t>In urma investigatie in teren s-a constatat ca nu sunt probleme pe traseul de fibra optica (traseu de 10km si 17 suduri are pierderi normale de 5db). Sa masurat din site CL0400 - PENTRU remediere atenuare - traseul FO este ok , fara atenuare. Probleme sunt cu semnalul la iesirea din EDFA...	s-au refacut sudurile in OSC8 si ODB,  Semnal in parametri la ODB.</t>
  </si>
  <si>
    <t>CR0425FAN1ODB2102</t>
  </si>
  <si>
    <t>FITT00000120875</t>
  </si>
  <si>
    <t>echipa care s-a deplasat la tichet a constatat faptul care ODB-ul are semnal in parametri</t>
  </si>
  <si>
    <t>FITT00000120941</t>
  </si>
  <si>
    <t>Ascociatia proprietari</t>
  </si>
  <si>
    <t>CL0567FAN1ODB1613</t>
  </si>
  <si>
    <t>FITT00000119988</t>
  </si>
  <si>
    <t xml:space="preserve">Fibra taiata in urma unor lucrari. </t>
  </si>
  <si>
    <t>S-a instlat bucata de cablu si s-a executat 2 jonctiuni. ODB in parametrii.</t>
  </si>
  <si>
    <t>TI2998FAN2ODB2215</t>
  </si>
  <si>
    <t>FITT00000120971</t>
  </si>
  <si>
    <t xml:space="preserve">Cablu smuls din ODB </t>
  </si>
  <si>
    <t xml:space="preserve"> S-a refacut ODB.</t>
  </si>
  <si>
    <t>OLT1-CL0066 / Slot : 2 / PON2/3</t>
  </si>
  <si>
    <t>FITT00000120975</t>
  </si>
  <si>
    <t>Cablu 48 fo rupt la lucrari reparatii pod Vadu Izei de catre SC Diferit SRL</t>
  </si>
  <si>
    <t>Diferit SRL</t>
  </si>
  <si>
    <t>Inlocuit 150m fo48,traversare rau,executat 2 jonct noi</t>
  </si>
  <si>
    <t>OLT1-BR2727 / Slot : 2 / PON2/6</t>
  </si>
  <si>
    <t>FITT00000120976</t>
  </si>
  <si>
    <t>S-a instalat 205 m fo 24 si 205 m FO 12 si s-au executat 2 jonctiuni.</t>
  </si>
  <si>
    <t>WDM + SDH ; BISTRITA (CL0456) - COLIBITA (CL0146)</t>
  </si>
  <si>
    <t>IMO000000284234</t>
  </si>
  <si>
    <t>Solutie provizorie - necesar stalp si accesorii stalp</t>
  </si>
  <si>
    <t>S-au instalat 150m FO24 si 2 jonctiuni noi</t>
  </si>
  <si>
    <t xml:space="preserve"> GTS Giurgiu (BE0037)-Alexandria (CR0781) L10642 </t>
  </si>
  <si>
    <t>IMO000000284246</t>
  </si>
  <si>
    <t>Reclamatie GTS</t>
  </si>
  <si>
    <t>S-au executat masuratori din CR0781 si incidentul ramaine pe tronsonul GTS</t>
  </si>
  <si>
    <t>OLT1-CL0313 / Slot : 1 PON1/10, PON1/11</t>
  </si>
  <si>
    <t>FITT00000121026</t>
  </si>
  <si>
    <t>constructior autostrada</t>
  </si>
  <si>
    <t>Remediat de catre Telproiect</t>
  </si>
  <si>
    <t>TI0128-TI0290</t>
  </si>
  <si>
    <t>IMO000000284297</t>
  </si>
  <si>
    <t>raport finalizat T605150274</t>
  </si>
  <si>
    <t>fire inversate in jonctiune in urma unei lucrari de build</t>
  </si>
  <si>
    <t>BR0433 ( DUMBRAVITA_1) - BR0782 ( RUCAR_1) / BR0093- BR0014 / BR0093 - BR2727</t>
  </si>
  <si>
    <t>IMO000000284325</t>
  </si>
  <si>
    <t>FO24 rupt in urma unor sapaturi in incinta unei balastiere</t>
  </si>
  <si>
    <t>Morani Impex SRL.</t>
  </si>
  <si>
    <t>CL0165 - CL0339</t>
  </si>
  <si>
    <t>IMO000000284305</t>
  </si>
  <si>
    <t>PROCONEX + Marian Calu (civile)</t>
  </si>
  <si>
    <t>FO24 + 3 stalpi agatati de agabaritic</t>
  </si>
  <si>
    <t>s-au instalat 3 stalpi noi; s-a eliberat rezerva si s-a instalat un OSC nou</t>
  </si>
  <si>
    <t>TI0117FAN1ODB1306</t>
  </si>
  <si>
    <t>FITT00000120220</t>
  </si>
  <si>
    <t>OSC furat</t>
  </si>
  <si>
    <t>s-a montat un OSC nou</t>
  </si>
  <si>
    <t>CL0240FAN1ODB1103</t>
  </si>
  <si>
    <t>FITT00000121005</t>
  </si>
  <si>
    <t>s-a sudat firul</t>
  </si>
  <si>
    <t>BR2990FAN1ODB406</t>
  </si>
  <si>
    <t>FITT00000121111</t>
  </si>
  <si>
    <t>Echipa Vultur</t>
  </si>
  <si>
    <t>FO12 rupt de agabaritic</t>
  </si>
  <si>
    <t>200m FO12 si doua OSC-uri</t>
  </si>
  <si>
    <t>TI0166FAN1ODB1713</t>
  </si>
  <si>
    <t>FITT00000121260</t>
  </si>
  <si>
    <t>Solutie provizorie -Necesar plantat stalp compozit</t>
  </si>
  <si>
    <t>Stalp compozit rupt = necesar plangat</t>
  </si>
  <si>
    <t>Tas rez + 1osc nou</t>
  </si>
  <si>
    <t>Loss of signal WDM Bistrita ; CL0916 - CL0580</t>
  </si>
  <si>
    <t>IMO000000284895</t>
  </si>
  <si>
    <t xml:space="preserve">Solutie provizorie -NECESAR 1 STALP </t>
  </si>
  <si>
    <t xml:space="preserve">St compozit rupt , posibil aacident sau lovit </t>
  </si>
  <si>
    <t xml:space="preserve">Tras rez + 1 osc - necesar st </t>
  </si>
  <si>
    <t>OLT1-BR0553 / Slot : 3 PON3/10, PON3/11</t>
  </si>
  <si>
    <t xml:space="preserve">FITT00000121543 </t>
  </si>
  <si>
    <t>Alin Nonu+Mario</t>
  </si>
  <si>
    <t>17.05 26 13:25</t>
  </si>
  <si>
    <t>17.05 26 13:45</t>
  </si>
  <si>
    <t>DP cazut de pe stalp , spart cu si cu fire rupte</t>
  </si>
  <si>
    <t>Refacut suduri si ,omtat pe cruce</t>
  </si>
  <si>
    <t>CR0425FAN1ODB1002</t>
  </si>
  <si>
    <t>FITT00000121444</t>
  </si>
  <si>
    <t xml:space="preserve">Albine in ODB intermediar </t>
  </si>
  <si>
    <t xml:space="preserve">Curatat so refacut suduri </t>
  </si>
  <si>
    <t>TI0445FAN2ODB5009</t>
  </si>
  <si>
    <t>FITT00000121438</t>
  </si>
  <si>
    <t>Cablu smuls la traversa</t>
  </si>
  <si>
    <t>necuunoscut-agabaritic</t>
  </si>
  <si>
    <t>Reclamatie \ Possible FO CUT CR0360 - CR2993</t>
  </si>
  <si>
    <t>IMO000000284722</t>
  </si>
  <si>
    <t>S-au realizat masuratori OTDR , Circuit afectat in retea OROC. Afectat la 29km de CR0360</t>
  </si>
  <si>
    <t xml:space="preserve">INCIDENT PE TRONSON OROC </t>
  </si>
  <si>
    <t>Loss of signal WDM BR0368 - BR0019</t>
  </si>
  <si>
    <t>IMO000000284976</t>
  </si>
  <si>
    <t>Solutie provizorie -Atenuare suplim</t>
  </si>
  <si>
    <t xml:space="preserve">Incident in 2 locuri pe camp </t>
  </si>
  <si>
    <t>Agricole</t>
  </si>
  <si>
    <t>cate 100m + 2 osc la fiecare</t>
  </si>
  <si>
    <t>CL0628FAN1ODB1112</t>
  </si>
  <si>
    <t>FITT00000120336</t>
  </si>
  <si>
    <t>Semnal atenuat in ODB.</t>
  </si>
  <si>
    <t>Fir rupt in lipitura, refacut lipitura, aranjat OSC pe support.</t>
  </si>
  <si>
    <t>WDM CR0360 - CR2993</t>
  </si>
  <si>
    <t>IMO000000285025</t>
  </si>
  <si>
    <t>Incident indentificat la cota 43.877249, 24.143575 https://maps.app.goo.gl/eECt2imLpCXov8df8 pe cablul Oroc.</t>
  </si>
  <si>
    <t xml:space="preserve">S-au instalat 2 osc-uri si o bucata de cablu fo12. </t>
  </si>
  <si>
    <t>CL0297 - CL0558</t>
  </si>
  <si>
    <t>IMO000000285057</t>
  </si>
  <si>
    <t>S-a indentificat incidental la cota https://maps.app.goo.gl/cLFvQ66KGvxJ19rG6 47.047336, 21.960253  cablul fo a fost taiat probabil de constructorul care renoveaza pasajul pietonal peste calea ferata (sunt mai multe cabluri fo taiate).</t>
  </si>
  <si>
    <t>constructor pasaj</t>
  </si>
  <si>
    <t>Constructorul a creat o trecere subterana prevazut cu 2 camine, deoarece pasajul va fi demontat. S-a instalat cablu fo24 prin subteran prin camine + 2 osc-uri.</t>
  </si>
  <si>
    <t>CL0925FAN2ODB7504</t>
  </si>
  <si>
    <t>FITT00000121597</t>
  </si>
  <si>
    <t xml:space="preserve"> ODB a fost vandalizate. </t>
  </si>
  <si>
    <t>Refacut sudura in ODB intermediat la 250m  ODB7509. Semnal dupa interventie -21 -3.65</t>
  </si>
  <si>
    <t>CR0499FAN1ODB2107</t>
  </si>
  <si>
    <t>FITT00000120821</t>
  </si>
  <si>
    <t>OLT1-BR0294 / Slot : 4 PON4/2, PON4/3, PON4/4, PON4/5, PON4/6, PON4/7</t>
  </si>
  <si>
    <t>FITT00000121609</t>
  </si>
  <si>
    <t>Banciu Mircea</t>
  </si>
  <si>
    <t>Cablu fo144 rupt la cota 45.69017, 25.61259</t>
  </si>
  <si>
    <t>A fost necesara instalarea a 50m fo144 + 2 buc OSC-uri.</t>
  </si>
  <si>
    <t>45.69017, 25.61259</t>
  </si>
  <si>
    <t>OLT2-BR0294 / Slot : 2 / PON2/2</t>
  </si>
  <si>
    <t>FITT00000121610</t>
  </si>
  <si>
    <t>comun cu FITT00000121609</t>
  </si>
  <si>
    <t>CR0259 Bals - CR0176 Robanesti</t>
  </si>
  <si>
    <t>IMO000000285097</t>
  </si>
  <si>
    <t>Iulian&amp; Serban</t>
  </si>
  <si>
    <t>Solutie temporara-Swap</t>
  </si>
  <si>
    <t>Echipa nu a reusit sa ajunga in zona incidentului.</t>
  </si>
  <si>
    <t>Pentru a ridica circuitul s-a realizat swap astfel, in CL0176 s-a mutat de FO13 pe FO 23 si in CR0259 de pe FO1 pe FO6.</t>
  </si>
  <si>
    <t>CL0240FAN1ODB0406</t>
  </si>
  <si>
    <t>FITT00000121649</t>
  </si>
  <si>
    <t xml:space="preserve">ODB fara semnal. Probleme cu sudura in ODB. </t>
  </si>
  <si>
    <t>S-a refacut sudura spliter din ODB. Semnal -17 1.22</t>
  </si>
  <si>
    <t>CR0138FAN1ODB1002</t>
  </si>
  <si>
    <t>FITT00000121614</t>
  </si>
  <si>
    <t>S-a Inlocuit fibra intre ODB si o jonctiune</t>
  </si>
  <si>
    <t>CR2950FAN5ODB236</t>
  </si>
  <si>
    <t>FITT00000121640</t>
  </si>
  <si>
    <t>Sudura sparta in DP1 la 1600m de ODB.</t>
  </si>
  <si>
    <t>S-a refacut sudura, semnal in paramentrii -18 -1.</t>
  </si>
  <si>
    <t>CR0077FAN1ODB1324</t>
  </si>
  <si>
    <t>FITT00000121650</t>
  </si>
  <si>
    <t>Fir rupt in DP3 la cota 44.601583, 22.720996.</t>
  </si>
  <si>
    <t>S-a refacut lipitura, semnal la ODB in parametrii -18,5 -4,8 cei trei client sunt UP.</t>
  </si>
  <si>
    <t>FITT00000121734</t>
  </si>
  <si>
    <t xml:space="preserve"> S-a instalat bucata de cablu si s-au executat 2 jonctiuni.</t>
  </si>
  <si>
    <t>FITT00000121733</t>
  </si>
  <si>
    <t xml:space="preserve">WDM TI0299 - TI0203 + NEC TI0134 - TI0129 </t>
  </si>
  <si>
    <t>IMO000000285227</t>
  </si>
  <si>
    <t>Lucrare de buit-Proconect</t>
  </si>
  <si>
    <t>Fibra  a fost rerutata pe un alt traseu</t>
  </si>
  <si>
    <t>Lucrare de buit</t>
  </si>
  <si>
    <t>CL0078 - CL0965</t>
  </si>
  <si>
    <t>IMO000000285261</t>
  </si>
  <si>
    <t>Constructor drum</t>
  </si>
  <si>
    <t>S-a instalat bucata de cablu si 2 jonctiuni</t>
  </si>
  <si>
    <t>WDM CR0034 - BE0410 / CR0034 - CR0006 + SDH + NEC CR0758 - CR0034 / CR0169 - CR0448</t>
  </si>
  <si>
    <t>IMO000000285328</t>
  </si>
  <si>
    <t>Lucrare</t>
  </si>
  <si>
    <t xml:space="preserve">Cinca </t>
  </si>
  <si>
    <t>Cablu rupt in proprietate</t>
  </si>
  <si>
    <t xml:space="preserve">Proprietar </t>
  </si>
  <si>
    <t xml:space="preserve"> S-a instalat 150 m FO 12 si s-au executat 2 jonctiuni si 3 stalpi</t>
  </si>
  <si>
    <t>FITT00000121827</t>
  </si>
  <si>
    <t xml:space="preserve"> Comun  cu FITT00000121734</t>
  </si>
  <si>
    <t>OLT1-CL0047 / Slot : 5 / PON5/2</t>
  </si>
  <si>
    <t>FITT00000121835</t>
  </si>
  <si>
    <t>Sanicoara</t>
  </si>
  <si>
    <t xml:space="preserve">Fir rupt în DP12. </t>
  </si>
  <si>
    <t>OLT1-CL2985 / Slot : 1PON1/13, PON1/15 ,Slot : 2 / PON2/2</t>
  </si>
  <si>
    <t>FITT00000121836</t>
  </si>
  <si>
    <t>Fibra rupta in urma unui accident.</t>
  </si>
  <si>
    <t>S-a instalat 80 m FO 48 si s-au executat 2 jonctiuni</t>
  </si>
  <si>
    <t>TI0055 - TI0109</t>
  </si>
  <si>
    <t>IMO000000285391</t>
  </si>
  <si>
    <t xml:space="preserve">n/a </t>
  </si>
  <si>
    <t xml:space="preserve">Primaria Timisoara </t>
  </si>
  <si>
    <t>Necesar proiect de relocare</t>
  </si>
  <si>
    <t>LOSS OF SIGNAL NEC CL0229 &lt;&gt; CL0050</t>
  </si>
  <si>
    <t>IMO000000285482</t>
  </si>
  <si>
    <t>Solutie provizorie -Atenuare pe GTS + trasa OTDR</t>
  </si>
  <si>
    <t>Cablu indoit in sapatura</t>
  </si>
  <si>
    <t>Lucrari utilitati</t>
  </si>
  <si>
    <t>Indreptat la cald</t>
  </si>
  <si>
    <t>CL0667FAN1ODB1722</t>
  </si>
  <si>
    <t>FITT00000121825</t>
  </si>
  <si>
    <t>SPL 3 in aceeasi cutie cu alte 2 SPL - nu avea conectori</t>
  </si>
  <si>
    <t>Mutare ecipament</t>
  </si>
  <si>
    <t>Mutat in cutie separata la cererea ORO</t>
  </si>
  <si>
    <t>CL0072FAN1ODB11214</t>
  </si>
  <si>
    <t>FITT00000121934</t>
  </si>
  <si>
    <t>Cablu smuls din ODB intermediar</t>
  </si>
  <si>
    <t>Tras din rez si refacut ODB intermediar</t>
  </si>
  <si>
    <t>CR0077FAN1ODB12114</t>
  </si>
  <si>
    <t>FITT00000121914</t>
  </si>
  <si>
    <t>BR0333FAN2ODB350</t>
  </si>
  <si>
    <t>FITT00000121989</t>
  </si>
  <si>
    <t>Lipsa capac ODB.</t>
  </si>
  <si>
    <t>S-a montat si marcat capacul de la ODB. Semnal ok la ODB.</t>
  </si>
  <si>
    <t>CL0165FAN1ODB188</t>
  </si>
  <si>
    <t>FITT00000121993</t>
  </si>
  <si>
    <t>Fir rupt pe traseu inainte de DP - 680 spre site</t>
  </si>
  <si>
    <t>defect sudura</t>
  </si>
  <si>
    <t>Refacut sudura OSC 27 intermediar</t>
  </si>
  <si>
    <t>OLT1-CL0185 / Slot : 1 PON1/9, PON1/11</t>
  </si>
  <si>
    <t>FITT00000121916</t>
  </si>
  <si>
    <t>Accident masina ,stalp rupt,tras rezerva si executat 1 jonctiune noua</t>
  </si>
  <si>
    <t>Accident auto</t>
  </si>
  <si>
    <t>Loss of signal in MEDIAS intre BR0781 - BR0782</t>
  </si>
  <si>
    <t>IMO000000285589</t>
  </si>
  <si>
    <t>Incident fo atenuata 60km la cota 46°07'44.5"N 24°22'28.7"E .</t>
  </si>
  <si>
    <t>R0292 - BE0410	Bucesti</t>
  </si>
  <si>
    <t>IMO000000285645</t>
  </si>
  <si>
    <t>Cablu fo stresat la cota 44°27'15.07"N  24°32'15.15"E dupa ce a fost indreptat stalpul electric.</t>
  </si>
  <si>
    <t>reparatii electrica</t>
  </si>
  <si>
    <t xml:space="preserve">S-a indreptat cablul si atenuarea mare (-4db) a disparut. </t>
  </si>
  <si>
    <t>WDM CL0105 - CL0005</t>
  </si>
  <si>
    <t>IMO000000285641</t>
  </si>
  <si>
    <t>Solutie finala cu atenuare</t>
  </si>
  <si>
    <t xml:space="preserve">S-a eliberat rezerva, s-a instalat un OSC si s-au sudat capetele de fo. </t>
  </si>
  <si>
    <t>OLT1-TI0323 / Slot : 2 PON2/9, PON2/10, PON2/11, PON2/12</t>
  </si>
  <si>
    <t>FITT00000122109</t>
  </si>
  <si>
    <t>Alin Ardean, Donci Catalin, Anghel Raul</t>
  </si>
  <si>
    <t>Cablu fo48 rupt de un copac la cota  45°37'47.81"N  22°55'49.69"E.</t>
  </si>
  <si>
    <t>S-a eliberat rezerva, s-a instalat un OSC si s-au sudat capetele de fo.  Toate porturile s-au ridicat pana la 14:30 ( 2/9 14:15, 2/10 14:04, 2/11 14:30, 2/12 14:25, 4/5 14:08, 4/6 14:05, 4/7 14:30 )</t>
  </si>
  <si>
    <t>Timisoara_445_1(TI0445) - Lugoj_1(TI0543 // TI2954 - TI0187 // TI0187 - TI0337</t>
  </si>
  <si>
    <t>IMO000000285656</t>
  </si>
  <si>
    <t>necesar relocare in regim de urgenta</t>
  </si>
  <si>
    <t>200m cablu fo24 si 2 OSC-uri + 1osc pe derivatia TI0187</t>
  </si>
  <si>
    <t>OLT1-BR0423 / Slot : 2 PON2/9, PON2/10</t>
  </si>
  <si>
    <t>FITT00000122134</t>
  </si>
  <si>
    <t>DP9 partial avariat, autor necunoscut.</t>
  </si>
  <si>
    <t>S-au resudat firele cu probleme si s-au ridicat porturile.</t>
  </si>
  <si>
    <t>CR0499FAN1ODB2102 SPL1</t>
  </si>
  <si>
    <t>FITT00000122157</t>
  </si>
  <si>
    <t>Cablu pigtail rupt langa conector.</t>
  </si>
  <si>
    <t>S-a sudat un pigtail pentru portul 4. ODB2102 SPL1 P4 are acum semnal.</t>
  </si>
  <si>
    <t>CR0077FAN1ODB11925</t>
  </si>
  <si>
    <t>FITT00000122149</t>
  </si>
  <si>
    <t>Fir rupt in ODB11923.</t>
  </si>
  <si>
    <t>S-a reintregit firul, iar ODB11925 are semnal in parametrii.</t>
  </si>
  <si>
    <t>TI0075FAN3ODB3535</t>
  </si>
  <si>
    <t>FITT00000122163</t>
  </si>
  <si>
    <t>Fibra rupta de insecte in ODB3534</t>
  </si>
  <si>
    <t>TI0445 – TI4100_UNICARM SRL</t>
  </si>
  <si>
    <t>IMO000000285751</t>
  </si>
  <si>
    <t>Lucrare de buit-necesar relocare in retea exOROC</t>
  </si>
  <si>
    <t>WDM CR0756 - CR0005</t>
  </si>
  <si>
    <t>IMO000000285750</t>
  </si>
  <si>
    <t>estimare incident 3,3km CR005 44.450500, 23.684306 	https://maps.app.goo.gl/oZuZXJnn4gYo2Eek9</t>
  </si>
  <si>
    <t>Instalat bucata FO si 2 OSC noi</t>
  </si>
  <si>
    <t>Loss of signal WDM Bihor ; CL0217 - MARGHITA (CL0124)</t>
  </si>
  <si>
    <t>IMO000000285867</t>
  </si>
  <si>
    <t>FO96</t>
  </si>
  <si>
    <t>Fibre smulse din OSC36</t>
  </si>
  <si>
    <t>Resudat OSC36</t>
  </si>
  <si>
    <t>OLT1-CR0752 / Slot : 2 / PON2/15</t>
  </si>
  <si>
    <t>FITT00000122456</t>
  </si>
  <si>
    <t xml:space="preserve">Jonctiune cazuta de pe stalp, fir rupt. </t>
  </si>
  <si>
    <t>S-a resudat fibra. portul este up</t>
  </si>
  <si>
    <t>IMO000000285873</t>
  </si>
  <si>
    <t>Fibra rupta in sapatura. Eliberat Rezerva si instalat un OSC nou</t>
  </si>
  <si>
    <t>CL0305FAN1ODB1337</t>
  </si>
  <si>
    <t xml:space="preserve">FITT00000122390 </t>
  </si>
  <si>
    <t>Fibra rupta in ODB1337 de catre insecte. Refacut sudura.</t>
  </si>
  <si>
    <t>TI0078FAN3ODB3616</t>
  </si>
  <si>
    <t xml:space="preserve">FITT00000122329 </t>
  </si>
  <si>
    <t>Sudura defecta in ODB din cauza insectelor. Refacut sudura</t>
  </si>
  <si>
    <t>CL0174FAN1ODB13</t>
  </si>
  <si>
    <t>FITT00000122144</t>
  </si>
  <si>
    <t>Fibra rupta in ODB. S-a refacut sudura in ODB</t>
  </si>
  <si>
    <t>CL2113FAN1ODB11132</t>
  </si>
  <si>
    <t xml:space="preserve">FITT00000122403 </t>
  </si>
  <si>
    <t>Insecte in ODB. refacut suduri in ODB.</t>
  </si>
  <si>
    <t>OLT1-CR0783 / Slot : 1 / PON1/5</t>
  </si>
  <si>
    <t>FITT00000122391</t>
  </si>
  <si>
    <t>Refăcut sudura in dp3</t>
  </si>
  <si>
    <t>OLT1-CR2950 / Slot : 7 / PON7/4</t>
  </si>
  <si>
    <t>FITT00000122369</t>
  </si>
  <si>
    <t xml:space="preserve">Vandalism. Fibra smulsa din ODB149. </t>
  </si>
  <si>
    <t>FITT00000122017</t>
  </si>
  <si>
    <t xml:space="preserve"> S-a inlocuit, valori ok in odb</t>
  </si>
  <si>
    <t>BR0423FAN1ODB1115 &amp; BR0423FAN1ODB1117</t>
  </si>
  <si>
    <t>FITT00000122146</t>
  </si>
  <si>
    <t>Fibra rupta si smulsa din ODB1114.</t>
  </si>
  <si>
    <t xml:space="preserve"> Instalat 100m fo24 intre osc existent si resudat in ODB1114. Valori ok la ODB-uri.</t>
  </si>
  <si>
    <t>OLT1-CL0066</t>
  </si>
  <si>
    <t>FITT00000122488</t>
  </si>
  <si>
    <t>FO48 rupt insapatura</t>
  </si>
  <si>
    <t>90m FO48, doua OSC-uri si doua camerete</t>
  </si>
  <si>
    <t>CR2950FAN2ODB159</t>
  </si>
  <si>
    <t>FITT00000122494</t>
  </si>
  <si>
    <t xml:space="preserve">Fibra taiata in bloc. </t>
  </si>
  <si>
    <t>inlocuit 40m fo si resudat. valori ok la odb</t>
  </si>
  <si>
    <t>Sibiu (BR0375) - BR0378 / BR0378 - Medias (BR0782)</t>
  </si>
  <si>
    <t>IMO000000285922</t>
  </si>
  <si>
    <t>Solutie provizorie - Necesar camerete</t>
  </si>
  <si>
    <t>BR0632 - BR0211</t>
  </si>
  <si>
    <t>IMO000000285921 - DLP000749633</t>
  </si>
  <si>
    <t>Fibra rupta de utilaje agricole</t>
  </si>
  <si>
    <t>CL0185FAN1ODB11438</t>
  </si>
  <si>
    <t>FITT00000122508</t>
  </si>
  <si>
    <t xml:space="preserve">Fibra smulsa din ODB. </t>
  </si>
  <si>
    <t>S-a instalat 60m fo, o jonctiune noua si resudat in ODB. Valori ok.</t>
  </si>
  <si>
    <t>CR0410FAN1ODB1722</t>
  </si>
  <si>
    <t>FITT00000122630</t>
  </si>
  <si>
    <t xml:space="preserve">Fir rupt la DP7 cazut de pe stalp. </t>
  </si>
  <si>
    <t>Resudat, valori ok la ODB.</t>
  </si>
  <si>
    <t>FITT00000122639</t>
  </si>
  <si>
    <t>Nepos</t>
  </si>
  <si>
    <t>Fibra agatata de agabaritic.</t>
  </si>
  <si>
    <t xml:space="preserve"> instalat 90m fo, resudat o jonctiune existenta si instalat 1 jonctiune noua. valori ok la odb</t>
  </si>
  <si>
    <t>TI0076FAN1ODB1010</t>
  </si>
  <si>
    <t>FITT00000122783</t>
  </si>
  <si>
    <t xml:space="preserve">Buffer rupt de viespe in ODB. </t>
  </si>
  <si>
    <t>OLT1-CL2999 / Slot : 2
PON2/6, PON2/7</t>
  </si>
  <si>
    <t>FITT00000122796</t>
  </si>
  <si>
    <t xml:space="preserve">Fibra agatata si smulsa din armorod. </t>
  </si>
  <si>
    <t>Pentru remediere s-a instalat 1 osc. porturile sunt up.</t>
  </si>
  <si>
    <t>CR0410FAN1ODB11016</t>
  </si>
  <si>
    <t>FITT00000122787</t>
  </si>
  <si>
    <t xml:space="preserve">Fir rupt de insecte la ODB. </t>
  </si>
  <si>
    <t>WDM Fagaras ( BR0781 ) - BR2993 / Dumbravita ( BR0433 ) - Fagaras ( BR0781) + SDH</t>
  </si>
  <si>
    <t xml:space="preserve">IMO000000285946 </t>
  </si>
  <si>
    <t>OLT1-BR0567 / Slot : 1 / PON1/2</t>
  </si>
  <si>
    <t>FITT00000122921</t>
  </si>
  <si>
    <t xml:space="preserve">sudura puscata in DP1. </t>
  </si>
  <si>
    <t>Resudat fir, port up</t>
  </si>
  <si>
    <t>Loss of signal WDM Izbasesti_1(CR0609) - Valcea(CR0093);Valcea(CR0093) - Ciocanei_1(BE0409);Valcea(CR0093) - CR0078 + SDH</t>
  </si>
  <si>
    <t xml:space="preserve">IMO000000286038 </t>
  </si>
  <si>
    <t>instalat 100m fo si 2 osc. S-au instalat camerete vizitabile</t>
  </si>
  <si>
    <t>CR0783FAN1ODB1123</t>
  </si>
  <si>
    <t>FITT00000122826</t>
  </si>
  <si>
    <t xml:space="preserve">fir rupt in sudura la ODB1122. </t>
  </si>
  <si>
    <t>OLT1-CR0214 / Slot : 1 / PON1/7</t>
  </si>
  <si>
    <t>FITT00000122931</t>
  </si>
  <si>
    <t>Echipa Ion Mota</t>
  </si>
  <si>
    <t xml:space="preserve">fire rupte de furnici in OSC200. </t>
  </si>
  <si>
    <t>Resudat fire, port up.</t>
  </si>
  <si>
    <t>CR0011FAN1ODB11031</t>
  </si>
  <si>
    <t>FITT00000122936</t>
  </si>
  <si>
    <t>FO taiat pe fatada</t>
  </si>
  <si>
    <t>s-a eliberat rezerva si s-a instalat un TB langa patul de cablu</t>
  </si>
  <si>
    <t>CR0360 - CR0938</t>
  </si>
  <si>
    <t>IMO000000286093</t>
  </si>
  <si>
    <t>Braniste</t>
  </si>
  <si>
    <t>WDM CR0289 - CR0214</t>
  </si>
  <si>
    <t>IMO000000286104</t>
  </si>
  <si>
    <t>Fibre rupte in jonctiune</t>
  </si>
  <si>
    <t>Resudat fibre</t>
  </si>
  <si>
    <t>CL0522FAN1ODB907</t>
  </si>
  <si>
    <t>FITT00000122978</t>
  </si>
  <si>
    <t>Buffer stresat in ODB907</t>
  </si>
  <si>
    <t>s-a destresat bufferul</t>
  </si>
  <si>
    <t>TI0338FAN1ODB9901</t>
  </si>
  <si>
    <t>FITT00000123084</t>
  </si>
  <si>
    <t>ONT sincronizat in port eronat</t>
  </si>
  <si>
    <t>S-a sudat conform NICM; Blocul e inca in constructie si nu am avut acces la ODB pentru confirmare cu ONT de test</t>
  </si>
  <si>
    <t>CL0601FAN1ODB0719</t>
  </si>
  <si>
    <t>FITT00000123082</t>
  </si>
  <si>
    <t>fir rupt in ODB718</t>
  </si>
  <si>
    <t>TI0224FAN1ODB1602</t>
  </si>
  <si>
    <t>FITT00000123094</t>
  </si>
  <si>
    <t>buffer stresat in ODb</t>
  </si>
  <si>
    <t>CR0214FAN1ODB1416</t>
  </si>
  <si>
    <t>FITT00000123103</t>
  </si>
  <si>
    <t>Fir rupt in OSC200 intermediar</t>
  </si>
  <si>
    <t>refacut sudura osc 200</t>
  </si>
  <si>
    <t>OLT1-TI0445</t>
  </si>
  <si>
    <t>FITT00000123069</t>
  </si>
  <si>
    <t>intrare in SPL nivel 1 rupta</t>
  </si>
  <si>
    <t>s-a resudat</t>
  </si>
  <si>
    <t>TI0160 - TIMISOARA_445_2 ( TII0445 ) + NEC TI0160 - TI0073 ; TI0160 - TI1232</t>
  </si>
  <si>
    <t>IMO000000286270</t>
  </si>
  <si>
    <t>cabluri FO afectate in urma ruperii unui stalp EE</t>
  </si>
  <si>
    <t>s-au refacut doua OSC-uri existente plus un OSC nou pe cablul de interconnect cu VDF</t>
  </si>
  <si>
    <t xml:space="preserve">TI0621 - TI0008 </t>
  </si>
  <si>
    <t>IMO000000286315</t>
  </si>
  <si>
    <t>Stefan Pandariu</t>
  </si>
  <si>
    <t xml:space="preserve">Sudura sparta in cutia de jonctiune </t>
  </si>
  <si>
    <t>S-a refacut sudura in cutia de jonctiune</t>
  </si>
  <si>
    <t>CR0360 – CR0938</t>
  </si>
  <si>
    <t>IMO000000286298</t>
  </si>
  <si>
    <t>Lucrari Primaria Danet</t>
  </si>
  <si>
    <t>IMO000000286183</t>
  </si>
  <si>
    <t>Solutie provizorie - necesar subtraversare lini CFR</t>
  </si>
  <si>
    <t>FO24 afectat la subtraversare</t>
  </si>
  <si>
    <t>Constructor lini CFR Alest-Oradea</t>
  </si>
  <si>
    <t>s-au rerutat circuitele prin cablul OROC</t>
  </si>
  <si>
    <t>CL0567 - CL0325</t>
  </si>
  <si>
    <t>IMO000000286220</t>
  </si>
  <si>
    <t>nu s-a dispecerizat - posibil avarie pe tronson CFR</t>
  </si>
  <si>
    <t>Incident pe tronson CFR</t>
  </si>
  <si>
    <t>IMO000000286148</t>
  </si>
  <si>
    <t>Borgovan + Infra Cluj</t>
  </si>
  <si>
    <t>FO24 agatat de agabaritic</t>
  </si>
  <si>
    <t>100m FO24 si refacut doua OSC-uri</t>
  </si>
  <si>
    <t xml:space="preserve"> TI0337 - TI0187 ; TI2954 - TI0187</t>
  </si>
  <si>
    <t>IMO000000286303</t>
  </si>
  <si>
    <t>Solutie provizoriu - necesar relocare</t>
  </si>
  <si>
    <t>Consiliul judetean Timis</t>
  </si>
  <si>
    <t>Tras rez + 1 osc provizoriu</t>
  </si>
  <si>
    <t>Lipsa acces in santier. S-a intrat in santier doar dupa ce am avut acordul consiliului judetean</t>
  </si>
  <si>
    <t>OLT1-CL0522 / Slot : 12 / PON12/10</t>
  </si>
  <si>
    <t>FITT00000123285</t>
  </si>
  <si>
    <t>SPL R1 DEFECT IN DP</t>
  </si>
  <si>
    <t>DEFECT ECHIP.</t>
  </si>
  <si>
    <t>INLOCUIT SPL R1</t>
  </si>
  <si>
    <t>CL0373FAN1ODB1125</t>
  </si>
  <si>
    <t>FITT00000123274</t>
  </si>
  <si>
    <t>Echipa  a indificat FO afectat in urma caderii ODB1124 de pe stalp. S-a refacut ODB1124. Dupa remediere am verificat functionalitatea clientilor in Netnumen (powermetrul echipei era defect)</t>
  </si>
  <si>
    <t>CR0425FAN1ODB607</t>
  </si>
  <si>
    <t>FITT00000123293</t>
  </si>
  <si>
    <t>Echipa Daniel Coman</t>
  </si>
  <si>
    <t>fir rupt in ODB611</t>
  </si>
  <si>
    <t>Loss of signal in DOLJ intre CR0360 - CR0938</t>
  </si>
  <si>
    <t>IMO000000286442</t>
  </si>
  <si>
    <t>TT generat de PROCONECT</t>
  </si>
  <si>
    <t>inctrerupt accidental cand s-a instalat camereta</t>
  </si>
  <si>
    <t>CR30304FAN1ODB130</t>
  </si>
  <si>
    <t xml:space="preserve">FITT00000123288 </t>
  </si>
  <si>
    <t>Nesincronizare ONT</t>
  </si>
  <si>
    <t xml:space="preserve">inversare fo </t>
  </si>
  <si>
    <t>Inversat patch in site</t>
  </si>
  <si>
    <t>CR0077FAN1ODB1314</t>
  </si>
  <si>
    <t>FITT00000123292</t>
  </si>
  <si>
    <t>Albine in ODB - fire dsitruse</t>
  </si>
  <si>
    <t>Refacut sudura si curatat</t>
  </si>
  <si>
    <t>BR0003FAN1ODB2805</t>
  </si>
  <si>
    <t>FITT00000123295</t>
  </si>
  <si>
    <t>Mutat in DP pe SPL 2 conform NICM</t>
  </si>
  <si>
    <t>OLT1-TI0337 / Slot : 2 / PON2/5</t>
  </si>
  <si>
    <t>FITT00000123301</t>
  </si>
  <si>
    <t>Site deschis - ODF miscat - pe cand am ajuns se ridicase tot</t>
  </si>
  <si>
    <t>OLT2-TI0337 / Slot : 1 / PON1/10</t>
  </si>
  <si>
    <t>FITT00000123302</t>
  </si>
  <si>
    <t>comun cu FITT00000123301</t>
  </si>
  <si>
    <t>Loss of signal in MURES intre BR0158 - BR0782 (MEDIAS_2) /  + NEC BR0782 - BR0313 + SDH  //  IMO000000286504</t>
  </si>
  <si>
    <t>IMO000000286504</t>
  </si>
  <si>
    <t>Alin Nonu + Mario</t>
  </si>
  <si>
    <t>Cablu afectat de toaletari copaci</t>
  </si>
  <si>
    <t>Refaut OSC existent</t>
  </si>
  <si>
    <t xml:space="preserve">Loss of signal in BRASOV intre BR0024 - BR0023 </t>
  </si>
  <si>
    <t>IMO000000286512</t>
  </si>
  <si>
    <t>Solutie provizorie - nrcesar ridicare cablu pe stalpi MT</t>
  </si>
  <si>
    <t>Cablu afectat de utilaj agricol</t>
  </si>
  <si>
    <t>Necunoscut - agabaritic</t>
  </si>
  <si>
    <t>Tras rez + 1 OSC</t>
  </si>
  <si>
    <t>Incident reclamatie atenuare CL0067-CL2979</t>
  </si>
  <si>
    <t>IMO000000286582</t>
  </si>
  <si>
    <t>FITT00000123529</t>
  </si>
  <si>
    <t>CR0077FAN1ODB11716</t>
  </si>
  <si>
    <t>FITT00000123506</t>
  </si>
  <si>
    <t>ODB sinconizat in port gresit</t>
  </si>
  <si>
    <t>TI0339FAN1ODB1411</t>
  </si>
  <si>
    <t>FITT00000123531</t>
  </si>
  <si>
    <t>splitter nivel 1 defect</t>
  </si>
  <si>
    <t>s-a inlocuit splitterul</t>
  </si>
  <si>
    <t>BE2997 - BE0385 / BE2997 - BE0068</t>
  </si>
  <si>
    <t>IMO000000286692</t>
  </si>
  <si>
    <t>FO48 agatat de agabaritic</t>
  </si>
  <si>
    <t>IMO000000286799</t>
  </si>
  <si>
    <t>Tras 100m + 1 osc nou si refacut 1 ex</t>
  </si>
  <si>
    <t>BR0064 - BR0187 /  BR0948 - BR1225</t>
  </si>
  <si>
    <t>IMO000000286631</t>
  </si>
  <si>
    <t>Solitie provizorie- atenuare suplimentara 1dB</t>
  </si>
  <si>
    <t>Attila Kolcze</t>
  </si>
  <si>
    <t>FO24 rupt la coborarea din site BR0187</t>
  </si>
  <si>
    <t>s-a eliberat rezerva si instalat un OSC nou</t>
  </si>
  <si>
    <t>TI0030 - TI2996 / TI0030 0 TI2992 / TI0055 - TI0030</t>
  </si>
  <si>
    <t>IMO000000286859</t>
  </si>
  <si>
    <t>OROC</t>
  </si>
  <si>
    <t>Incident in retea exOROC</t>
  </si>
  <si>
    <t>FITT00000123552</t>
  </si>
  <si>
    <t>Solutie provzorie - necesar camereta</t>
  </si>
  <si>
    <t>Cablu144FO rupt in sapatura</t>
  </si>
  <si>
    <t>Tras rez + 1 OSC 144FO</t>
  </si>
  <si>
    <t>BR0294FAN2ODB484</t>
  </si>
  <si>
    <t>FITT00000123517</t>
  </si>
  <si>
    <t>Fir rupt in ODB intrrmediar</t>
  </si>
  <si>
    <t>FITT00000123569</t>
  </si>
  <si>
    <t xml:space="preserve">Spliter defect in ODB. </t>
  </si>
  <si>
    <t>Inlocuit spliter.</t>
  </si>
  <si>
    <t>TI0117FAN1ODB205</t>
  </si>
  <si>
    <t>FITT00000123617</t>
  </si>
  <si>
    <t>Fire rupte in ODB208 INTERMEDIAR - INSECTE</t>
  </si>
  <si>
    <t>TI0117FAN1ODB202</t>
  </si>
  <si>
    <t>FITT00000123669</t>
  </si>
  <si>
    <t>comun cu FITT00000123617</t>
  </si>
  <si>
    <t>BE0209FAN1ODB38</t>
  </si>
  <si>
    <t>FITT00000123681</t>
  </si>
  <si>
    <t>FO12</t>
  </si>
  <si>
    <t>Cablu taiat intre odb si DP - toletari copaci</t>
  </si>
  <si>
    <t>265m FO12 intre DP39 si ODB38</t>
  </si>
  <si>
    <t>BR0294FAN2ODB581</t>
  </si>
  <si>
    <t>FITT00000123677</t>
  </si>
  <si>
    <t>comun cu FITT00000123552</t>
  </si>
  <si>
    <t>CR0214FAN1ODB11031</t>
  </si>
  <si>
    <t>FITT00000123840</t>
  </si>
  <si>
    <t xml:space="preserve">jonctiune cazuta de pe stalp. </t>
  </si>
  <si>
    <t>resudat jonctiune</t>
  </si>
  <si>
    <t>Tichet neanuntat telefonic si asignat la 2:00</t>
  </si>
  <si>
    <t>OLT1-BR0791 / Slot : 2 / PON2/7</t>
  </si>
  <si>
    <t>FITT00000123850</t>
  </si>
  <si>
    <t>OSC intrmediar agatat / capac OSC lipsa</t>
  </si>
  <si>
    <t>Refacut suduri OSC + montat protectie OSC</t>
  </si>
  <si>
    <t>Possible FO CUT in SIBIU intre   BR0841 - BR0269</t>
  </si>
  <si>
    <t>IMO000000287081</t>
  </si>
  <si>
    <t>FITT00000123917</t>
  </si>
  <si>
    <t xml:space="preserve">Fir rupt la DP. </t>
  </si>
  <si>
    <t>Resudat, valori ok, port up</t>
  </si>
  <si>
    <t>CR0034FAN1ODB2405</t>
  </si>
  <si>
    <t>FITT00000123922</t>
  </si>
  <si>
    <t xml:space="preserve">Buffer rupt in ODB. </t>
  </si>
  <si>
    <t>BR0023FAN1ODB0105</t>
  </si>
  <si>
    <t>FITT00000123944</t>
  </si>
  <si>
    <t>Inlocuit patch intre EDFA si ODF in BR0023. Portul de EDFA pierde totusi intre 2-3db la plecare.</t>
  </si>
  <si>
    <t xml:space="preserve"> Dupa inlocuire patch, valori in parametri la ODB.</t>
  </si>
  <si>
    <t>CL0667FAN1ODB1622</t>
  </si>
  <si>
    <t>FITT00000123957</t>
  </si>
  <si>
    <t>FIbra agatata de agabaritic.</t>
  </si>
  <si>
    <t xml:space="preserve"> Instalat 100m fo si 2 jonctiuni. Valori ok, clienti up.</t>
  </si>
  <si>
    <t>CL0223 - CL1603;CL0229 - CL0297</t>
  </si>
  <si>
    <t>IMO000000287282</t>
  </si>
  <si>
    <t xml:space="preserve">fibra rupta in urma unor stalpi electrica eliminati. S-a migrat pe subteran. </t>
  </si>
  <si>
    <t>Instalat 2 jonctiuni</t>
  </si>
  <si>
    <t>BR0391 - BR30354 + NEC BR0155 - BR0482</t>
  </si>
  <si>
    <t>IMO000000287289</t>
  </si>
  <si>
    <t>Fibra afectata la anveloparea unei case</t>
  </si>
  <si>
    <t>Instalat 170m fo si 2 jonctiuni</t>
  </si>
  <si>
    <t>OLT1-CR2950 / Slot : 1 / PON1/13</t>
  </si>
  <si>
    <t>FITT00000124013</t>
  </si>
  <si>
    <t xml:space="preserve">Sudura sparta in DP18. </t>
  </si>
  <si>
    <t>CR0011FAN1ODB11617</t>
  </si>
  <si>
    <t>FITT00000124075</t>
  </si>
  <si>
    <t>ODB vandalizat - cablu smuls</t>
  </si>
  <si>
    <t>Necunoscut-vecini se reclama intre ei</t>
  </si>
  <si>
    <t>Tras din rezerva si refacut ODB</t>
  </si>
  <si>
    <t>CL0470 - CL0395</t>
  </si>
  <si>
    <t>IMO000000287507</t>
  </si>
  <si>
    <t>Accident auto - stalp EE rupt</t>
  </si>
  <si>
    <t>accident auto</t>
  </si>
  <si>
    <t xml:space="preserve">150m + 2 osc </t>
  </si>
  <si>
    <t>Loss of signal WDM BR0595 - BR0001</t>
  </si>
  <si>
    <t>IMO000000287520</t>
  </si>
  <si>
    <t>Loss of signal P1 RAN + WDM BE0081 - BE0343 // BE0081-BE0039 // BE0081-BE0040 // BE0081-BE0655 + NEC : BE0081 - BE0082</t>
  </si>
  <si>
    <t>IMO000000287365</t>
  </si>
  <si>
    <t>Lucrari pe teren privat - cablu agatat de excavator</t>
  </si>
  <si>
    <t>2 OSC uri,215m FO 24 G652D,2 cruci, 6 armoruzi! 48 suduri!</t>
  </si>
  <si>
    <t>Loss of signal in BIHOR intre  CL0229 ( ORADEA_1 ) - CL0223 + NEC</t>
  </si>
  <si>
    <t>IMO000000287352</t>
  </si>
  <si>
    <t>Cablu agatat la pasaj Magheru</t>
  </si>
  <si>
    <t>S-a rerutat cablul 24FO pe alt traseu prin subteran</t>
  </si>
  <si>
    <t>Loss of signal i intre TI0008 - DEVA_1 ( TI0195 )</t>
  </si>
  <si>
    <t>IMO000000287610</t>
  </si>
  <si>
    <t xml:space="preserve">Solutie provizorie -Swap fo </t>
  </si>
  <si>
    <t>NTG</t>
  </si>
  <si>
    <t>Afectare partiala - cade pe subteran exact unde se face noua autostrada</t>
  </si>
  <si>
    <t>Swap fo intre 2 osc pentru a ridica serviciile</t>
  </si>
  <si>
    <t>CL0300-PL34295 DF2DF0001</t>
  </si>
  <si>
    <t>IMO000000287923</t>
  </si>
  <si>
    <t>str. a intrat in reabilitare, cablul a fost taiat</t>
  </si>
  <si>
    <t>Lucrari Primaria Oradea</t>
  </si>
  <si>
    <t>S-a migrat circuitul VDF pe un cablu instalat de Camusat pregatit pentru relocare, si s-a sudat in 2 OSC-uri existente. Circuitul este UP.</t>
  </si>
  <si>
    <t>47,06060 21,93960</t>
  </si>
  <si>
    <t>magazin crisul</t>
  </si>
  <si>
    <t>CL2990FAN1ODB0401</t>
  </si>
  <si>
    <t>FITT00000124621</t>
  </si>
  <si>
    <t>Cablu rupt de toaletari copaci</t>
  </si>
  <si>
    <t>CL2992FAN1ODB311</t>
  </si>
  <si>
    <t>FITT00000124564</t>
  </si>
  <si>
    <t>DACRIN</t>
  </si>
  <si>
    <t>Sudat conform nicm</t>
  </si>
  <si>
    <t>BR0294FAN2ODB478</t>
  </si>
  <si>
    <t>FITT00000124649</t>
  </si>
  <si>
    <t>Fibra rupta din buffer in OSC. Refacut fibra in OSC</t>
  </si>
  <si>
    <t>CL0569FAN1ODB301</t>
  </si>
  <si>
    <t>FITT00000124653</t>
  </si>
  <si>
    <t>S-a masurat din ODB301 si indica F-cut la 60 m. Fibrele sunt taiate la scara vecina in urma reabilitarii. Necesar proiect build si obtinere acord</t>
  </si>
  <si>
    <t>s-a montat o cutie terminala pe fatadal blocului</t>
  </si>
  <si>
    <t>TI0339FAN1ODB506</t>
  </si>
  <si>
    <t>FITT00000124232</t>
  </si>
  <si>
    <t>Cuib viespi in ODB - 2 fire rupte</t>
  </si>
  <si>
    <t>Refacut ambele suduri</t>
  </si>
  <si>
    <t>BE0040FAN1ODB65</t>
  </si>
  <si>
    <t>FITT00000124644</t>
  </si>
  <si>
    <t>Fir atenuat in caseta ODB</t>
  </si>
  <si>
    <t>CR0257FAN1ODB71</t>
  </si>
  <si>
    <t>FITT00000124702</t>
  </si>
  <si>
    <t>CL0374FAN2ODB2511</t>
  </si>
  <si>
    <t>FITT00000124726</t>
  </si>
  <si>
    <t>Lipsa semnal in ODB2524. Sudura sparta.</t>
  </si>
  <si>
    <t>S-a refacut sudura in ODB, semnal in parametrii.</t>
  </si>
  <si>
    <t>CL0522FAN3ODB2705</t>
  </si>
  <si>
    <t>FITT00000124654</t>
  </si>
  <si>
    <t>DP plin cu apa</t>
  </si>
  <si>
    <t>Inlocuit SPL 1x8</t>
  </si>
  <si>
    <t>CR2950FAN7ODB32</t>
  </si>
  <si>
    <t>FITT00000124744</t>
  </si>
  <si>
    <t>Insecte in ODB intermediar</t>
  </si>
  <si>
    <t>OLT1-CL0719 / Slot : 1 PON1/6, PON1/7, PON1/8</t>
  </si>
  <si>
    <t>FITT00000124746</t>
  </si>
  <si>
    <t>Un accident mașina a rupt cativa stalpi de beton si a avariat reteaua de fo (Cablu fo96 și fo24 rupte), fara a putea interveni decat dupa ce termina politia ancheta, apoi va interveni electrica pentru refacerea retelei electrice.</t>
  </si>
  <si>
    <t>S-a instalat 1 stâlp nou de 8m, iar Fo96 s-a recuperate din rezerva și s-a refăcut DP3. 
S-a inlocuit 115m fo24 între DP3 și ODB1311. Înlocuit 139m fi 24 între ODB1414 și OSC existența. Refăcut lipituri in odb-uri, OSC existența și dp.
Toate porturile s-au ridicat, ultimul la ora 13:48.</t>
  </si>
  <si>
    <t>47°59'7.40"N  23°45'35.10"E</t>
  </si>
  <si>
    <t>OLT1-CR0214 / Slot : 2</t>
  </si>
  <si>
    <t>FITT00000124753</t>
  </si>
  <si>
    <t>Vladimir + Ciprian</t>
  </si>
  <si>
    <t>Mota Ioan</t>
  </si>
  <si>
    <t>S-a identificat fibra rupta in urma furtunilor violente ce au avut loc in zona respectiva. S-a eliberat din rezerve si s-a instalat un OSC nou. Circuitele nu s-au ridicat si in urma investigatiilor suplimentare s-a mai gasit rupta inca intr-un loc. Echipa nu detine cantitatea necesara de FO si va fi nevoita sa revina maine dimineata impreuna cu echipa de civile pentru instalare 400 m FO si eliberare traseu de copacii rupti si cazuti.</t>
  </si>
  <si>
    <t>200m FO si 2 OSC-uri</t>
  </si>
  <si>
    <t>OLT1-BR0378 / Slot : 1 PON1/3, PON1/4</t>
  </si>
  <si>
    <t>FITT00000124811</t>
  </si>
  <si>
    <t>OSC intermediar agatat de o masina care a iesit din curte</t>
  </si>
  <si>
    <t>Tras din rezerva si refacut OSC intermediar</t>
  </si>
  <si>
    <t>Possible FO CUT in Sibiu between   BR0401  - BR0077</t>
  </si>
  <si>
    <t>IMO000000288248</t>
  </si>
  <si>
    <t>NTG + Zsolt</t>
  </si>
  <si>
    <t>Lucrari canalizatie</t>
  </si>
  <si>
    <t>Instalat bucata FO48 + 2 OSC noi si 2 camerete</t>
  </si>
  <si>
    <t xml:space="preserve">Loss of signal BR0024 - BR0023 </t>
  </si>
  <si>
    <t>IMO000000288263</t>
  </si>
  <si>
    <t>Solutie finala - s-a ridicat cablul pe stalpi</t>
  </si>
  <si>
    <t>Cablu agatat de combaina agricola</t>
  </si>
  <si>
    <t>TI0004FAN1ODB1424</t>
  </si>
  <si>
    <t>FITT00000124917</t>
  </si>
  <si>
    <t>TI0206FAN1ODB1708</t>
  </si>
  <si>
    <t xml:space="preserve">FITT00000124803 </t>
  </si>
  <si>
    <t>Fibra rupta in ODB1709</t>
  </si>
  <si>
    <t>Refacut ODB</t>
  </si>
  <si>
    <t>CR2950FAN5ODB384</t>
  </si>
  <si>
    <t xml:space="preserve">FITT00000124924 </t>
  </si>
  <si>
    <t>Sudura sparta pe intrarea la splitter in ODB384. Refacut sudura</t>
  </si>
  <si>
    <t>Possible FO CUT CL0480 - CL0850</t>
  </si>
  <si>
    <t>IMO000000288570</t>
  </si>
  <si>
    <t>Fibra taiata la pasaj. Se scot stalpii EE si nu avem permisiunea de instalare pe stalpii de iluminat</t>
  </si>
  <si>
    <t>Lucrari pasaj/ Electrica</t>
  </si>
  <si>
    <t>Înlocuit 400m fo24 prin canalizația primăriei. Două joncțiuni noi.</t>
  </si>
  <si>
    <t>CL2984FAN1ODB435</t>
  </si>
  <si>
    <t xml:space="preserve">FITT00000125007 </t>
  </si>
  <si>
    <t xml:space="preserve">clientul trebuie provizionat pe Slot/Port 5/11, insa in autofind CPE-ul este descoperit pe Slot/Port  5/12
5/12.
</t>
  </si>
  <si>
    <t>Spliterul optic era sudat in DP24 pe spl3. L-am mutat pe SPL2 P1. Semnal in parametri, ONT-ul echipei de test este defect.</t>
  </si>
  <si>
    <t>CL0276FAN1ODB1239</t>
  </si>
  <si>
    <t xml:space="preserve">FITT00000124988 </t>
  </si>
  <si>
    <t>Fir rupt de viespi in ODB1238</t>
  </si>
  <si>
    <t>CR0077FAN1ODB1318</t>
  </si>
  <si>
    <t xml:space="preserve">FITT00000125016 </t>
  </si>
  <si>
    <t>Fibra smulsa din ODB1318. Refacut ODB</t>
  </si>
  <si>
    <t>CL0066FAN2ODB22013</t>
  </si>
  <si>
    <t>FITT00000125140</t>
  </si>
  <si>
    <t>Cablu fo24 rupt de fima de constructii pentru sapaturi apa.</t>
  </si>
  <si>
    <t>S-a inlocuit tubul rupt la sapatura, s-a inlocuit 80m fo24,refacut osc si sudat odb22012 + executat 1 jonct noua.</t>
  </si>
  <si>
    <t>OLT1-CL0217 / Slot : 2 PON2/8, PON2/9, PON2/12, PON2/13</t>
  </si>
  <si>
    <t>FITT00000125118</t>
  </si>
  <si>
    <t>Comun cu IMO000000288720</t>
  </si>
  <si>
    <t>BE0409 - Matau BE0451 / BE0039 - BE0040 / BE0081 - BE0343 / + NEC BE0700 - BE0451</t>
  </si>
  <si>
    <t>IMO000000288768</t>
  </si>
  <si>
    <t>Mihaesti</t>
  </si>
  <si>
    <t>stalp rupt de agabaritic</t>
  </si>
  <si>
    <t>300m FO24  + 2 OSC pe backbone. 100m FO24 si un OSC pe FTTH</t>
  </si>
  <si>
    <t>BR0024 - BR0023</t>
  </si>
  <si>
    <t>IMO000000288760</t>
  </si>
  <si>
    <t>Solutie provizorie - atenuari</t>
  </si>
  <si>
    <t>agabritic</t>
  </si>
  <si>
    <t>400m FO24 si 2 OSC-uri</t>
  </si>
  <si>
    <t>TI0049FAN1ODB1208</t>
  </si>
  <si>
    <t>FITT00000125188</t>
  </si>
  <si>
    <t>bufffere roase de furnici in ODB1208</t>
  </si>
  <si>
    <t>s-a refacut bufferul</t>
  </si>
  <si>
    <t>TI0337FAN1ODB4205</t>
  </si>
  <si>
    <t>FITT00000125181</t>
  </si>
  <si>
    <t>fir ros de viespi in ODB</t>
  </si>
  <si>
    <t>TI0337FAN1ODB13214</t>
  </si>
  <si>
    <t>FITT00000125170</t>
  </si>
  <si>
    <t>Vladimir+Iulian</t>
  </si>
  <si>
    <t>SPL1 din ODB13214 fara semnal, SPL2 este full si semnal in parametrii.</t>
  </si>
  <si>
    <t>Fo rupt in dp si sudura cu atenuare in OSC100. S-au refacut sudurile in cele 2 locuri. Semnal OK.</t>
  </si>
  <si>
    <t>CL0704FAN1ODB12424</t>
  </si>
  <si>
    <t>FITT00000125164</t>
  </si>
  <si>
    <t>Florin zubasco</t>
  </si>
  <si>
    <t>Agabaritic,traverssre drum,tras rezerva si refacut lipituri in odb12423</t>
  </si>
  <si>
    <t>olt1-br0391</t>
  </si>
  <si>
    <t>FITT00000125123</t>
  </si>
  <si>
    <t>intrare in SPL de nivel 1 rupta</t>
  </si>
  <si>
    <t>BE2980FAN1ODB15</t>
  </si>
  <si>
    <t>FITT00000125169</t>
  </si>
  <si>
    <t>Cablu agatat de agabaritic agricol</t>
  </si>
  <si>
    <t>necunoscut - agabaritic agricol</t>
  </si>
  <si>
    <t>Fibra rupta de utilaj agricol.S-au instlat 180 m FO 24 si 2 jonctiuni noi.</t>
  </si>
  <si>
    <t>WDM CL0217 - MARGHITA_1 (CL0124)</t>
  </si>
  <si>
    <t>IMO000000288720</t>
  </si>
  <si>
    <t xml:space="preserve">Solutie provizorie-necesar relocare relocare </t>
  </si>
  <si>
    <t>Cablu  nou relocat agatat de catre constructor in urma unor forari</t>
  </si>
  <si>
    <t xml:space="preserve">Constructor autostrada </t>
  </si>
  <si>
    <t>S-a instalat 48FO de lungime 100m si doua jonctiuni</t>
  </si>
  <si>
    <t>Exista lucrare de relocare asignata catre Telproiect</t>
  </si>
  <si>
    <t>Lipsa acces in santier</t>
  </si>
  <si>
    <t>OLT1-BE0040 / Slot : 7 / PON7/16</t>
  </si>
  <si>
    <t>FITT00000125402</t>
  </si>
  <si>
    <t>Fibra mancata de viespi</t>
  </si>
  <si>
    <t>Fibra mancata de viespi. S-a refacut ODB 126.</t>
  </si>
  <si>
    <t>BE0040FAN2ODB59</t>
  </si>
  <si>
    <t>FITT00000125500</t>
  </si>
  <si>
    <t>Fibra rupta in TB.</t>
  </si>
  <si>
    <t>Fibra rupta in TB. S-a identificat si s-a resudat fibra afectata.</t>
  </si>
  <si>
    <t>CR0257FAN2ODB353</t>
  </si>
  <si>
    <t>FITT00000125499</t>
  </si>
  <si>
    <t>Fibra rupta in ODB.S-a identificat si s-a resudat fibra afectata</t>
  </si>
  <si>
    <t>BR0391 - BR30354</t>
  </si>
  <si>
    <t>IMO000000289044</t>
  </si>
  <si>
    <t xml:space="preserve">Fir rupt in jonctiune </t>
  </si>
  <si>
    <t>S-a identificat si s-a resudat fibra afectatat</t>
  </si>
  <si>
    <t>TI0258FAN2ODB2128</t>
  </si>
  <si>
    <t>FITT00000125622</t>
  </si>
  <si>
    <t>S-a curatat ODB si resudat fibrele afectate</t>
  </si>
  <si>
    <t>CL0719FAN1ODB1319</t>
  </si>
  <si>
    <t>FITT00000125630</t>
  </si>
  <si>
    <t>Fibra inversata si afectata de insecte .</t>
  </si>
  <si>
    <t>Fibra inversata si afectata de insecte . S-a identificat si s-a resudat fibra afectata</t>
  </si>
  <si>
    <t>TI0337FAN1ODB13226</t>
  </si>
  <si>
    <t>FITT00000125631</t>
  </si>
  <si>
    <t>Fibra rupta in ODB ,</t>
  </si>
  <si>
    <t xml:space="preserve"> S-a identificat si s-a refacut ODB.</t>
  </si>
  <si>
    <t>TI0337FAN1ODB13227</t>
  </si>
  <si>
    <t>FITT00000125638</t>
  </si>
  <si>
    <t xml:space="preserve">Fibra atenuata in canalizare. </t>
  </si>
  <si>
    <t>S-a identificat si s-a resudat fibra afectata</t>
  </si>
  <si>
    <t>CL0373FAN1ODB1316</t>
  </si>
  <si>
    <t>FITT00000125639</t>
  </si>
  <si>
    <t xml:space="preserve">Fir rupt in OSC  </t>
  </si>
  <si>
    <t>a necesitat si refacere de OSC deoarece mansonul nu era fixat de OSC si cablul fo.
ODB-ul are semnal si parametri, iar clientul este UP.</t>
  </si>
  <si>
    <t>47° 4'8.99"N  24°29'27.99"E</t>
  </si>
  <si>
    <t xml:space="preserve">BE0422 BE0782 </t>
  </si>
  <si>
    <t>IMO000000289206</t>
  </si>
  <si>
    <t>S-a indentificat incidentul la cota  45.413737, 25.178718  https://maps.app.goo.gl/wLYK8JtcCRQjUnp88 de la furtuna cablul fo a fost fortat si smuls din armorod si cateva barcute</t>
  </si>
  <si>
    <t>meteo</t>
  </si>
  <si>
    <t>S-a instalat un OSC nou, s-au sudat firele si a fost repozitionat cablul fo pe stalpii de medie.</t>
  </si>
  <si>
    <t>45.413737, 25.178718</t>
  </si>
  <si>
    <t>OLT1-CR0077 / Slot : 4 PON4/1, PON4/13</t>
  </si>
  <si>
    <t>FITT00000125720</t>
  </si>
  <si>
    <t>Cablu fo24 rupt la cota 44,605799 22,781211.</t>
  </si>
  <si>
    <t>S-a eliberat cablu fo rezerva si s-a conectat in ODB12511, apoi s-au refacut sudurile. Toti clientii din porturile OLT1-CR0077 / Slot : 4 PON4/0, 4 PON4/1, PON4/13 s-au ridicat in intervalul 17:37 - 18:15.</t>
  </si>
  <si>
    <t>44,605799 22,781211</t>
  </si>
  <si>
    <t>CR0175FAN1ODB401</t>
  </si>
  <si>
    <t>FITT00000125727</t>
  </si>
  <si>
    <t>Marius Tene, Lazar Mihai Valentin</t>
  </si>
  <si>
    <t>Masuratoare din ODB401, incident la 280m in ODB402. Viespile au rupt firul cu semnal spre ODB401.</t>
  </si>
  <si>
    <t>S-a refacut sudura si semnalul este in parametrii, dar s-a ridicat doar 1 din cei 3 clienti din ODB (porturile au semnal).</t>
  </si>
  <si>
    <t>CR0077FAN1ODB12513</t>
  </si>
  <si>
    <t>FITT00000125735</t>
  </si>
  <si>
    <t>comun cu FITT00000125720</t>
  </si>
  <si>
    <t>BR0484 Victoriei - BR0789 Sambata de SUS</t>
  </si>
  <si>
    <t>IMO000000289337</t>
  </si>
  <si>
    <t>Ilie Gabriel, Matei Sorin</t>
  </si>
  <si>
    <t>S-a indentificat problema la 295m de site BR0788 la cota 45,80791 24,82126, iar problema este o sudura fo sparta din motive necunoscute.</t>
  </si>
  <si>
    <t>S-a refacut sudura, si link-ul s-a ridicat.</t>
  </si>
  <si>
    <t>45,80791 24,82126</t>
  </si>
  <si>
    <t>CR0077FAN1ODB12514</t>
  </si>
  <si>
    <t>FITT00000125842</t>
  </si>
  <si>
    <t>CR2950FAN5ODB9</t>
  </si>
  <si>
    <t>FITT00000125850</t>
  </si>
  <si>
    <t>Sudura sparta in PD10.</t>
  </si>
  <si>
    <t>S-a refacut sudura, semnal in parametrii.</t>
  </si>
  <si>
    <t>BE0040FAN2ODB56</t>
  </si>
  <si>
    <t>FITT00000125851</t>
  </si>
  <si>
    <t>ODB fara semnal.</t>
  </si>
  <si>
    <t>Fir semnal rupt in ODB. S-a refacut sudura, semnal in parametrii.</t>
  </si>
  <si>
    <t>Poieni (CL0781) - Oradea (CL0229) // CL0005 - CL0448 +SDH</t>
  </si>
  <si>
    <t>IMO000000289373</t>
  </si>
  <si>
    <t>Solutie provizorie - atenuare suplimentara la GTS, receptiea din Poieni</t>
  </si>
  <si>
    <t xml:space="preserve">Cablu afectat in urma lucrarilor la calea ferata </t>
  </si>
  <si>
    <t>Constructor cale ferata</t>
  </si>
  <si>
    <t>S-a instalat bucata de cablu si doua jonctiuni</t>
  </si>
  <si>
    <t>WDM TI0074 - TI0183</t>
  </si>
  <si>
    <t>IMO000000289400</t>
  </si>
  <si>
    <t>Traseu Oroc, fara interventie</t>
  </si>
  <si>
    <t>BR0333FAN3ODB400</t>
  </si>
  <si>
    <t>FITT00000125973</t>
  </si>
  <si>
    <t>S-a inlocuit ODB-ul in cauza</t>
  </si>
  <si>
    <t>CL0079 - CL0263</t>
  </si>
  <si>
    <t>IMO000000289465</t>
  </si>
  <si>
    <t>Fibra afectata in 3 locuri in urma sapaturilor la drum</t>
  </si>
  <si>
    <t>Costructor drum Bobalna</t>
  </si>
  <si>
    <t>instalat 120m fo, 4 jonctiuni, 4 camerete</t>
  </si>
  <si>
    <t>CR0410FAN1ODB11121</t>
  </si>
  <si>
    <t>FITT00000126046</t>
  </si>
  <si>
    <t>Fir rupt in OSC 11 INTERMEDIAR</t>
  </si>
  <si>
    <t>Resudat fibra in OSC</t>
  </si>
  <si>
    <t>CR0372 - CR0093</t>
  </si>
  <si>
    <t>IMO000000289487</t>
  </si>
  <si>
    <t>Solutie finala-Atenuare suplim - lucrare programata</t>
  </si>
  <si>
    <t>Receptia din CR0372</t>
  </si>
  <si>
    <t>S-a curatat si inlocuit patch optic in Orlesti( tranzit Orange-exOROC)</t>
  </si>
  <si>
    <t>Exista SW de inlocuire ODF</t>
  </si>
  <si>
    <t>CR0448FAN1ODB2204</t>
  </si>
  <si>
    <t>FITT00000125999</t>
  </si>
  <si>
    <t xml:space="preserve">Fir rupt in OSC51. </t>
  </si>
  <si>
    <t>Resudat, valori ok la ODB</t>
  </si>
  <si>
    <t>TI0030FAN1ODB1813</t>
  </si>
  <si>
    <t>FITT00000126545</t>
  </si>
  <si>
    <t>Semnat atenuat in ODB</t>
  </si>
  <si>
    <t>Cineva a instalat un spliter 1/4 pe una din iesirile din ODB</t>
  </si>
  <si>
    <t>CR2950FAN2ODB382 - TB4</t>
  </si>
  <si>
    <t>FITT00000126492</t>
  </si>
  <si>
    <t>Cablu rupt intre TB2 si TB4</t>
  </si>
  <si>
    <t>S-a refact infrastructura intre TB-uri</t>
  </si>
  <si>
    <t xml:space="preserve"> TI0257FAN2ODB21412</t>
  </si>
  <si>
    <t>FITT00000126553</t>
  </si>
  <si>
    <t>Lipsa semnal la ODB. Cablu afectat la 150m de ODB</t>
  </si>
  <si>
    <t>S-a refacut sudura in ODB intermediar</t>
  </si>
  <si>
    <t>CL0522FAN1ODB5603</t>
  </si>
  <si>
    <t>FITT00000126591</t>
  </si>
  <si>
    <t>Instalat 120m fo intre DP56 si ODB5603. Valori ok la ODB.</t>
  </si>
  <si>
    <t>CR0168FAN1ODB1622</t>
  </si>
  <si>
    <t>FITT00000126618</t>
  </si>
  <si>
    <t>Fir rupt in ODB de insecte. .</t>
  </si>
  <si>
    <t>TI0004FAN1ODB11715</t>
  </si>
  <si>
    <t>FITT00000126588</t>
  </si>
  <si>
    <t xml:space="preserve">Viespe in ODB, fire rupte. </t>
  </si>
  <si>
    <t>Resudat, valori ok in ODB</t>
  </si>
  <si>
    <t>CR0344FAN2ODB1201</t>
  </si>
  <si>
    <t>FITT00000126639</t>
  </si>
  <si>
    <t>FO care alimenteaza TB-urile taiata la ET1 si ET2. Inlocuit FO si refacut suduri</t>
  </si>
  <si>
    <t>CR0410FAN1ODB11131</t>
  </si>
  <si>
    <t>FITT00000126647</t>
  </si>
  <si>
    <t xml:space="preserve">Fir rupt in ODB de viespe. </t>
  </si>
  <si>
    <t>Curatat si resudat.</t>
  </si>
  <si>
    <t>TI0339FAN1ODB201</t>
  </si>
  <si>
    <t>FITT00000126659</t>
  </si>
  <si>
    <t xml:space="preserve">Fir rupt in ODB, lucrari necorespunzatoare. </t>
  </si>
  <si>
    <t>OLT1-CR2993 / Slot : 7
PON7/9, PON7/10</t>
  </si>
  <si>
    <t>FITT00000126689</t>
  </si>
  <si>
    <t>Fibra agatata si rupta in armorod.</t>
  </si>
  <si>
    <t xml:space="preserve"> Instalat 150m fo, 2 jonctiuni si resudat in ODB existent. porturile sunt up</t>
  </si>
  <si>
    <t>TI0337FAN1ODB13221</t>
  </si>
  <si>
    <t>FITT00000126683</t>
  </si>
  <si>
    <t xml:space="preserve">Patch defect intre EDFA si ODF. </t>
  </si>
  <si>
    <t>S-a inlocuit, valori ok la ODB (si pe tot portul, tot era atenuat)</t>
  </si>
  <si>
    <t>LOS RRU site CL2076, RRU-B1B3-O-S1-D1 , RRU-B8B20-O-S1-D1</t>
  </si>
  <si>
    <t>IMO000000289789</t>
  </si>
  <si>
    <t>Claudiu Glodan + Giurgiuman</t>
  </si>
  <si>
    <t>fibra agatata de agabaritic si atenuata puternic</t>
  </si>
  <si>
    <t>instalat 200m, sudat in CT si instalat 1 osc nou</t>
  </si>
  <si>
    <t>CR0003 - CR0607</t>
  </si>
  <si>
    <t>IMO000000289892</t>
  </si>
  <si>
    <t>Fir rupt in ODF in site CR0003</t>
  </si>
  <si>
    <t>Refacut sudura fir</t>
  </si>
  <si>
    <t>Loss of signal WDM TI2954 - TI0187 / TI0187 - TI0337</t>
  </si>
  <si>
    <t>IMO000000289927</t>
  </si>
  <si>
    <t>Fibra ruptain sapatura la constructia unui drum.</t>
  </si>
  <si>
    <t>instalat 2 OSC-uri si 500 m FO24</t>
  </si>
  <si>
    <t>TI0224FAN1ODB1504</t>
  </si>
  <si>
    <t xml:space="preserve">FITT00000126863 </t>
  </si>
  <si>
    <t>Fibra rupta in ODB 1507. Refacut suduri</t>
  </si>
  <si>
    <t>Loss of signal WDM Baia Mare CL0051 - CL0067 / CL0051 - CL2141</t>
  </si>
  <si>
    <t>IMO000000290007</t>
  </si>
  <si>
    <t>l</t>
  </si>
  <si>
    <t xml:space="preserve"> Lucrări pod bd Unirii. Agățat canalizația și cutat cablul</t>
  </si>
  <si>
    <t>Eliberat rezerva si instalat OSC nou</t>
  </si>
  <si>
    <t>Loss of signal WDM BR0567 - BR0118 / BR0567 - BR0002 / Joseni_BR0902 - M_Ciuc_BR0034  / iPASO BR0002 - BR0567</t>
  </si>
  <si>
    <t>IMO000000290011</t>
  </si>
  <si>
    <t xml:space="preserve">Florin Oltean/Adler </t>
  </si>
  <si>
    <t>Cabluri rupte de agabaritic</t>
  </si>
  <si>
    <t>Necunoscut- agabaritic</t>
  </si>
  <si>
    <t>Instalat cablu 96FO 300m si doua jonctiuni</t>
  </si>
  <si>
    <t xml:space="preserve"> OLT1-BR0567 / Slot : 1 PON1/11, PON1/12, PON1/13, PON1/14 + SLOT 2</t>
  </si>
  <si>
    <t xml:space="preserve">FITT00000126885 </t>
  </si>
  <si>
    <t>Comun cu IMO000000290011</t>
  </si>
  <si>
    <t>CR0011FAN1ODB11052</t>
  </si>
  <si>
    <t xml:space="preserve">FITT00000126652 </t>
  </si>
  <si>
    <t>Extinderea de retea ce tine CR0011FAN1ODB11051 si CR0011FAN1ODB11052 a fost documentata gresit ca catre constructor. Cele doua ODB-uri au fost cablate din DP13 SPL2 ce corespunde portului 2/12. Se va face modificarea in NICM si CROSS. Multumesc</t>
  </si>
  <si>
    <t>Loss of signal MPR in Maramures CL0627 - CL0102</t>
  </si>
  <si>
    <t>IMO000000290013</t>
  </si>
  <si>
    <t>Taieri de vegetatie, cablu 48 taiat</t>
  </si>
  <si>
    <t>Eliberat rezerva si refacut jonctiune bifurcare</t>
  </si>
  <si>
    <t>CL0445FAN4ODB183</t>
  </si>
  <si>
    <t>FITT00000126911</t>
  </si>
  <si>
    <t>Fibra rupta intre DP si ODB</t>
  </si>
  <si>
    <t>Instalat 100 m FO12 intre DP si ODB</t>
  </si>
  <si>
    <t>BE0655FAN1ODB236</t>
  </si>
  <si>
    <t xml:space="preserve">FITT00000126909 </t>
  </si>
  <si>
    <t>Fir rupt in ODB. Refacut ODB.</t>
  </si>
  <si>
    <t>CL0781FAN1ODB19</t>
  </si>
  <si>
    <t xml:space="preserve">FITT00000126925 </t>
  </si>
  <si>
    <t>Fir rupt in ODB-ul reclamat</t>
  </si>
  <si>
    <t>S-a resudat firul in ODB</t>
  </si>
  <si>
    <t>OLT1-BE0166 / Slot : 2 / PON2/13</t>
  </si>
  <si>
    <t xml:space="preserve">FITT00000127023 </t>
  </si>
  <si>
    <t>Pietrosani</t>
  </si>
  <si>
    <t>Fir rupt in ODB. Refacut ODB27</t>
  </si>
  <si>
    <t>CL0298 - CL0965</t>
  </si>
  <si>
    <t>IMO000000290333</t>
  </si>
  <si>
    <t xml:space="preserve">Fibra rupta  </t>
  </si>
  <si>
    <t>CR0372FAN1ODB0202</t>
  </si>
  <si>
    <t xml:space="preserve">FITT00000127083 </t>
  </si>
  <si>
    <t xml:space="preserve"> CR0448 - CR0756</t>
  </si>
  <si>
    <t>IMO000000290310</t>
  </si>
  <si>
    <t>Marius Tene + echipa civile Vlad Maftei</t>
  </si>
  <si>
    <t>fo rupta</t>
  </si>
  <si>
    <t>instalat 200m si 2 osc</t>
  </si>
  <si>
    <t>active alarm:
722605;	The trunk fiber or branch fiber is broken.;	ZTE;	olt1-br0567,RACK=1,SHELF=1,SLOT=1,PORT=16;	 occurence_time=2026/06/12 12:13:17;	 clearance_time=;	 severity=Minor
722605;	The trunk fiber or branch fiber is broken.;	ZTE;	olt1-br0567,RACK=1,SHELF=1,SLOT=2,PORT=9;	 occurence_time=2026/06/12 12:13:16;	 clearance_time=;	 severity=Minor</t>
  </si>
  <si>
    <t>FITT00000127079</t>
  </si>
  <si>
    <t>CR2950FAN2ODB45</t>
  </si>
  <si>
    <t>FITT00000127082</t>
  </si>
  <si>
    <t xml:space="preserve">TI0338FAN1ODB19913 </t>
  </si>
  <si>
    <t>FITT00000127110</t>
  </si>
  <si>
    <t>ODB plin de noroi.</t>
  </si>
  <si>
    <t xml:space="preserve"> S-a inlocuit ODB.</t>
  </si>
  <si>
    <t>TI0224FAN1ODB186</t>
  </si>
  <si>
    <t>FITT00000127113</t>
  </si>
  <si>
    <t xml:space="preserve">Fibra rupta in sapatura in zona rezidentiala privata. </t>
  </si>
  <si>
    <t>Cu acordul proprietarilor am instalat 70m fo, 1 tb nou si o camereta. Valori ok la TB-uri.</t>
  </si>
  <si>
    <t>CL21616  - CL0233</t>
  </si>
  <si>
    <t>IMO000000290401</t>
  </si>
  <si>
    <t>S-a inlocuit pach-urile in shelter D2 si a refacut sudurile in ODF</t>
  </si>
  <si>
    <t xml:space="preserve">CL0916 – CL0374 </t>
  </si>
  <si>
    <t>IMO000000290383</t>
  </si>
  <si>
    <t xml:space="preserve">Fibra rupta pe tronson Direct One </t>
  </si>
  <si>
    <t>TI1728 - TI1069</t>
  </si>
  <si>
    <t>IMO000000290432</t>
  </si>
  <si>
    <t xml:space="preserve">Ionut  Pascau </t>
  </si>
  <si>
    <t>Circuitul s-a ridicat cind echipa era pe drum</t>
  </si>
  <si>
    <t>CR2950FAN2ODB46</t>
  </si>
  <si>
    <t>FITT00000127104</t>
  </si>
  <si>
    <t xml:space="preserve">Fir rupt pe iesire din SPL IN DP </t>
  </si>
  <si>
    <t>TI0027FAN1ODB105</t>
  </si>
  <si>
    <t>FITT00000127174</t>
  </si>
  <si>
    <t>Albine in ODB intermediar la 400m</t>
  </si>
  <si>
    <t>curatat si refacut suduri</t>
  </si>
  <si>
    <t>Loss of signal  CL0569 – CL0028 ; CL0313 – CL0028</t>
  </si>
  <si>
    <t>IMO000000290530</t>
  </si>
  <si>
    <t>traseu OROC distrus pe subteran</t>
  </si>
  <si>
    <t>Constructor sens giratoriu Zimbor</t>
  </si>
  <si>
    <t>CR0214FAN2ODB22226</t>
  </si>
  <si>
    <t>FITT00000127193</t>
  </si>
  <si>
    <t>CL0581FAN1ODB1313</t>
  </si>
  <si>
    <t xml:space="preserve">FITT00000127216 </t>
  </si>
  <si>
    <t>Buffer rupt de viespe in ODB1313</t>
  </si>
  <si>
    <t>Albine</t>
  </si>
  <si>
    <t>Resudat in ODB1313</t>
  </si>
  <si>
    <t>CL0704FAN2ODB21741</t>
  </si>
  <si>
    <t>FITT00000127215</t>
  </si>
  <si>
    <t>spliter rupt in odb, dp cazut de pe stalp.</t>
  </si>
  <si>
    <t>Inlocuit spliter in odb, repozitionat dp. valori ok la odb</t>
  </si>
  <si>
    <t>TI0258FAN3ODB3219</t>
  </si>
  <si>
    <t>FITT00000127298</t>
  </si>
  <si>
    <t xml:space="preserve">Fibra agatata de agabaritic si smulsa din ODB. </t>
  </si>
  <si>
    <t>CR0289FAN1ODB1329</t>
  </si>
  <si>
    <t>FITT00000127312</t>
  </si>
  <si>
    <t>Adi Cutui + Denis Pirciu</t>
  </si>
  <si>
    <t>Fir rupt de viespe in ODB1328.</t>
  </si>
  <si>
    <t>Resudat, client up</t>
  </si>
  <si>
    <t>CL2967FAN2ODB608</t>
  </si>
  <si>
    <t>FITT00000127333</t>
  </si>
  <si>
    <t>Bufffer rupt in ODB de viespe</t>
  </si>
  <si>
    <t>viespe</t>
  </si>
  <si>
    <t>Resudat buffer, valori ok in odb.</t>
  </si>
  <si>
    <t>CR0448FAN1ODB1816</t>
  </si>
  <si>
    <t>FITT00000127347</t>
  </si>
  <si>
    <t>out 8 rupt in spliter odb</t>
  </si>
  <si>
    <t>inlocuit pigtail</t>
  </si>
  <si>
    <t>CL0373FAN1ODB1921</t>
  </si>
  <si>
    <t>FITT00000127379</t>
  </si>
  <si>
    <t xml:space="preserve">Fibra rupta in ODB de insecte. </t>
  </si>
  <si>
    <t>Resudat fibra, valori ok la ODB</t>
  </si>
  <si>
    <t>TI0445FAN2ODB5201</t>
  </si>
  <si>
    <t>FITT00000127337</t>
  </si>
  <si>
    <t>odb cazut de pe stalp, spart</t>
  </si>
  <si>
    <t>inlocuit odb</t>
  </si>
  <si>
    <t xml:space="preserve">VDF  CL0455 - CL0149 </t>
  </si>
  <si>
    <t>IMO000000290912</t>
  </si>
  <si>
    <t>Circuit VDF atenuat</t>
  </si>
  <si>
    <t>Cablu afectat in camereta.Refacut suduri in doua jonctiuni</t>
  </si>
  <si>
    <t>Loss of signal WDM BR0322 - BR0424   + SDH</t>
  </si>
  <si>
    <t>IMO000000290994</t>
  </si>
  <si>
    <t>Copaci</t>
  </si>
  <si>
    <t>Serbastian&amp;Iulian&amp;Serban</t>
  </si>
  <si>
    <t>Mario Zamosteanu</t>
  </si>
  <si>
    <t>Adler -Ionut</t>
  </si>
  <si>
    <t>Atenuare la 10.6km de BR0424</t>
  </si>
  <si>
    <t>Posibil dubla atnuarea - circuitul sa ridicat cand sa refacut sudura in OSC,Azi echipa Proconect a intervenit pe site si a aranjat rezerva  patch -uri de la ODF si se pare ca atenuarea nu mai este prezenta.</t>
  </si>
  <si>
    <t>BE0327FAN4ODB1060</t>
  </si>
  <si>
    <t>FITT00000127345</t>
  </si>
  <si>
    <t>Fibra rupta pe fatada blocului</t>
  </si>
  <si>
    <t>Bloc in renovare</t>
  </si>
  <si>
    <t>Tras din rez si refacut ODB</t>
  </si>
  <si>
    <t>CR0257FAN2ODB393</t>
  </si>
  <si>
    <t>FITT00000127383</t>
  </si>
  <si>
    <t>Fir rupt in OSC intermediar la 1.5km de DP</t>
  </si>
  <si>
    <t>Loss of signal WDM BAIA_MARE_1 (CL0051)  - CL2113</t>
  </si>
  <si>
    <t>IMO000000291003</t>
  </si>
  <si>
    <t>Cablu rupt la săpături reabilitare drum</t>
  </si>
  <si>
    <t>Tras rezerva și executat o joncțiune nouă</t>
  </si>
  <si>
    <t>Loss of signal WDM Timisoara (TI0445) - LUGOJ_1 (TI0543) / TI0078 -  LUGOJ_1 (TI0543) / TI2997 - LUGOJ_1 (TI0543) / Caransebes (TI0781) - LUGOJ_1 (TI0543) + SDH</t>
  </si>
  <si>
    <t>IMO000000291062</t>
  </si>
  <si>
    <t>cablu rupt in sapatura de Apa - Canal</t>
  </si>
  <si>
    <t>Apa - Canal</t>
  </si>
  <si>
    <t>Reclamatie \\ Loss of signal  CR0360_PSS8_1/SFD-1-2-OMD-CR2993_PSS8_1/SFD-1-2-OMD</t>
  </si>
  <si>
    <t>IMO000000291106</t>
  </si>
  <si>
    <t>Marius Cinca, Popa Andrei Virgil</t>
  </si>
  <si>
    <t>Problema indentificata in camerata la cota 43.877222, 24.143611, camereta a fost descoperita, iar OSC-ul a fost avariat.</t>
  </si>
  <si>
    <t>S-a refacut OSC-ul si sudurile din el.</t>
  </si>
  <si>
    <t>43.877222, 24.143611</t>
  </si>
  <si>
    <t>CR0056FAN1ODB11012</t>
  </si>
  <si>
    <t>FITT00000127887</t>
  </si>
  <si>
    <t>ODB-uri fara semnal ODB11012, ODB11014. Port OLT PON2/3 down.</t>
  </si>
  <si>
    <t>Sudura fir 37 din DP2 spart probabil de la insecte (furnici cu aripi). S-a resudat firul, iar portul si clientii sunt UP.</t>
  </si>
  <si>
    <t>44°59'50.28"N	 22°48'41.11"E</t>
  </si>
  <si>
    <t>WDM CL0030 &lt;&gt; CL0107</t>
  </si>
  <si>
    <t>IMO000000291163</t>
  </si>
  <si>
    <t>Echipa a indentificat problema la coordonatele 47.922100, 23.396700 https://maps.app.goo.gl/Cz4qWGuUCuEHGeM87, cablul a fost agatat de un utilaj.</t>
  </si>
  <si>
    <t>S-a remediat prin eliberare rezerva fo si instalare si sudare in OSC.</t>
  </si>
  <si>
    <t>47.922100, 23.396700</t>
  </si>
  <si>
    <t>BR0781FAN1ODB436</t>
  </si>
  <si>
    <t>FITT00000127527</t>
  </si>
  <si>
    <t>NTG Sibiu -Mario Zeta</t>
  </si>
  <si>
    <t xml:space="preserve">Fibra rupta in urma unor lucrari la bloc </t>
  </si>
  <si>
    <t>S-a tras din rezerva si s-a refacut ODB.</t>
  </si>
  <si>
    <t>CR0257FAN2ODB390</t>
  </si>
  <si>
    <t>FITT00000127895</t>
  </si>
  <si>
    <t>Marius Tene, Lazar Mihai</t>
  </si>
  <si>
    <t>ODB fara semnal, si fara alti abonati. Fir rupt in DP44.</t>
  </si>
  <si>
    <t>S-a refacut sudara in DP44.</t>
  </si>
  <si>
    <t>44.116500, 24.351694</t>
  </si>
  <si>
    <t>BR2995FAN1ODB1601</t>
  </si>
  <si>
    <t>FITT00000127894</t>
  </si>
  <si>
    <t>ODB fara semnal. Sudura sparta in DP16.</t>
  </si>
  <si>
    <t>S-a refacut sudura, s-a ridicat clientul instalat in ODB1601.</t>
  </si>
  <si>
    <t>46.267333, 25.272278</t>
  </si>
  <si>
    <t>CR0003FAN1ODB58</t>
  </si>
  <si>
    <t xml:space="preserve">FITT00000127909 </t>
  </si>
  <si>
    <t>ODB58 si ODB60 fara semnal. Insectele au ros bufferul de fo din ODB60.</t>
  </si>
  <si>
    <t>Dupa evacuare insect, s-au refacut sudurile in ODB. Semnal ok, iar clientii sunt online.</t>
  </si>
  <si>
    <t>CR0187FAN1ODB303</t>
  </si>
  <si>
    <t>FITT00000127911</t>
  </si>
  <si>
    <t>Buffer rupt de viespi in ODB303.</t>
  </si>
  <si>
    <t>S-au resudat firele din ODB303. Semnal in parametrii.</t>
  </si>
  <si>
    <t>CR0056FAN1ODB11014</t>
  </si>
  <si>
    <t>FITT00000127917</t>
  </si>
  <si>
    <t xml:space="preserve"> comun cu FITT00000127887 ODB-uri fara semnal ODB11012, ODB11014. Port OLT PON2/3 down.</t>
  </si>
  <si>
    <t>BE0817FAN1ODB125</t>
  </si>
  <si>
    <t>FITT00000127933</t>
  </si>
  <si>
    <t>ODB invadat de furnici, nu s-a indentificat de unde este atenuarea.</t>
  </si>
  <si>
    <t>S-a eliberat de insecte, s-a inlocuit spliterul optic si problema a fost remediate. Clientul este UP, semnal in parametrii.</t>
  </si>
  <si>
    <t>OLT1-BR0326 / Slot : 1 / PON1/1 , OLT1-BR0326 / Slot : 1 / GFGH.1.PON.3</t>
  </si>
  <si>
    <t>FITT00000127938</t>
  </si>
  <si>
    <t>Oltean Florin /Vass</t>
  </si>
  <si>
    <t>Fibra rupta  din cauza vremii nefavorabile</t>
  </si>
  <si>
    <t xml:space="preserve"> copaci  cazuti pe fibra  .S-au instalat 200 m  de cablu FO24 si 2 jonctiuni.</t>
  </si>
  <si>
    <t>CL0450 - CL0449</t>
  </si>
  <si>
    <t>IMO000000291314</t>
  </si>
  <si>
    <t>In drum spre CL0450 la coordonatele 47,068825 21,925577 s-a descoperit ca OSC-ul J07E era cazut pe jos.</t>
  </si>
  <si>
    <t>S-au refacut sudurile rupte, s-a montat o cruce metalica (nu era inainte) si s-a repozitionat jonctiunea. Legatura este up de la 7:58 fara atenuare suplimentara.</t>
  </si>
  <si>
    <t>47,068825 21,925577</t>
  </si>
  <si>
    <r>
      <rPr>
        <sz val="12"/>
        <color rgb="FF000000"/>
        <rFont val="Aptos"/>
      </rPr>
      <t xml:space="preserve">BR0180 – FO – </t>
    </r>
    <r>
      <rPr>
        <sz val="12"/>
        <color rgb="FFFF0000"/>
        <rFont val="Aptos"/>
      </rPr>
      <t>BR0066</t>
    </r>
    <r>
      <rPr>
        <sz val="12"/>
        <color rgb="FF000000"/>
        <rFont val="Aptos"/>
      </rPr>
      <t xml:space="preserve"> – CWDM – BR0440- FO – BR0441</t>
    </r>
  </si>
  <si>
    <t>IMO000000291346</t>
  </si>
  <si>
    <t>SPLITTER DEFECT IN SITE</t>
  </si>
  <si>
    <t>DEF.ECHIP</t>
  </si>
  <si>
    <t>iNLOCUIT SPL IN SITE</t>
  </si>
  <si>
    <r>
      <rPr>
        <sz val="12"/>
        <color rgb="FF000000"/>
        <rFont val="Aptos"/>
      </rPr>
      <t xml:space="preserve">BR0034 - </t>
    </r>
    <r>
      <rPr>
        <sz val="12"/>
        <color rgb="FFFF0000"/>
        <rFont val="Aptos"/>
      </rPr>
      <t>BR0183</t>
    </r>
  </si>
  <si>
    <t xml:space="preserve"> IMO000000291534</t>
  </si>
  <si>
    <t xml:space="preserve">M,Ciuc </t>
  </si>
  <si>
    <t>Echipa Vasile Vultur</t>
  </si>
  <si>
    <t xml:space="preserve"> BR0433 - BR0024 </t>
  </si>
  <si>
    <t>IMO000000291464</t>
  </si>
  <si>
    <t xml:space="preserve">Solutie provizorie-atenuare </t>
  </si>
  <si>
    <t>Fibra rupta in armorod.</t>
  </si>
  <si>
    <t>Tras din rezerva si executat o jonctiune.</t>
  </si>
  <si>
    <t>CR0138FAN1ODB704</t>
  </si>
  <si>
    <t>FITT00000128098</t>
  </si>
  <si>
    <t>Fibra rupta ,</t>
  </si>
  <si>
    <t>Instalat o Jonctiune noua si ODB existent . S-a instalat 200m de FO24</t>
  </si>
  <si>
    <t>TI0076FAN1ODB1002</t>
  </si>
  <si>
    <t>FITT00000128107</t>
  </si>
  <si>
    <t>ERno</t>
  </si>
  <si>
    <t>S-a refacut ODB.ONT-urile up, nivel ok la odb</t>
  </si>
  <si>
    <t>CL0374FAN2ODB2134</t>
  </si>
  <si>
    <t>FITT00000128241</t>
  </si>
  <si>
    <t xml:space="preserve">Solutie provizorie- Lipsa cces in proprietate - s-a lasat cablu pe jos </t>
  </si>
  <si>
    <t>S-a tras din rezerva si s-a refacut o jonctiune .</t>
  </si>
  <si>
    <t>BR0781FAN2ODB683</t>
  </si>
  <si>
    <t>FITT00000128247</t>
  </si>
  <si>
    <t>Atenuare in OSC pe traseu</t>
  </si>
  <si>
    <t>refacut sudura in osc existent</t>
  </si>
  <si>
    <t>FITT00000128249</t>
  </si>
  <si>
    <t>Inlocuit odb cu unul nou ) si refacut lipituri.</t>
  </si>
  <si>
    <t>Loss of signal WDM Craiova ( CR0448 ) - CR0006 + SDH : Slatina (CR0253)-Craiova</t>
  </si>
  <si>
    <t>IMO000000291568</t>
  </si>
  <si>
    <t>Carciumaru</t>
  </si>
  <si>
    <t>Inlocuit tronson 150m intre 2 osc</t>
  </si>
  <si>
    <t>CR0413FAN1ODB1512</t>
  </si>
  <si>
    <t>FITT00000128284</t>
  </si>
  <si>
    <t>Cuib viespi in ODB</t>
  </si>
  <si>
    <t>BE2980FAN1ODB71</t>
  </si>
  <si>
    <t>FITT00000128308</t>
  </si>
  <si>
    <t>Fire rupte in ODB69 INTERMEDIAR</t>
  </si>
  <si>
    <t>TI0337FAN1ODB1709</t>
  </si>
  <si>
    <t>FITT00000128318</t>
  </si>
  <si>
    <t>SPL2 DEFECT IN ODB</t>
  </si>
  <si>
    <t xml:space="preserve">INLOCUIT SPL </t>
  </si>
  <si>
    <t>Reclamatie VDF, FO CUT  Valcea between Cr0103 - CR1993</t>
  </si>
  <si>
    <t>IMO000000291454</t>
  </si>
  <si>
    <t xml:space="preserve">Incident VDF </t>
  </si>
  <si>
    <t xml:space="preserve">Incident in tronson VDF </t>
  </si>
  <si>
    <t>TI0132FAN1ODB303</t>
  </si>
  <si>
    <t>FITT00000128324</t>
  </si>
  <si>
    <t>SPL CU PORTURI RUPTE</t>
  </si>
  <si>
    <t>IMO000000291679</t>
  </si>
  <si>
    <t>Cablu agatat si smuls din osc existent</t>
  </si>
  <si>
    <t>Refacut osc existent</t>
  </si>
  <si>
    <t>Loss of signal WDM CR0477 - CR0752</t>
  </si>
  <si>
    <t>IMO000000291686</t>
  </si>
  <si>
    <t>Fir rupt in OSC - afectare partiala</t>
  </si>
  <si>
    <t>Refacut fir in osc</t>
  </si>
  <si>
    <t xml:space="preserve">Loss of signal WDM Bihor ; CL0217 - CL0124 (MARGHITA) </t>
  </si>
  <si>
    <t>IMO000000291740</t>
  </si>
  <si>
    <t>Solutie provizorie- necesar lucrare de relocare</t>
  </si>
  <si>
    <t>Cablu afectat in subteran</t>
  </si>
  <si>
    <t>Incident reclamatie supervizare BR22467 - BR0720</t>
  </si>
  <si>
    <t>IMO000000291749</t>
  </si>
  <si>
    <t>solutie provizorie - camereta</t>
  </si>
  <si>
    <t>2x12</t>
  </si>
  <si>
    <t>doua cabluri FO 12 rupte in sapatura</t>
  </si>
  <si>
    <t>CR0413FAN1ODB1722</t>
  </si>
  <si>
    <t>FITT00000128365</t>
  </si>
  <si>
    <t xml:space="preserve">fir rupt in ODB </t>
  </si>
  <si>
    <t>FITT00000128378</t>
  </si>
  <si>
    <t>comun cu IMO000000291740</t>
  </si>
  <si>
    <t>CR0257FAN2ODB562</t>
  </si>
  <si>
    <t>FITT00000128379</t>
  </si>
  <si>
    <t>CL0548FAN1ODB11203</t>
  </si>
  <si>
    <t>FITT00000128401</t>
  </si>
  <si>
    <t>fir ros de insecte in ODB</t>
  </si>
  <si>
    <t>s-a resudat firul si curatat ODB-ul. Nu se poate etanseiza din cauza instalarii neconforme a cablurilor de last mile</t>
  </si>
  <si>
    <t>CL0567FAN1ODB12931</t>
  </si>
  <si>
    <t>FITT00000128391</t>
  </si>
  <si>
    <t>FO24 agatat de agabritic</t>
  </si>
  <si>
    <t>s-a eliberat rezerva si s-a instalat un OSC</t>
  </si>
  <si>
    <t>CL2985FAN1ODB1312</t>
  </si>
  <si>
    <t>FITT00000128472</t>
  </si>
  <si>
    <t>fire roase de furnici in OSC1000</t>
  </si>
  <si>
    <t>s-a refacut OSC1000</t>
  </si>
  <si>
    <t>CL2985FAN1ODB1313</t>
  </si>
  <si>
    <t>FITT00000128505</t>
  </si>
  <si>
    <t>reuturnat - generat de interventia la FITT00000128472</t>
  </si>
  <si>
    <t>CR2950FAN2ODB196</t>
  </si>
  <si>
    <t>FITT00000128475</t>
  </si>
  <si>
    <t>fir rupt in ODB195</t>
  </si>
  <si>
    <t>OLT1-CL0601 / Slot : 2 / PON2/14</t>
  </si>
  <si>
    <t>FITT00000128486</t>
  </si>
  <si>
    <t>SFP defect in OLT. S-a inlocuit cu un SFP de pe un port neutilizat (3/12)</t>
  </si>
  <si>
    <t>FITT00000128449</t>
  </si>
  <si>
    <t xml:space="preserve">CR0077FAN1ODB12311/CR0077FAN1ODB12332 </t>
  </si>
  <si>
    <t>FITT00000128477</t>
  </si>
  <si>
    <t>buffer stresat in ODB12311, fir rupt in ODB12332</t>
  </si>
  <si>
    <t>CR0130 - CR0439 / PESTRA (CR0782) - CR0130 / CR0130 - CR0021</t>
  </si>
  <si>
    <t>IMO000000291885</t>
  </si>
  <si>
    <t>Marius Cinca + Vali Lazar</t>
  </si>
  <si>
    <t>fibra rupta in proprietate CR0021  loc incident	44°06'43.9"N 24°58'31.6"E	langa CR0021</t>
  </si>
  <si>
    <t>S-a remediat prin instalarea a 150m cablu fo48 si 2buc osc-uri</t>
  </si>
  <si>
    <t>44°06'43.9"N 24°58'31.6"E</t>
  </si>
  <si>
    <t>lipsa acces CR0021 - proprietate privata</t>
  </si>
  <si>
    <t>TI0257FAN2ODB21116</t>
  </si>
  <si>
    <t>FITT00000128567</t>
  </si>
  <si>
    <t>fir rupt in ODB- posibil insecte</t>
  </si>
  <si>
    <t>FITT00000128550</t>
  </si>
  <si>
    <t>WDM Cluj_1(CL0400) - Dej_1(CL0079);CL0470 - CL0395</t>
  </si>
  <si>
    <t>IMO000000292149</t>
  </si>
  <si>
    <t>Bont</t>
  </si>
  <si>
    <t>Alin Borgovan/Sorin Zubasco (pentru stalp)</t>
  </si>
  <si>
    <t>24FO</t>
  </si>
  <si>
    <t>Cablu rupt din cauza unui stalp rupt</t>
  </si>
  <si>
    <t>furtuna</t>
  </si>
  <si>
    <t>S-a instalat bucata de cablu 24FO 100m si doua jonctiuni</t>
  </si>
  <si>
    <t>BR0021 - BR0163;- BR0158 - BR0541 ;BR0158 - BR0021; BR0541 - BR0021</t>
  </si>
  <si>
    <t>IMO000000292162</t>
  </si>
  <si>
    <t>Adler - Ionut</t>
  </si>
  <si>
    <t>fibra agatata si rupta</t>
  </si>
  <si>
    <t xml:space="preserve">CL0691FAN1ODB18 </t>
  </si>
  <si>
    <t>FITT00000128603</t>
  </si>
  <si>
    <t xml:space="preserve">Fibra rupta. </t>
  </si>
  <si>
    <t>Instalat 120m fo intre 2 jonctiuni existente.</t>
  </si>
  <si>
    <t>BR0265FAN1ODB64</t>
  </si>
  <si>
    <t>FITT00000128565</t>
  </si>
  <si>
    <t>18fo</t>
  </si>
  <si>
    <t>Fir cu semnal spliter spart in CJ1.</t>
  </si>
  <si>
    <t>S-a indentificat si refacut sudura. Spliterul are semnal, iar clientul din ODB64 reclamat este UP.</t>
  </si>
  <si>
    <t>TI0178 - TI0011</t>
  </si>
  <si>
    <t>IMO000000292254</t>
  </si>
  <si>
    <t>instalat 50m fo si 2 osc</t>
  </si>
  <si>
    <t>CR2950FAN3ODB325</t>
  </si>
  <si>
    <t>FITT00000128607</t>
  </si>
  <si>
    <t>fibra smulsa din odb</t>
  </si>
  <si>
    <t>resudat fibra</t>
  </si>
  <si>
    <t>TI0166FAN1ODB1416</t>
  </si>
  <si>
    <t>FITT00000128622</t>
  </si>
  <si>
    <t xml:space="preserve">Fibra rupta in ODB1411. </t>
  </si>
  <si>
    <t>BR0255 - BR0136 , BR0255 - BR0384</t>
  </si>
  <si>
    <t>IMO000000292250</t>
  </si>
  <si>
    <t>fibra afectata partial in sapatura</t>
  </si>
  <si>
    <t>eliberat rezerve si instalat 1 osc</t>
  </si>
  <si>
    <t>OLT1-CR0175 / Slot : 1
PON1/13, PON1/14, PON1/16</t>
  </si>
  <si>
    <t>FITT00000128659</t>
  </si>
  <si>
    <t xml:space="preserve">fire rupte de furnici in DP8. </t>
  </si>
  <si>
    <t>furnici</t>
  </si>
  <si>
    <t>Curatat si resudat, porturile sunt up</t>
  </si>
  <si>
    <t>TI0445FAN1ODB5914</t>
  </si>
  <si>
    <t>FITT00000128745</t>
  </si>
  <si>
    <t>Instalat 120m fo, o jonctiune noua si resudat in odb. clienti up, valori ok la odb</t>
  </si>
  <si>
    <t>CL2984FAN1ODB313</t>
  </si>
  <si>
    <t>FITT00000128752</t>
  </si>
  <si>
    <t xml:space="preserve">Fibra taiata la iesirea din bloc. </t>
  </si>
  <si>
    <t>instalat 70m fo si un tb pe fatada blocului. Valori ok la ODB.</t>
  </si>
  <si>
    <t>CR0056FAN1ODB11124</t>
  </si>
  <si>
    <t>FITT00000128753</t>
  </si>
  <si>
    <t xml:space="preserve">Buffer rupt in odb de viespe. </t>
  </si>
  <si>
    <t>curatat si resudat fibra. valori ok la odb</t>
  </si>
  <si>
    <t>BE0209FAN1ODB26</t>
  </si>
  <si>
    <t>FITT00000128759</t>
  </si>
  <si>
    <t xml:space="preserve">Fir rupt in ODB25. </t>
  </si>
  <si>
    <t>FITT00000128743</t>
  </si>
  <si>
    <t xml:space="preserve">ODB defect, se rupeau fire de fiecare data cand se lucra in el. </t>
  </si>
  <si>
    <t>S-a inlocuit ODB-ul, valori ok, clienti up.</t>
  </si>
  <si>
    <t>TI0258FAN3ODB32116</t>
  </si>
  <si>
    <t>FITT00000128774</t>
  </si>
  <si>
    <t xml:space="preserve">Fir rupt de viespe in ODB32115. </t>
  </si>
  <si>
    <t>resudat, valori ok in odb</t>
  </si>
  <si>
    <t>TI0445FAN1ODB5910</t>
  </si>
  <si>
    <t>FITT00000128760</t>
  </si>
  <si>
    <t>Comun cu FITT00000128745</t>
  </si>
  <si>
    <t>BR0516 - BR0433</t>
  </si>
  <si>
    <t>IMO000000292366</t>
  </si>
  <si>
    <t>Attila Koltze</t>
  </si>
  <si>
    <t>fibra afectata la 480m de BR0516</t>
  </si>
  <si>
    <t>Nu s-a reusit ajungerea in zona incidentului. S-a facut swap</t>
  </si>
  <si>
    <t>lipsa acces BR0516 - Tampa</t>
  </si>
  <si>
    <t>OLT1-BR0294</t>
  </si>
  <si>
    <t>FITT00000128841</t>
  </si>
  <si>
    <t>Comun cu IMO000000292366</t>
  </si>
  <si>
    <t>OLT1-BR0294 / Slot : 4 / PON4/0</t>
  </si>
  <si>
    <t>FITT00000128842</t>
  </si>
  <si>
    <t>OLT1-CL30615 / Slot : 1 / PON1/4</t>
  </si>
  <si>
    <t>FITT00000128854</t>
  </si>
  <si>
    <t>Pitaci Calin</t>
  </si>
  <si>
    <t>Pitaci Calin + Iosif Criste</t>
  </si>
  <si>
    <t xml:space="preserve">Sudura sparta in OSC7. </t>
  </si>
  <si>
    <t>S-a resudat, port up.</t>
  </si>
  <si>
    <t>OLT1-BR2995 / Slot : 3 PON3/3, PON3/4, PON3/6, PON3/7</t>
  </si>
  <si>
    <t>FITT00000128864</t>
  </si>
  <si>
    <t>Nu s-a intervenit, autorecovery</t>
  </si>
  <si>
    <t>WDM BR0799 - BR0423</t>
  </si>
  <si>
    <t>IMO000000292582</t>
  </si>
  <si>
    <t>Anulat ORO</t>
  </si>
  <si>
    <t>WDM  CL0390 - CL0386</t>
  </si>
  <si>
    <t>IMO000000292598</t>
  </si>
  <si>
    <t>WDM Toplet_1 (TI0036) - Caransebes (TI0781), Toplet_1 (TI0036) - TI0305</t>
  </si>
  <si>
    <t>IMO000000292624</t>
  </si>
  <si>
    <t xml:space="preserve">Fibra rupta in urma unor lucrari agricole </t>
  </si>
  <si>
    <t>Lucrari agricole -Cosit</t>
  </si>
  <si>
    <t>TI2995FAN1ODB1615</t>
  </si>
  <si>
    <t>FITT00000128905</t>
  </si>
  <si>
    <t>DB fara semnal, ODB vandalizat sau distrus de intemperii.</t>
  </si>
  <si>
    <t>S-a refacut ODB-ul, semnal OK, iar clientul este UP.</t>
  </si>
  <si>
    <t>TI0337FAN1ODB307</t>
  </si>
  <si>
    <t>FITT00000128917</t>
  </si>
  <si>
    <t>lipsa semnal la ODB. Viespe in ODB.</t>
  </si>
  <si>
    <t>S-a resudat fibra la ODB. Semnal in parametrii.</t>
  </si>
  <si>
    <t>CL0569 – CL0028 ; CL0313 – CL0028</t>
  </si>
  <si>
    <t>IMO000000292740</t>
  </si>
  <si>
    <t>Criste Iosif</t>
  </si>
  <si>
    <t>S-a indentificat incidentul la coordonatele 46,99389 23,25036, cablu fo48 rup in sapatura la iesirea de pe autostrada Transilvania.</t>
  </si>
  <si>
    <t>S-a tras rezerva fo si s-a montat un OSC. Solutia are caracter provizoriu pana se va efectua relocarea traseului din acesta zona.</t>
  </si>
  <si>
    <t>TI2995FAN1ODB1616</t>
  </si>
  <si>
    <t>FITT00000128918</t>
  </si>
  <si>
    <t>Comun cu FITT00000128905</t>
  </si>
  <si>
    <t>CR2950FAN5ODB113</t>
  </si>
  <si>
    <t>FITT00000128920</t>
  </si>
  <si>
    <t>Conform CROSS ar trebui sa se provizioneze pe slot/port 5/1 insa in autofind apare pe slot/port 5/2</t>
  </si>
  <si>
    <t>S-a migrat odb-ul pe spliterul coresct in DP. S-a testat cu un ONT hw de test si s-a asociat pe slot/port 5/1.</t>
  </si>
  <si>
    <t>OLT1-TI0164 / Slot : 2 PON2/2</t>
  </si>
  <si>
    <t>FITT00000128921</t>
  </si>
  <si>
    <t>De la DP la ODB1931 pe str Petrofi Sandor s-au rupt 2 copaci in urma furtunii. 46,147884 21,588437  incident pe cablu fo24.</t>
  </si>
  <si>
    <t>S-a instalat 250m cablu fo24, doua OSC-uri noi și în DP am introdus cablu fo24 nou instalat.</t>
  </si>
  <si>
    <t>CR0003FAN1ODB26</t>
  </si>
  <si>
    <t>FITT00000128932</t>
  </si>
  <si>
    <t xml:space="preserve"> Fir rupt in ODB</t>
  </si>
  <si>
    <t>BE0327FAN4ODB1068</t>
  </si>
  <si>
    <t>FITT00000128950</t>
  </si>
  <si>
    <t>ODB fara semnal, Cablu fo taiat in urma reabilitarii blocului.</t>
  </si>
  <si>
    <t>S-a instalat 60m fo12 de la ODB1070 la ODB1068 pe langa teava de gaz. ODB-ul are acum semnal si clientii sunt UP.</t>
  </si>
  <si>
    <t>OLT1-BE2980 / Slot : 1 / PON1/13</t>
  </si>
  <si>
    <t>FITT00000128953</t>
  </si>
  <si>
    <t>Port OLT1-BE2980 / Slot : 1 / PON1/13 down .</t>
  </si>
  <si>
    <t>S-a inlocuit patch-ul de fo din site. Clientii sunt up.</t>
  </si>
  <si>
    <t>BR0333FAN2ODB325</t>
  </si>
  <si>
    <t>FITT00000128834</t>
  </si>
  <si>
    <t>Ilea Gabriel , Buzea Catalin</t>
  </si>
  <si>
    <t>ODB fara semnal, fir semnal rupt în odb.</t>
  </si>
  <si>
    <t>S-a tras rezerva și s-a refăcut odb-ul. Semnal OK, client UP.</t>
  </si>
  <si>
    <t>TI0337FAN1ODB1113</t>
  </si>
  <si>
    <t xml:space="preserve">FITT00000128954 </t>
  </si>
  <si>
    <t xml:space="preserve"> S-a identificat si s-a inlocuit spliter nivel 2.</t>
  </si>
  <si>
    <t>CR2950FAN4ODB99</t>
  </si>
  <si>
    <t>FITT00000128993</t>
  </si>
  <si>
    <t>Fir rupt in TB.</t>
  </si>
  <si>
    <t>TI0203FAN1ODB1512</t>
  </si>
  <si>
    <t>FITT00000129008</t>
  </si>
  <si>
    <t>S-a identificat si s-a refacut ODB.</t>
  </si>
  <si>
    <t xml:space="preserve">WDM BAIA_MARE (CL0051) - CL0538 </t>
  </si>
  <si>
    <t>IMO000000292945</t>
  </si>
  <si>
    <t xml:space="preserve">S-au instlat 300m FO96  2 jonctiuni si 2 camerte </t>
  </si>
  <si>
    <t xml:space="preserve">BR0242 - BR0635 </t>
  </si>
  <si>
    <t xml:space="preserve"> IMO000000293001</t>
  </si>
  <si>
    <t>Fibra rupta in sudura</t>
  </si>
  <si>
    <t>WDM Dumbravita BR0433 - Fagaras BR0781</t>
  </si>
  <si>
    <t>IMO000000292977</t>
  </si>
  <si>
    <t>Ilie Gabriel</t>
  </si>
  <si>
    <t>Cablul atenuat in sapatura.</t>
  </si>
  <si>
    <t>L-am indreptat la cald.</t>
  </si>
  <si>
    <t>BE2990FAN1ODB76</t>
  </si>
  <si>
    <t>FITT00000129018</t>
  </si>
  <si>
    <t>S-au instlat 350 m FO 12 si 2 jonctiuni.</t>
  </si>
  <si>
    <t>TI0400FAN1ODB803</t>
  </si>
  <si>
    <t>FITT00000129034</t>
  </si>
  <si>
    <t>Fibra rupta in ODB intermediar de viesp</t>
  </si>
  <si>
    <t>Refăcut odb,</t>
  </si>
  <si>
    <t>BR0072-BR0391</t>
  </si>
  <si>
    <t>IMO000000293149</t>
  </si>
  <si>
    <t>Fire rupte in cablu</t>
  </si>
  <si>
    <t>Taiat si instalat 1 osc nou</t>
  </si>
  <si>
    <t>CR0003FAN1ODB28</t>
  </si>
  <si>
    <t>FITT00000129072</t>
  </si>
  <si>
    <t>Comun cu FITT00000128932</t>
  </si>
  <si>
    <t>OLT1-CR0257 / Slot : 4 PON4/11, PON4/12, PON4/13, PON4/14</t>
  </si>
  <si>
    <t>FITT00000129065</t>
  </si>
  <si>
    <t xml:space="preserve">Fibra inversata  </t>
  </si>
  <si>
    <t xml:space="preserve"> S-a identificat cu ONT de test si s-au mutat corespunzator  in ODF.</t>
  </si>
  <si>
    <t>OLT1-TI0257 / Slot : 3/12</t>
  </si>
  <si>
    <t>FITT00000129122</t>
  </si>
  <si>
    <t>CR0135FAN1ODB3001</t>
  </si>
  <si>
    <t>FITT00000129125</t>
  </si>
  <si>
    <t>Albine in ODB3005 intermediar</t>
  </si>
  <si>
    <t xml:space="preserve">Curatat si refacut suduri </t>
  </si>
  <si>
    <t>CR0135FAN1ODB3003</t>
  </si>
  <si>
    <t>FITT00000129169</t>
  </si>
  <si>
    <t>comun cu FITT00000129125</t>
  </si>
  <si>
    <t>TI0313FAN1ODB1816</t>
  </si>
  <si>
    <t>FITT00000129127</t>
  </si>
  <si>
    <t xml:space="preserve">Port edfa defect (verificat cu alt patch), emite semnal slab. </t>
  </si>
  <si>
    <t>S-a inlocuit port out edfa 15 cu port out edfa 61 fiind liber neocupat si emitea cel mai bine. Semnalul pe tot portul s-a imbunatatit, semnal la ODB1816 este -21.2/-4.7.</t>
  </si>
  <si>
    <t>TI2998FAN1ODB1412</t>
  </si>
  <si>
    <t>FITT00000129128</t>
  </si>
  <si>
    <t xml:space="preserve">ODB Vandalizat </t>
  </si>
  <si>
    <t>refacut ODB complet</t>
  </si>
  <si>
    <t>TI0445FAN2ODB5804</t>
  </si>
  <si>
    <t>FITT00000129077</t>
  </si>
  <si>
    <t>OLT1-CL0564 / Slot : 2 / PON2/8</t>
  </si>
  <si>
    <t>FITT00000129163</t>
  </si>
  <si>
    <t>Paulesti</t>
  </si>
  <si>
    <t>Pitaci + Iosif criste</t>
  </si>
  <si>
    <t>Cablu agatat in flesa inainte de DP</t>
  </si>
  <si>
    <t>Loss of signal in ARGES intre BE0209 - BE0159</t>
  </si>
  <si>
    <t>IMO000000293358</t>
  </si>
  <si>
    <t>Cablu rupt de copac cazut</t>
  </si>
  <si>
    <t>FO48 165m,FO12 150m,2 OSC uri noi,2 cruci,6 armoruzi! + refacut DP</t>
  </si>
  <si>
    <t>Loss of signal in CARAS-SEVERIN intre TI0074 - TI0417</t>
  </si>
  <si>
    <t>IMO000000293361</t>
  </si>
  <si>
    <t>Solutie provizorie-Swap fo</t>
  </si>
  <si>
    <t>Incident in sapatura la 50m de site resita</t>
  </si>
  <si>
    <t>OLT1-TI0313 / Slot : 1 / PON1/14</t>
  </si>
  <si>
    <t>FITT00000129208</t>
  </si>
  <si>
    <t>Comun cu FITT00000129127</t>
  </si>
  <si>
    <t>CL0646 - CL0487</t>
  </si>
  <si>
    <t>IMO000000293222</t>
  </si>
  <si>
    <t>Calin Pitaci</t>
  </si>
  <si>
    <t>FO indoita</t>
  </si>
  <si>
    <t>TI0206FAN1ODB313</t>
  </si>
  <si>
    <t>FITT00000129223</t>
  </si>
  <si>
    <t>Viespi in ODB 314 INTERMEDIAR</t>
  </si>
  <si>
    <t>TI0331FAN1ODB1232</t>
  </si>
  <si>
    <t>FITT00000129226</t>
  </si>
  <si>
    <t>ODB FARA CAPAC - FIRE RUPTE</t>
  </si>
  <si>
    <t>CL0165FAN1ODB3</t>
  </si>
  <si>
    <t>FITT00000129233</t>
  </si>
  <si>
    <t>Cabu rupt in armorod</t>
  </si>
  <si>
    <t>FITT00000129330</t>
  </si>
  <si>
    <t>Loss of signal WDM Mures BR0368 - BR0211</t>
  </si>
  <si>
    <t>IMO000000293623</t>
  </si>
  <si>
    <t>utilaj agricol</t>
  </si>
  <si>
    <t>BR0333FAN3ODB325</t>
  </si>
  <si>
    <t>FITT00000129336</t>
  </si>
  <si>
    <t>AMBELE SPL DIN ODB CU PORTURI RUPTE</t>
  </si>
  <si>
    <t>def.echip</t>
  </si>
  <si>
    <t>Inlocuit ambele SPL</t>
  </si>
  <si>
    <t>TI0401FAN2ODB1914</t>
  </si>
  <si>
    <t>FITT00000129178</t>
  </si>
  <si>
    <t>Cablu smuls din ODB</t>
  </si>
  <si>
    <t>Refacut odb din rezerva</t>
  </si>
  <si>
    <t>CR2993FAN2ODB3310</t>
  </si>
  <si>
    <t>FITT00000129340</t>
  </si>
  <si>
    <t>Splitter mancat de albine</t>
  </si>
  <si>
    <t>CR0413FAN1ODB1921</t>
  </si>
  <si>
    <t>FITT00000129339</t>
  </si>
  <si>
    <t>ODB VANDALIZAT PE STALP</t>
  </si>
  <si>
    <t>VANDALISM</t>
  </si>
  <si>
    <t>REFACUT DIN REZERVA SI ARANJAT CONFORM</t>
  </si>
  <si>
    <t>LOSS OF SIGNAL WDM TI0187 &lt;&gt; TI2954 , TI0187 &lt;&gt; TI0337</t>
  </si>
  <si>
    <t>IMO000000293654</t>
  </si>
  <si>
    <t>Solutie provizorie-Necesar relocare</t>
  </si>
  <si>
    <t>OSC TAIAT DE PROPRIETAR</t>
  </si>
  <si>
    <t>REFACUT OSC EX</t>
  </si>
  <si>
    <t>FO CUT NEC in DOLJ intre  CR0176 - CR0276</t>
  </si>
  <si>
    <t>IMO000000293679</t>
  </si>
  <si>
    <t>Stalp lemn rupt - cablu rupt</t>
  </si>
  <si>
    <t>OLT1-BR0553 / Slot : 3 / PON3/7</t>
  </si>
  <si>
    <t>FITT00000129385</t>
  </si>
  <si>
    <t xml:space="preserve">Rosia </t>
  </si>
  <si>
    <t>Fir rupt in buffer</t>
  </si>
  <si>
    <t>Refacut buffer in OSC 10</t>
  </si>
  <si>
    <t>FO CUT NEC in ARAD intre   TI0148 - TI0287</t>
  </si>
  <si>
    <t>IMO000000293819</t>
  </si>
  <si>
    <t>Cablu rupt sub pod langa shelter D2</t>
  </si>
  <si>
    <t>TI0400FAN2ODB1208</t>
  </si>
  <si>
    <t>FITT00000129468</t>
  </si>
  <si>
    <t>Fire rupte e albine in ODB intermediar</t>
  </si>
  <si>
    <t>CL2995FAN1ODB0510</t>
  </si>
  <si>
    <t>FITT00000129474</t>
  </si>
  <si>
    <t xml:space="preserve">ODB vandalizat. </t>
  </si>
  <si>
    <t>inlocuit spliter si refacut suduri.</t>
  </si>
  <si>
    <t>CR0077FAN1ODB11413</t>
  </si>
  <si>
    <t>FITT00000129421</t>
  </si>
  <si>
    <t>Cuib de viespi in ODB</t>
  </si>
  <si>
    <t>CL2990FAN1ODB0112</t>
  </si>
  <si>
    <t>FITT00000129476</t>
  </si>
  <si>
    <t>Subtraversare ruptă de drumari.</t>
  </si>
  <si>
    <t>. Înlocuit 70m fo pe aerian din odb114. O joncțiune nouă și refăcut suduri in odb114</t>
  </si>
  <si>
    <t>CR0077FAN1ODB11518</t>
  </si>
  <si>
    <t>FITT00000129441</t>
  </si>
  <si>
    <t>BE0327FAN4ODB1100</t>
  </si>
  <si>
    <t>FITT00000129423</t>
  </si>
  <si>
    <t xml:space="preserve">Cablu rupt in urma unor lucrari la fatada blocului </t>
  </si>
  <si>
    <t>Proprietari</t>
  </si>
  <si>
    <t>S-a instalat bucata de cablu din jonct, existenta pina in ODB.</t>
  </si>
  <si>
    <t>TI0339FAN1ODB1101</t>
  </si>
  <si>
    <t>FITT00000129439</t>
  </si>
  <si>
    <t>Fir rupt in ODB - insecte</t>
  </si>
  <si>
    <t>CR0077FAN1ODB12332</t>
  </si>
  <si>
    <t>FITT00000129491</t>
  </si>
  <si>
    <t>INSECTE IN ODB INTERMEDIAR</t>
  </si>
  <si>
    <t>CURATAT SI REFACUT SUDURI</t>
  </si>
  <si>
    <t>BE0793FAN1ODB70</t>
  </si>
  <si>
    <t>FITT00000129494</t>
  </si>
  <si>
    <t>FIRE RUPTE IN ODB 66 INTERMEDIAR</t>
  </si>
  <si>
    <t>ODB66 refacut complet!</t>
  </si>
  <si>
    <t>BE0159FAN1ODB75</t>
  </si>
  <si>
    <t>FITT00000129495</t>
  </si>
  <si>
    <t>Fibra roasa, refacut rezerva si sudat</t>
  </si>
  <si>
    <t>CR0462FAN1ODB916</t>
  </si>
  <si>
    <t>FITT00000129496</t>
  </si>
  <si>
    <t>Fibra mancata de viespi in ODB 12</t>
  </si>
  <si>
    <t>TI0078FAN2ODB2532</t>
  </si>
  <si>
    <t>FITT00000129499</t>
  </si>
  <si>
    <t>Bora Cosmin</t>
  </si>
  <si>
    <t>Fibre rupte in ODB.</t>
  </si>
  <si>
    <t>S-a identificat si s-au refacut fibrele afectate.</t>
  </si>
  <si>
    <t>Possible FO CUT NEC local in Satu Mare CL2005 - CL0206</t>
  </si>
  <si>
    <t>IMO000000294021</t>
  </si>
  <si>
    <t>Criste Iosif + Satu Mare</t>
  </si>
  <si>
    <t>fibra roasa de soareci in subteran</t>
  </si>
  <si>
    <t>resudat jonctiune interconect</t>
  </si>
  <si>
    <t>traseu nedocumentat, s-a verificat din aproape in aproape</t>
  </si>
  <si>
    <t>OLT1-CR0039 / Slot : 1 PON1/7, PON1/8, PON1/9, PON1/10</t>
  </si>
  <si>
    <t>FITT00000129505</t>
  </si>
  <si>
    <t>Cablu rupt de combaina agricola</t>
  </si>
  <si>
    <t>OLT1-CR0039 / Slot : 1 / PON1/7</t>
  </si>
  <si>
    <t>FITT00000129518</t>
  </si>
  <si>
    <t>Fibra rupta in sudura ,</t>
  </si>
  <si>
    <t xml:space="preserve"> S-a identificat si s-a resudat fibra afectata.</t>
  </si>
  <si>
    <t>LOSS OF SIGNAL MPR  TI0582 - TI0235</t>
  </si>
  <si>
    <t>IMO000000294127</t>
  </si>
  <si>
    <t>Fibra rupta in sudura in site TI0235.</t>
  </si>
  <si>
    <t>S-a refacut sudura.</t>
  </si>
  <si>
    <t>TI2954FAN1ODB11223</t>
  </si>
  <si>
    <t>FITT00000129552</t>
  </si>
  <si>
    <t>Pascau Ionel</t>
  </si>
  <si>
    <t>S-a instalat 250 m FO 48 si 2 jonctiuni</t>
  </si>
  <si>
    <t>CL0456 - CL0146 + SDH Bistrita CL0456 - V.Dornei BA0213</t>
  </si>
  <si>
    <t>IMO000000294302</t>
  </si>
  <si>
    <t>Solutie provizorie- necesar camereta si ingropat cablu pe 15 m</t>
  </si>
  <si>
    <t xml:space="preserve">fibra taiata  de topor </t>
  </si>
  <si>
    <t>S-a tras din rezerva si se executat o jonctiune .</t>
  </si>
  <si>
    <t>BR0294FAN2ODB104</t>
  </si>
  <si>
    <t>FITT00000129539</t>
  </si>
  <si>
    <t xml:space="preserve">Iulian </t>
  </si>
  <si>
    <t>comun cu FITT00000129594</t>
  </si>
  <si>
    <t>OLT1-BR2995 / Slot : 2 / PON2/3</t>
  </si>
  <si>
    <t>FITT00000129562</t>
  </si>
  <si>
    <t>Cablu fo48 rupt de agabaritic la 9,16km de site BR2995 la coordonatele 46,314378 25,218127</t>
  </si>
  <si>
    <t>S-a instalat 100mfo48 + 2 OSC. Clientii sunt UP, semnal ok.</t>
  </si>
  <si>
    <t>BE2997FAN1ODB164</t>
  </si>
  <si>
    <t>FITT00000129561</t>
  </si>
  <si>
    <t>Cablu FO 48 rupt</t>
  </si>
  <si>
    <t>Refacut ODB18.</t>
  </si>
  <si>
    <t>BR0294FAN2ODB100</t>
  </si>
  <si>
    <t>FITT00000129594</t>
  </si>
  <si>
    <t>Probleme de semnal la ODB-uri ODB100, ODB104, incident la 0,804km de ODB.</t>
  </si>
  <si>
    <t>S-a schimbat spliter-ul optic de nivel1 din DP de la coordinatele 45,71528 25,62434 . Semnal in parametrii, client UP cu semnal ok.</t>
  </si>
  <si>
    <t>45,71528 25,62434</t>
  </si>
  <si>
    <t>BR2990FAN1ODB110</t>
  </si>
  <si>
    <t>FITT00000129596</t>
  </si>
  <si>
    <t>FO  rupta .</t>
  </si>
  <si>
    <t>S-a instalat 250m FO 48 si s-au executat 2 jonctiuni</t>
  </si>
  <si>
    <t>CL0053FAN2ODB0604</t>
  </si>
  <si>
    <t>FITT00000129597</t>
  </si>
  <si>
    <t>ODB0604 fara semnal, problema la ODB605 afectat de furnici.</t>
  </si>
  <si>
    <t>S-au refacut lipiturile in ODB605. Semnal in parametrii, clientii sunt UP.   Orar remediere decalat cu 12H</t>
  </si>
  <si>
    <t>TI0049FAN1ODB711</t>
  </si>
  <si>
    <t>FITT00000129602</t>
  </si>
  <si>
    <t>Ionut Pascau, Goda Ladislau</t>
  </si>
  <si>
    <t>ODB fara semnal, fibra mâncata de viespi.</t>
  </si>
  <si>
    <t>S-a refacut sudura in ODB 711 la Faget str Nouă. Semnal OK, clienti UP.</t>
  </si>
  <si>
    <t>CL0313 - CL0028 / CL0569 - CL0028</t>
  </si>
  <si>
    <t>IMO000000294309</t>
  </si>
  <si>
    <t>Relocare ORO</t>
  </si>
  <si>
    <t>relocare contacti Firma Telproiect. Mircea Hadarean tel. 0744771128</t>
  </si>
  <si>
    <t>CL0555 &lt;&gt; CL0112</t>
  </si>
  <si>
    <t>IMO000000294684</t>
  </si>
  <si>
    <t>relocare ElectroGrup</t>
  </si>
  <si>
    <t>relocare ElectroGrup dl. Adrian Chiorean 0744 444 507 "relocare care se desfasoara pe strada Uliului in proximitatea CL0555 determinata de lucrarile la infrastructura strazii"</t>
  </si>
  <si>
    <t>TI0078FAN1ODB1218</t>
  </si>
  <si>
    <t>FITT00000129857</t>
  </si>
  <si>
    <t>ODB1218 fara semnal.</t>
  </si>
  <si>
    <t>cuib de viespi în ODB 1215,refăcut ODB</t>
  </si>
  <si>
    <t>TI0313FAN1ODB1616</t>
  </si>
  <si>
    <t>FITT00000129925</t>
  </si>
  <si>
    <t>ODB fara semnal, cablul fo24 rupt de agabaritic la traversarea de str.</t>
  </si>
  <si>
    <t>S-au instalat 150m fo24, 2 OSC-uri, 12 suduri, 2 cruci, 4 armorozi.</t>
  </si>
  <si>
    <t>CL0445FAN3ODB361</t>
  </si>
  <si>
    <t>FITT00000129538</t>
  </si>
  <si>
    <t>ODB361 se asociaza pe Slot: 7; Port: 14 in loc de Slot: 7; Port: 13 cum este documentat.</t>
  </si>
  <si>
    <t>S-au inversat firele cu semnal in DP. S-a testat cu ONT de test si acum este OK.</t>
  </si>
  <si>
    <t>Deva TI0195 - Brad TI0173 / TI0195 - TI0352</t>
  </si>
  <si>
    <t>IMO000000294858</t>
  </si>
  <si>
    <t>Incident indentificat la cota https://maps.app.goo.gl/fmHYuwpGGua2Bs6VA   la 1,7 km de la site TI0352. 2 stalpi de lemn s-au rupt, si au avariat si fibra.</t>
  </si>
  <si>
    <t>Uzura</t>
  </si>
  <si>
    <t>S-a eliberat rezerva si s-a instalat un OSC.</t>
  </si>
  <si>
    <t>CR0077FAN1ODB11924</t>
  </si>
  <si>
    <t>FITT00000129973</t>
  </si>
  <si>
    <t>ODB fara semnal, viespile au deteriorate fo.</t>
  </si>
  <si>
    <t xml:space="preserve">S-a refacut ODB. </t>
  </si>
  <si>
    <t>TI0078FAN1ODB1215</t>
  </si>
  <si>
    <t>FITT00000129999</t>
  </si>
  <si>
    <t>comun cu FITT00000129857</t>
  </si>
  <si>
    <t>CR2993FAN2ODB3215</t>
  </si>
  <si>
    <t>FITT00000130022</t>
  </si>
  <si>
    <t>Tene Marius, Lazar Mihai</t>
  </si>
  <si>
    <t>ODB fara semnal, afectat de insecte.</t>
  </si>
  <si>
    <t>S-a refacut sudura in ODB, semnal OK, clientul UP.</t>
  </si>
  <si>
    <t>CL2981FAN1ODB1613</t>
  </si>
  <si>
    <t>FITT00000130026</t>
  </si>
  <si>
    <t>ODB fara semnal afectat de viespi care au ros firele de fo.</t>
  </si>
  <si>
    <t>S-au refacut lipiturile in ODB. Client UP, semnal OK.</t>
  </si>
  <si>
    <t>TI0258FAN3ODB3728</t>
  </si>
  <si>
    <t>FITT00000129937</t>
  </si>
  <si>
    <t>ODB3728 fara semnal afectat de viespi care au ros firele de fo de la ODB-ul din fata ODB3727.</t>
  </si>
  <si>
    <t>S-au refacut lipiturile in ODB3727. Semnal OK.</t>
  </si>
  <si>
    <t>CL0066FAN3ODB31412</t>
  </si>
  <si>
    <t>FITT00000130029</t>
  </si>
  <si>
    <t>Cablu fo24 vandalizat,taiat la ODB31412</t>
  </si>
  <si>
    <t>S-a inlocuit 10m fo 24 intre tb1 si tb2. Semnal Ok, client UP.</t>
  </si>
  <si>
    <t>BR0541FAN1ODB1806 + BR0541FAN1ODB1804</t>
  </si>
  <si>
    <t>FITT00000130031</t>
  </si>
  <si>
    <t>Cablu rupt intre ODB si DP</t>
  </si>
  <si>
    <t>Schimbat tronson o fata de stalp si refacut suduri in ODB SI DP</t>
  </si>
  <si>
    <t>CR0048FAN2ODB21613</t>
  </si>
  <si>
    <t>FITT00000130034</t>
  </si>
  <si>
    <t>Cutui Adrian, Denis Parciu</t>
  </si>
  <si>
    <t>ODB fara semnal, insectele au ros firele de fo.</t>
  </si>
  <si>
    <t>S-au refacut sudurile in ODB. Clientul este Up si semnal OK.</t>
  </si>
  <si>
    <t>CR2999FAN1ODB205</t>
  </si>
  <si>
    <t>FITT00000130044</t>
  </si>
  <si>
    <t>ODB fara semnal, cablu fo intepat de viespi.</t>
  </si>
  <si>
    <t>S-a refacut sudara in ODB, clientii sunt functionali si semnalul este OK.</t>
  </si>
  <si>
    <t>OLT1-CL2967 / Slot : 1 / PON1/12</t>
  </si>
  <si>
    <t xml:space="preserve">FITT00000130052 </t>
  </si>
  <si>
    <t>Pe stalpul unde se afla ODB317 a avut loc un scurt circuit care a topit cablurile de current si cablurile de FO.</t>
  </si>
  <si>
    <t>incendiu</t>
  </si>
  <si>
    <t xml:space="preserve">S-a eliberat rezerva de la DP3 si s-a refacut circuitul. Semnalul la ODB este OK, dar toti clientii din acest ODB sunt DOWN deoarece cablurile au fost arse.  Necesar reconectare abonati. </t>
  </si>
  <si>
    <t>BE0461FAN1ODB70</t>
  </si>
  <si>
    <t>FITT00000130078</t>
  </si>
  <si>
    <t>ODB fara semnal, insectele au ros firele fo.</t>
  </si>
  <si>
    <t>S-au refacut sudurile in ODB. Clienti sunt UP si semnalul OK.</t>
  </si>
  <si>
    <t xml:space="preserve">TI0074 Resita TI0417 </t>
  </si>
  <si>
    <t>IMO000000295789</t>
  </si>
  <si>
    <t>Cablu smuls din OSC ex</t>
  </si>
  <si>
    <t>Refacut OSC ex</t>
  </si>
  <si>
    <t>BR0961 - BR0265</t>
  </si>
  <si>
    <t>IMO000000295822</t>
  </si>
  <si>
    <t>Alin + Mario</t>
  </si>
  <si>
    <t>Fibra rupta pe tronson OROC</t>
  </si>
  <si>
    <t>Remediat OROC</t>
  </si>
  <si>
    <t>BE0110FAN1ODB16</t>
  </si>
  <si>
    <t>FITT00000130616</t>
  </si>
  <si>
    <t>Albine in ODB 15 Intermediar</t>
  </si>
  <si>
    <t>BE2997FAN1ODB23</t>
  </si>
  <si>
    <t>FITT00000130617</t>
  </si>
  <si>
    <t>Buffer rupt in ODB</t>
  </si>
  <si>
    <t>Refacut buffer</t>
  </si>
  <si>
    <t>BR0541FAN1ODB1808</t>
  </si>
  <si>
    <t>FITT00000130620</t>
  </si>
  <si>
    <t>comun cu FITT00000130031</t>
  </si>
  <si>
    <t>CL0400FAN2ODB0503</t>
  </si>
  <si>
    <t>FITT00000130633</t>
  </si>
  <si>
    <t>Reclamat ODB cu attenuare</t>
  </si>
  <si>
    <t>Scos 1.5 db de la 1.2 km de ODB - nu mai sunt alte atenuari - necesar verificare patch site</t>
  </si>
  <si>
    <t>CR0167 - CR0103</t>
  </si>
  <si>
    <t>IMO000000295964</t>
  </si>
  <si>
    <t>Necesar intins FO</t>
  </si>
  <si>
    <t>Marius tene</t>
  </si>
  <si>
    <t>100m + 2 osc</t>
  </si>
  <si>
    <t>TI0445FAN1ODB11012</t>
  </si>
  <si>
    <t>FITT00000130585</t>
  </si>
  <si>
    <t xml:space="preserve">Port suplimentar in TB 6 </t>
  </si>
  <si>
    <t>Traseul intre TB1-TB6 nu era intregit deloc , problema doar de last mile , ODB este ok</t>
  </si>
  <si>
    <t>FITT00000130618</t>
  </si>
  <si>
    <t>Sudura sparta in OSC de preluare</t>
  </si>
  <si>
    <t>TI0004FAN1ODB1623</t>
  </si>
  <si>
    <t>FITT00000130621</t>
  </si>
  <si>
    <t>S-a refacut sudura in ODB1623. Clientul s-a ridicat dar valorile optice nu erau in parametri. S-a executat o masuratoare OTDR care a indicat atenuare la 340m. La cota respectiva s-a identificat cablul FO stresat in spirala de intindere. Duap indreptarea cablului valorile optice au revenit in parametri</t>
  </si>
  <si>
    <t>CR0077FAN1ODB1728</t>
  </si>
  <si>
    <t>FITT00000130634</t>
  </si>
  <si>
    <t>Fire rupte in ODB INTERMEDIAR 1727</t>
  </si>
  <si>
    <t>Refacut suduri in ODB INTERMEDIAR</t>
  </si>
  <si>
    <t>CL2990FAN1ODB0309</t>
  </si>
  <si>
    <t>FITT00000130651</t>
  </si>
  <si>
    <t>CR0752FAN1ODB0103</t>
  </si>
  <si>
    <t>FITT00000130660</t>
  </si>
  <si>
    <t>CUIB DE VIESPI IN ODB</t>
  </si>
  <si>
    <t>CR2950FAN2ODB354</t>
  </si>
  <si>
    <t>FITT00000130665</t>
  </si>
  <si>
    <t>Albine in ODB 350 intermediar , 1km de ODB354</t>
  </si>
  <si>
    <t>CR0003FAN1ODB33</t>
  </si>
  <si>
    <t>FITT00000130667</t>
  </si>
  <si>
    <t>ODB34 INTERMEDIAR CAZUT DE PE STAP</t>
  </si>
  <si>
    <t>Refacut ODB din rezerva</t>
  </si>
  <si>
    <t>CR0214FAN1ODB1327</t>
  </si>
  <si>
    <t>FITT00000130669</t>
  </si>
  <si>
    <t>Denis</t>
  </si>
  <si>
    <t>fir ros de furnici in ODB</t>
  </si>
  <si>
    <t xml:space="preserve"> CIocanei (BE0409) - Matau (BE0451) / BE0409 - BE0081 / BE0409 - BE0209 / BE0409 - BE1325 / BE0409 - BE0792 / BE0252 - BE3160 / BE0409 - BE3160 / BE0079 - BE0082 / BE0409 - BE0324</t>
  </si>
  <si>
    <t>IMO000000296310</t>
  </si>
  <si>
    <t>solutie provizorie - FO scos in aerian</t>
  </si>
  <si>
    <t>George Zamfir + civile PROCONECT</t>
  </si>
  <si>
    <t>Monotuburi distruse de viitura</t>
  </si>
  <si>
    <t>200m Fo24 si doua OSC-uri</t>
  </si>
  <si>
    <t>CL0026FAN1ODB3163</t>
  </si>
  <si>
    <t xml:space="preserve">FITT00000130733 </t>
  </si>
  <si>
    <t>TI0257FAN2ODB2432</t>
  </si>
  <si>
    <t>FITT00000130780</t>
  </si>
  <si>
    <t>Resudat fibra.</t>
  </si>
  <si>
    <t>TI0117FAN1ODB1405</t>
  </si>
  <si>
    <t>FITT00000130746</t>
  </si>
  <si>
    <t>Returnat - comun cu FITT00000130787</t>
  </si>
  <si>
    <t>BR0391FAN1ODB23</t>
  </si>
  <si>
    <t>FITT00000130758</t>
  </si>
  <si>
    <t>Returnat - comun cu FITT00000130759N/A</t>
  </si>
  <si>
    <t>BR0391FAN1ODB24</t>
  </si>
  <si>
    <t>FITT00000130759</t>
  </si>
  <si>
    <t>buffer ros de viespi in ODB25</t>
  </si>
  <si>
    <t>OLT1-TI0117</t>
  </si>
  <si>
    <t>FITT00000130787</t>
  </si>
  <si>
    <t>FO24 smuls din OSC identificat pe drum catre ODB1405</t>
  </si>
  <si>
    <t>CR0056FAN2ODB22414</t>
  </si>
  <si>
    <t>FITT00000130809</t>
  </si>
  <si>
    <t>TI0076FAN1ODB707</t>
  </si>
  <si>
    <t>FITT00000130824</t>
  </si>
  <si>
    <t>inlocuit SPL</t>
  </si>
  <si>
    <t>FITT00000130838</t>
  </si>
  <si>
    <t>TI0401FAN1ODB3803</t>
  </si>
  <si>
    <t>FITT00000130860</t>
  </si>
  <si>
    <t>INSECTE IN ODB</t>
  </si>
  <si>
    <t>CL0223 -  CL22289</t>
  </si>
  <si>
    <t>IMO000000296656</t>
  </si>
  <si>
    <t>Nu au fost furnizate informatii suficiente pentru interventie</t>
  </si>
  <si>
    <t>TI0055 - TI9176</t>
  </si>
  <si>
    <t>IMO000000296460</t>
  </si>
  <si>
    <t>In urma investigatiilor echipei Proconect s-a constatat ca incidentul este pe tronson Prime</t>
  </si>
  <si>
    <t>WDM Craiova (CR0448) - Slatina (CR0006)</t>
  </si>
  <si>
    <t>IMO000000296589</t>
  </si>
  <si>
    <t>Solutie proizvorie - necesita doi stalpi</t>
  </si>
  <si>
    <t>un OSC nou</t>
  </si>
  <si>
    <t>TI2996 - TI0166</t>
  </si>
  <si>
    <t>IMO000000296559</t>
  </si>
  <si>
    <t>avarie pe tronson OROC</t>
  </si>
  <si>
    <t>CL0056FAN1ODB0214</t>
  </si>
  <si>
    <t>FITT00000131043</t>
  </si>
  <si>
    <t>buffere rupte de insecte</t>
  </si>
  <si>
    <t>resudat buffere</t>
  </si>
  <si>
    <t>BR0294FAN2ODB240</t>
  </si>
  <si>
    <t>FITT00000131073</t>
  </si>
  <si>
    <t>Fibra rupta in OSC la SPL1</t>
  </si>
  <si>
    <t>S-a identificat  si s-a sudat fibra rupta.</t>
  </si>
  <si>
    <t>TI0004FAN1ODB1723</t>
  </si>
  <si>
    <t>FITT00000131076</t>
  </si>
  <si>
    <t>Buffer rupt de viespe in ODB 1721</t>
  </si>
  <si>
    <t>Resudat buffer, clienti up, valori ok la odb</t>
  </si>
  <si>
    <t>CR0077FAN1ODB11715</t>
  </si>
  <si>
    <t>FITT00000131083</t>
  </si>
  <si>
    <t>OLT1-TI0078 / Slot : 1 PON1/0, PON1/1, PON1/2, PON1/4</t>
  </si>
  <si>
    <t>FITT00000131084</t>
  </si>
  <si>
    <t>comun cu IMO000000297031</t>
  </si>
  <si>
    <t>IMO000000296868</t>
  </si>
  <si>
    <t>FITT00000131102</t>
  </si>
  <si>
    <t>Cablu 24 FO rupt de agabaritic</t>
  </si>
  <si>
    <t>tras rez + 1 osc 24</t>
  </si>
  <si>
    <t>Loss of signal in ARAD intre TI0078 - TI0141</t>
  </si>
  <si>
    <t>IMO000000297031</t>
  </si>
  <si>
    <t>Cablu 48 FO taiat in copac</t>
  </si>
  <si>
    <t>Reclamatie VDF between CL0571 - CL1117</t>
  </si>
  <si>
    <t>Cablu frecat de copac</t>
  </si>
  <si>
    <t>Possible FO CUT NEC local in Maramures, between CL1067 - CL0145</t>
  </si>
  <si>
    <t>IMO000000297123</t>
  </si>
  <si>
    <t>Cablu 36 fo smuls din osc. Copac cazut  peste cablu</t>
  </si>
  <si>
    <t>Loss of signal in TIMIS intre TI0055 - TI0811 + NEC TI0055 - TI0106</t>
  </si>
  <si>
    <t>IMO000000297011</t>
  </si>
  <si>
    <t>Cosmin Pau + Pascau</t>
  </si>
  <si>
    <t>OSC inte un cablu 36FO/24FO vandalizat ( OSC disparut)</t>
  </si>
  <si>
    <t>Montat OSC nou pentru cele 2 cabluri</t>
  </si>
  <si>
    <t>Maparea nu coespunde cu NICM in jonctiune</t>
  </si>
  <si>
    <t>Loss of signal in MARAMURES intre CL0066 - CL0072</t>
  </si>
  <si>
    <t>IMO000000295812</t>
  </si>
  <si>
    <t>Calinesti</t>
  </si>
  <si>
    <t>96 fo agatat de agabaritic</t>
  </si>
  <si>
    <t>Possible FO CUT NEC local in Arges,between BE0081 – BE0082 // BE0079 - BE0082</t>
  </si>
  <si>
    <t>IMO000000297124</t>
  </si>
  <si>
    <t>Reclamatie // Loss of signal WDM BE0159 – BE0209</t>
  </si>
  <si>
    <t>IMO000000297173</t>
  </si>
  <si>
    <t>Probleme de patch in site</t>
  </si>
  <si>
    <t>Patch inlocuit</t>
  </si>
  <si>
    <t>BR0391FAN1ODB56</t>
  </si>
  <si>
    <t>FITT00000131309</t>
  </si>
  <si>
    <t xml:space="preserve">Buffer rupt in ODB de viespe. </t>
  </si>
  <si>
    <t>TI0076FAN1ODB1515</t>
  </si>
  <si>
    <t>FITT00000131278</t>
  </si>
  <si>
    <t xml:space="preserve">Fibra rupta in ODB de vispe. </t>
  </si>
  <si>
    <t>TI0207FAN1ODB109</t>
  </si>
  <si>
    <t>FITT00000131308</t>
  </si>
  <si>
    <t xml:space="preserve">Fir rupt la ODB de insecte. </t>
  </si>
  <si>
    <t>CR0462FAN1ODB116</t>
  </si>
  <si>
    <t>FITT00000131320</t>
  </si>
  <si>
    <t xml:space="preserve">Buffer rupt in ODB, probabil de viespe. </t>
  </si>
  <si>
    <t>Resudat buffer, valori ok, client up.</t>
  </si>
  <si>
    <t>OLT1-CR0462 / Slot : 2 / PON2/6</t>
  </si>
  <si>
    <t>FITT00000131341</t>
  </si>
  <si>
    <t xml:space="preserve">Fibra rupta de viespe in ODB917, ODB cu toti clientii de pe port. </t>
  </si>
  <si>
    <t>S-a resudat fibra, portul este up.</t>
  </si>
  <si>
    <t>CR0168FAN1ODB1633</t>
  </si>
  <si>
    <t>FITT00000131352</t>
  </si>
  <si>
    <t xml:space="preserve">Viespe in ODB1631. </t>
  </si>
  <si>
    <t>Resudat, clienti up, valori ok la ODB.</t>
  </si>
  <si>
    <t>OLT1-CR0135 / Slot : 2 / PON2/13</t>
  </si>
  <si>
    <t>FITT00000131476</t>
  </si>
  <si>
    <t>Marius Cinca + Alex Solomon</t>
  </si>
  <si>
    <t>Fibra rupta de viespe in ODB602.</t>
  </si>
  <si>
    <t xml:space="preserve"> Resudat, port up.</t>
  </si>
  <si>
    <t>TI0337FAN1ODB201</t>
  </si>
  <si>
    <t>FITT00000131484</t>
  </si>
  <si>
    <t xml:space="preserve">Fibra rupta in ODB210 de viespe. </t>
  </si>
  <si>
    <t>FITT00000131497</t>
  </si>
  <si>
    <t xml:space="preserve">Cuib de viespe in ODB, fibra rupta. </t>
  </si>
  <si>
    <t>BE0539FAN1ODB55</t>
  </si>
  <si>
    <t>FITT00000131502</t>
  </si>
  <si>
    <t>Vulturesti</t>
  </si>
  <si>
    <t xml:space="preserve">Buffer rupt de viespe in ODB54. </t>
  </si>
  <si>
    <t>Resudat buffer</t>
  </si>
  <si>
    <t>CR0003FAN1ODB93</t>
  </si>
  <si>
    <t>FITT00000131506</t>
  </si>
  <si>
    <t xml:space="preserve">FIbra rupte de viespe in ODB. </t>
  </si>
  <si>
    <t>EDFA64-01-BR0423</t>
  </si>
  <si>
    <t>FITT00000131505</t>
  </si>
  <si>
    <t>Fir rupt in J2 la 470m de BR0375</t>
  </si>
  <si>
    <t>Resudat fir. S-a confirmat functionalitatea cu Petru.</t>
  </si>
  <si>
    <t>BE0040FAN2ODB157</t>
  </si>
  <si>
    <t>FITT00000131513</t>
  </si>
  <si>
    <t>Fir rupt de viespe in ODB.</t>
  </si>
  <si>
    <t xml:space="preserve"> Resudat, valori ok, client up,</t>
  </si>
  <si>
    <t>CR2950FAN6ODB166</t>
  </si>
  <si>
    <t>FITT00000131511</t>
  </si>
  <si>
    <t>fir rupt la ODB</t>
  </si>
  <si>
    <t xml:space="preserve">CL0312 – CL0010 , CL0010 – CL0179 </t>
  </si>
  <si>
    <t>IMO000000297619</t>
  </si>
  <si>
    <t>Fibra stresata in armorod .</t>
  </si>
  <si>
    <t>S-a indreptat cablu la cald.</t>
  </si>
  <si>
    <t>BE0209FAN1ODB116</t>
  </si>
  <si>
    <t>FITT00000131281</t>
  </si>
  <si>
    <t>Fibra rupta in ODB117.</t>
  </si>
  <si>
    <t>BE0209FAN1ODB128</t>
  </si>
  <si>
    <t>FITT00000131334</t>
  </si>
  <si>
    <t>Fibra rupta in ODB127</t>
  </si>
  <si>
    <t>TI0224FAN1ODB904</t>
  </si>
  <si>
    <t>FITT00000131303</t>
  </si>
  <si>
    <t xml:space="preserve">Spliter defect. </t>
  </si>
  <si>
    <t>CL0240FAN1ODB0110</t>
  </si>
  <si>
    <t>FITT00000131324</t>
  </si>
  <si>
    <t>Cablu 12 fo vandalizat</t>
  </si>
  <si>
    <t>Inlocuit 50m fo12 intre odb-uri si refacut jonctiuni.</t>
  </si>
  <si>
    <t>CR0077FAN1ODB1913</t>
  </si>
  <si>
    <t>FITT00000131579</t>
  </si>
  <si>
    <t>Simian</t>
  </si>
  <si>
    <t>S-a identificat si s-a refacut fibra afectata.</t>
  </si>
  <si>
    <t>TI2997FAN2ODB4605</t>
  </si>
  <si>
    <t>FITT00000131593</t>
  </si>
  <si>
    <t>Spliter defect.</t>
  </si>
  <si>
    <t xml:space="preserve"> Inlocuit spliter.</t>
  </si>
  <si>
    <t>CR0103FAN1ODB0708</t>
  </si>
  <si>
    <t>FITT00000131603</t>
  </si>
  <si>
    <t xml:space="preserve">Marica Ioan </t>
  </si>
  <si>
    <t>Firbra roasa de viespi.</t>
  </si>
  <si>
    <t>TI0336FAN1ODB1816</t>
  </si>
  <si>
    <t>FITT00000131606</t>
  </si>
  <si>
    <t>TI0400FAN2ODB1302</t>
  </si>
  <si>
    <t>FITT00000131624</t>
  </si>
  <si>
    <t>Fibra mancata de viespi.</t>
  </si>
  <si>
    <t>BE0209FAN1ODB39</t>
  </si>
  <si>
    <t>FITT00000131639</t>
  </si>
  <si>
    <t>Fibra rupta in ODB39</t>
  </si>
  <si>
    <t>CL0112 – CL0962 + NEC CL0962 – CL1771</t>
  </si>
  <si>
    <t>IMO000000297811</t>
  </si>
  <si>
    <t>Cablu avectat in urma lucrarilor de lagire durm iesire din Cluj( peste drum de Metro)</t>
  </si>
  <si>
    <t>Posibil Viarom- anuntat politia pentru distrugere</t>
  </si>
  <si>
    <t>S-a instalat cablu 96FO si doua jonctiuni</t>
  </si>
  <si>
    <t>CL0567FAN1ODB1333</t>
  </si>
  <si>
    <t>FITT00000131641</t>
  </si>
  <si>
    <t>NASAUD (UAT)</t>
  </si>
  <si>
    <t>AGABARITIC</t>
  </si>
  <si>
    <t>Tras rez + 1 OSC NOU</t>
  </si>
  <si>
    <t>OLT2-MO0103</t>
  </si>
  <si>
    <t>FITT00000131684</t>
  </si>
  <si>
    <t>Campulung (LOC)</t>
  </si>
  <si>
    <t>fir rupt in ODB400</t>
  </si>
  <si>
    <t>CR0077FAN1ODB1218</t>
  </si>
  <si>
    <t>FITT00000131686</t>
  </si>
  <si>
    <t>Simian (UAT)</t>
  </si>
  <si>
    <t>fir rupt in ODB1217</t>
  </si>
  <si>
    <t>CL0056FAN2ODB0705</t>
  </si>
  <si>
    <t>FITT00000131688</t>
  </si>
  <si>
    <t>Vetis (UAT)</t>
  </si>
  <si>
    <t>Ternar+Pitaci</t>
  </si>
  <si>
    <t>ODB fara capac + splitter rupt</t>
  </si>
  <si>
    <t>s-a inlocuit ODB</t>
  </si>
  <si>
    <t>CR0783FAN2ODB2512</t>
  </si>
  <si>
    <t>FITT00000131693</t>
  </si>
  <si>
    <t>BALVANESTI (UAT)</t>
  </si>
  <si>
    <t>FO12 agatat de agabritic</t>
  </si>
  <si>
    <t>s-a eliberat rezerva si s-a refacut OSC5</t>
  </si>
  <si>
    <t>TI2995FAN1ODB1715</t>
  </si>
  <si>
    <t>FITT00000131698</t>
  </si>
  <si>
    <t>TISA NOUA (LOC)</t>
  </si>
  <si>
    <t>s-a inlocuit splitterul de nivel 2</t>
  </si>
  <si>
    <t>BR2700FAN1ODB0709</t>
  </si>
  <si>
    <t>FITT00000131732</t>
  </si>
  <si>
    <t>BRANCOVENESTI (LOC)</t>
  </si>
  <si>
    <t>CL2995FAN2ODB2103</t>
  </si>
  <si>
    <t>FITT00000131742</t>
  </si>
  <si>
    <t>ARDUD (LOC)</t>
  </si>
  <si>
    <t>cele doua splittere din ODB2103 au fost DOWN din cauze diferite. Splitterul 1 - fir rupt in ODB, splitterul 2 - fir rupt in ODB2104. Se va solicita un tichet suplimentar</t>
  </si>
  <si>
    <t>CL0156 – CL1858</t>
  </si>
  <si>
    <t>IMO000000297846</t>
  </si>
  <si>
    <t>Floresti</t>
  </si>
  <si>
    <t>afectare partiala pe tronson Vodafone</t>
  </si>
  <si>
    <t>TI0055 - TI21802</t>
  </si>
  <si>
    <t>IMO000000297908</t>
  </si>
  <si>
    <t>Timisoara</t>
  </si>
  <si>
    <t>avarie pe cablul de last mile</t>
  </si>
  <si>
    <t>CR0782) - CR0130</t>
  </si>
  <si>
    <t>IMO000000297926</t>
  </si>
  <si>
    <t>Mihaiesti</t>
  </si>
  <si>
    <t>provocat de Proconect</t>
  </si>
  <si>
    <t>CL0456 - CL0146 // V.Dornei (BA0213)-CL0146</t>
  </si>
  <si>
    <t>IMO000000297939</t>
  </si>
  <si>
    <t>Bistrita</t>
  </si>
  <si>
    <t>WDM SF_GHEORGHE ( BR0013 ) - BR0760 , Goga_1 ( BR0255 ) - SF_GHEORGHE ( BR0013 )  + NEC BR0013 &lt;&gt; BR0760</t>
  </si>
  <si>
    <t>IMO000000297958</t>
  </si>
  <si>
    <t>Sfantu Gheorghe</t>
  </si>
  <si>
    <t>Attila Kolcze+Mircea Banciu</t>
  </si>
  <si>
    <t>Sapaturi pentru instalare gard ( cu melc)</t>
  </si>
  <si>
    <t>Bucata de cablu intre jonctiune existenta si o camereta noua</t>
  </si>
  <si>
    <t>CL0261 &lt;&gt; CL0694</t>
  </si>
  <si>
    <t>IMO000000297934</t>
  </si>
  <si>
    <t>Varsolt</t>
  </si>
  <si>
    <t>s-a eliberat rezerva si s-a refacut OSC existent</t>
  </si>
  <si>
    <t>CL0916 &lt;&gt; CL0580</t>
  </si>
  <si>
    <t>IMO000000297961</t>
  </si>
  <si>
    <t>Maieru</t>
  </si>
  <si>
    <t>Tras rezerva + 1 OSC NOU</t>
  </si>
  <si>
    <t>TI0461 - TI2999</t>
  </si>
  <si>
    <t>IMO000000297969</t>
  </si>
  <si>
    <t>Caporal Alexa</t>
  </si>
  <si>
    <t>FO rupt in sapatura pe tronson OROC</t>
  </si>
  <si>
    <t>FITT00000131787</t>
  </si>
  <si>
    <t>Ilva mare</t>
  </si>
  <si>
    <t>FO rupta la traversare 24 fo rupta</t>
  </si>
  <si>
    <t>Inlocuit 120m intre 2 osc ex</t>
  </si>
  <si>
    <t>FITT00000131724</t>
  </si>
  <si>
    <t>Sanpetru</t>
  </si>
  <si>
    <t>CL0373FAN1ODB11322</t>
  </si>
  <si>
    <t>FITT00000131833</t>
  </si>
  <si>
    <t>Budacu de Jos</t>
  </si>
  <si>
    <t>Retea data jos pe 7 stalpi - ODB reclamat cu fo rupta</t>
  </si>
  <si>
    <t>LUCRARI ELECTRICA</t>
  </si>
  <si>
    <t>Resudat cablu in ODB , reteaua trebuie mutata pe noii stalpi</t>
  </si>
  <si>
    <t>CL0567FAN1ODB1335</t>
  </si>
  <si>
    <t>FITT00000131839</t>
  </si>
  <si>
    <t>Nasaud</t>
  </si>
  <si>
    <t>comun cu FITT00000131641</t>
  </si>
  <si>
    <t>CL0567FAN1ODB1324</t>
  </si>
  <si>
    <t>FITT00000131844</t>
  </si>
  <si>
    <t>CL2999FAN1ODB404</t>
  </si>
  <si>
    <t>FITT00000131888</t>
  </si>
  <si>
    <t>Mihai Viteazu</t>
  </si>
  <si>
    <t>CR0079FAN2ODB2104</t>
  </si>
  <si>
    <t>FITT00000131889</t>
  </si>
  <si>
    <t>Calafat</t>
  </si>
  <si>
    <t>Fibra rupta la traversarea intre blocuri.</t>
  </si>
  <si>
    <t>Instalat 80m fo si resudat in ODB-uri. Valori ok la ODB2104</t>
  </si>
  <si>
    <t>CR0138FAN1ODB505</t>
  </si>
  <si>
    <t>FITT00000131891</t>
  </si>
  <si>
    <t>Segarcea</t>
  </si>
  <si>
    <t>Loss of signal WDM CL0030 - CL0107, CL0534 - CL30615 + NEC</t>
  </si>
  <si>
    <t>IMO000000298221</t>
  </si>
  <si>
    <t>Bixad</t>
  </si>
  <si>
    <t>Cablu rupt in sapatura firma TOMIALEX / rupt in 2 locuri</t>
  </si>
  <si>
    <t>Lucrari drum</t>
  </si>
  <si>
    <t>Tras rezerva din jonctiune defect si executat 1 jonct nou</t>
  </si>
  <si>
    <t>CR2950FAN3ODB191</t>
  </si>
  <si>
    <t>FITT00000131837</t>
  </si>
  <si>
    <t>Drobeta</t>
  </si>
  <si>
    <t xml:space="preserve">Refacut si ODB si TB 1 </t>
  </si>
  <si>
    <t>ncident reclamatie UPC - Craiova (CR0448) - Slatina (CR0006) -  Link Slatina - Blas  atenuat L34</t>
  </si>
  <si>
    <t>IMO000000298263</t>
  </si>
  <si>
    <t>Slatina</t>
  </si>
  <si>
    <t>Sudura crapata in jonctiune</t>
  </si>
  <si>
    <t>Refacut sudura in jonctine</t>
  </si>
  <si>
    <t>TI0339FAN1ODB1605</t>
  </si>
  <si>
    <t>FITT00000131921</t>
  </si>
  <si>
    <t>Sanmihaiu Roman</t>
  </si>
  <si>
    <t xml:space="preserve">SPL R1 DEFECT IN DP </t>
  </si>
  <si>
    <t>INLOCUIT SPL R1 - PORT ATENUAT</t>
  </si>
  <si>
    <t>FITT00000132000</t>
  </si>
  <si>
    <t xml:space="preserve">Campulung </t>
  </si>
  <si>
    <t xml:space="preserve">Fibra rupta la anvelopare. </t>
  </si>
  <si>
    <t>inlocuit 70m fo intre ODB1058 si 1062. clienti up, valori ok</t>
  </si>
  <si>
    <t>BE0209FAN1ODB23</t>
  </si>
  <si>
    <t>FITT00000132025</t>
  </si>
  <si>
    <t>Bascov</t>
  </si>
  <si>
    <t>INSECTE IN ODB 23</t>
  </si>
  <si>
    <t>REFACUT ODB - SUDURI SI CURATAT</t>
  </si>
  <si>
    <t>I0339FAN1ODB707</t>
  </si>
  <si>
    <t>FITT00000132035</t>
  </si>
  <si>
    <t>Nesincronizare ONT - sudat gresit in DP</t>
  </si>
  <si>
    <t>Sudat in SPL 4 CONFORM NICM</t>
  </si>
  <si>
    <t>BE0067FAN1ODB23</t>
  </si>
  <si>
    <t>FITT00000132036</t>
  </si>
  <si>
    <t xml:space="preserve">Musatesti </t>
  </si>
  <si>
    <t>OSC plin de apa - suduri rupte</t>
  </si>
  <si>
    <t>Refacut suduri OSC intermediar</t>
  </si>
  <si>
    <t>BE2990FAN1ODB47</t>
  </si>
  <si>
    <t>FITT00000132051</t>
  </si>
  <si>
    <t xml:space="preserve">Ciofringeni </t>
  </si>
  <si>
    <t>Fibra smulsa din ODB46.</t>
  </si>
  <si>
    <t>Resudat fibra, valori ok la ODB-uri</t>
  </si>
  <si>
    <t>BR0294FAN1ODB49</t>
  </si>
  <si>
    <t>FITT00000132057</t>
  </si>
  <si>
    <t xml:space="preserve">Sanpetru </t>
  </si>
  <si>
    <t>Fire rupte de insecte</t>
  </si>
  <si>
    <t>olt1-be0209;	Frame=0, Slot=3, Subslot=65535, Port=5;	 occurence_time=2026/07/09 14:26:33;	 clearance_time=	 severity=Major</t>
  </si>
  <si>
    <t>FITT00000132075</t>
  </si>
  <si>
    <t>Fir rupt la 223m de DP spre site</t>
  </si>
  <si>
    <t>Refaccut sudura in OSC</t>
  </si>
  <si>
    <t>CL0704FAN1ODB12425</t>
  </si>
  <si>
    <t>FITT00000132079</t>
  </si>
  <si>
    <t>Borsa</t>
  </si>
  <si>
    <t>fo rupt la lucrari de inlocuire stalp ee</t>
  </si>
  <si>
    <t xml:space="preserve">tras rezerva ,pozitionat odb si refacut suduri. </t>
  </si>
  <si>
    <t>OLT1-CL0522 / Slot : 3
PON3/8, PON3/9, PON3/10, PON3/11, PON3/12</t>
  </si>
  <si>
    <t>FITT00000132085</t>
  </si>
  <si>
    <t>Turda</t>
  </si>
  <si>
    <t>CL0925FAN1ODB2305</t>
  </si>
  <si>
    <t>FITT00000132088</t>
  </si>
  <si>
    <t>Campia turzii</t>
  </si>
  <si>
    <t>Fire rupte in ODB</t>
  </si>
  <si>
    <t>CR0410FAN1ODB11022</t>
  </si>
  <si>
    <t>FITT00000132091</t>
  </si>
  <si>
    <t>Izvorul Barzii</t>
  </si>
  <si>
    <t>CUIB VIESPI IN ODB - BUFFERE DISTRUSE</t>
  </si>
  <si>
    <t>CL2990FAN1ODB0409</t>
  </si>
  <si>
    <t>FITT00000132098</t>
  </si>
  <si>
    <t>Pomi</t>
  </si>
  <si>
    <t>Loss of signal MPR between CL0226 - CL0069</t>
  </si>
  <si>
    <t>IMO000000298425</t>
  </si>
  <si>
    <t>Manastireni</t>
  </si>
  <si>
    <t>120m +2 OSC</t>
  </si>
  <si>
    <t>Loss of signal WDM + SDH + NEC ; BR0265 - BR0787 / Fagaras (BR0781) - Medias (BR0782) / BR0657 - BR0787</t>
  </si>
  <si>
    <t>IMO000000298509</t>
  </si>
  <si>
    <t>Fagaras</t>
  </si>
  <si>
    <t>Generat de PROCONECT</t>
  </si>
  <si>
    <t>Loss of signal MPR between BR0781 - BR0175</t>
  </si>
  <si>
    <t>IMO000000298478</t>
  </si>
  <si>
    <t>TI0313FAN1ODB1826</t>
  </si>
  <si>
    <t>FITT00000132078</t>
  </si>
  <si>
    <t>Sagu</t>
  </si>
  <si>
    <t>semnal atenuat pe tot portul de OLT</t>
  </si>
  <si>
    <t>Inlocuit patch si curatat conectica in site TI0313. Pe traseu nu sunt probleme de atenuari, dar semnalul 1550 pleaca slab din EDFA. Am masurat mai multe porturi libere, emit slab. Traseul pana la DP8 are 18km, iar spl nivel 1 este de 1x8 ceea ce afecteaza deja bugetul optic. Dupa inlocuire patch si curatat conectica in site, s-a masurat -22/-7 la ODB.</t>
  </si>
  <si>
    <t>OLT2-CR2950 / Slot : 4
PON4/5, PON4/9, PON4/10</t>
  </si>
  <si>
    <t>FITT00000132150</t>
  </si>
  <si>
    <t>Solutie provizorie - instalat jonctiune provizoriu</t>
  </si>
  <si>
    <t xml:space="preserve">Fibra rupta in cadrul unor lucrari la un imobil. </t>
  </si>
  <si>
    <t>S-a instalat o jonctiune. Porturile sunt up.</t>
  </si>
  <si>
    <t>OLT1-TI0166 / Slot : 1
PON1/13, PON1/14</t>
  </si>
  <si>
    <t>FITT00000132168</t>
  </si>
  <si>
    <t>Ciacova</t>
  </si>
  <si>
    <t xml:space="preserve">Fibra agatata de agabaritic si smulsa din OSC. </t>
  </si>
  <si>
    <t>Resudat osc, porturi up.</t>
  </si>
  <si>
    <t>CL0047FAN1ODB1810</t>
  </si>
  <si>
    <t>FITT00000132192</t>
  </si>
  <si>
    <t>Apahida</t>
  </si>
  <si>
    <t>Inlocuit ambele splitere din ODB, erau coapte. capac lipsa</t>
  </si>
  <si>
    <t>Inlocuit ambele splitere din ODB, erau coapte. instalat capac odb</t>
  </si>
  <si>
    <t>FITT00000132193</t>
  </si>
  <si>
    <t>Jidostita</t>
  </si>
  <si>
    <t>Fir rupt in DP6</t>
  </si>
  <si>
    <t xml:space="preserve"> resudat fir, valori ok la ODB.</t>
  </si>
  <si>
    <t>CR0056FAN2ODB2511</t>
  </si>
  <si>
    <t>FITT00000132214</t>
  </si>
  <si>
    <t>Baia de Arama</t>
  </si>
  <si>
    <t>Fir rupt in DP5.</t>
  </si>
  <si>
    <t xml:space="preserve"> Resudat fir, client up, valori ok la ODB</t>
  </si>
  <si>
    <t>WDM CR0034 - BE0410 / CR0034 - CR0006 + SDH + NEC CR0292-BE0410 / CR0169 - CR0448</t>
  </si>
  <si>
    <t>IMO000000298778</t>
  </si>
  <si>
    <t>Solutie provizorie- atenuare suplimintara</t>
  </si>
  <si>
    <t xml:space="preserve"> Vali Lazar + Gabi Mitrica</t>
  </si>
  <si>
    <t>S-a indentificat incidental la cota https://maps.app.goo.gl/6E3QdG7msUMmtv5s6  44.434917, 24.556875 agatat de un utilaj agricol.</t>
  </si>
  <si>
    <t>S-au instalat 100m fo24 + 2 OSC-uri. Tronson fo24 afectat si documentat si acum 1 an la IMO193629. Nu trebuie documentat in NICM.</t>
  </si>
  <si>
    <t>CL0066FAN1ODB1414</t>
  </si>
  <si>
    <t>FITT00000132409</t>
  </si>
  <si>
    <t>Sighetul Marmatiei</t>
  </si>
  <si>
    <t>ODB1414 fara semnal, fo rupta,spliter rupt, probabil vandalizat.</t>
  </si>
  <si>
    <t>Refacut lipitura in ODB1414 si inlocuit spliter. Clienti Up, semnal OK.</t>
  </si>
  <si>
    <t>OLT1-TI0078 / Slot : 3 / PON3/13</t>
  </si>
  <si>
    <t>FITT00000132419</t>
  </si>
  <si>
    <t>Sebis</t>
  </si>
  <si>
    <t>Port OLT PON3/13 picat. Sudura sparta in DP2.</t>
  </si>
  <si>
    <t>S-a refacut sudura in DP2,clientii s-au ridicat si semnalul este OK.</t>
  </si>
  <si>
    <t>BR0516 - BR0948 - BR0433</t>
  </si>
  <si>
    <t>IMO000000298862</t>
  </si>
  <si>
    <t>Brasov</t>
  </si>
  <si>
    <t>Conform NICM avem 3.3km, noi am masurat 3.74km. Din istoric stim ca traseul are 4,1km, deci incidentul este la 360m de site BR0516 in varful muntelui unde nu avem acces cu utilaje, doar pietonal.</t>
  </si>
  <si>
    <t>S-a facut swap de fire astfel: in BR0516 s-a mutat de pe firul 8 pe firul 6, iar in BR0948 s-a mutat firul 14 pe firul 6</t>
  </si>
  <si>
    <t>CR30304FAN1ODB217</t>
  </si>
  <si>
    <t>FITT00000132432</t>
  </si>
  <si>
    <t>Rosiori de Vede</t>
  </si>
  <si>
    <t xml:space="preserve"> Vali Lazar + Tene Marius</t>
  </si>
  <si>
    <t>ODB fara semnal, cablu fo de la ODB217 a fost taiat (vandalizat) de un autor necunoscut.</t>
  </si>
  <si>
    <t>S-a eliberat rezerva, s-a instalat un OSC si s-a resudat. Semnal OK, client UP.</t>
  </si>
  <si>
    <t>CL0245FAN1ODB1238</t>
  </si>
  <si>
    <t>FITT00000132447</t>
  </si>
  <si>
    <t xml:space="preserve">SALISTEA DE SUS </t>
  </si>
  <si>
    <t>ODB1238 fara semnal, a fost rupta firul fo cu semnal in ODB1237 de catre viespi.</t>
  </si>
  <si>
    <t>S-a refacut sudura in ODB1237, ODB1238 are semnal ok si clientii sunt UP.</t>
  </si>
  <si>
    <t>CR2993FAN2ODB2502</t>
  </si>
  <si>
    <t>FITT00000132446</t>
  </si>
  <si>
    <t>Calarasi</t>
  </si>
  <si>
    <t>Cosmin Gavrila + Valer Urdu</t>
  </si>
  <si>
    <t>Cablul fo12 intre ODB2503 si ODB2502 s-a ros de stalp.</t>
  </si>
  <si>
    <t>Neavand suficienta rezerva a fost necesar instalare 100m fo12 si 2 OSC-uri. Clientii sunt functionali si semnalul in parametrii.</t>
  </si>
  <si>
    <t>OLT1-BR0018 / Slot : 2 PON2/1, PON2/2, PON2/5</t>
  </si>
  <si>
    <t>FITT00000132471</t>
  </si>
  <si>
    <t>Acatari</t>
  </si>
  <si>
    <t>fo72</t>
  </si>
  <si>
    <t>S-a descoperit incidental la coordonatele 46.466305 24.674710 cablul fo48 a fost rupt probabil de un utilaj agricol.</t>
  </si>
  <si>
    <t>S-a instalat 120m fo48, s-a instalat un OSC nou si s-a refăcut o joncțiune existenta. Clienti UP si semnal in parametrii.</t>
  </si>
  <si>
    <t>46.466305 24.674710</t>
  </si>
  <si>
    <t>TI0150FAN1ODB1323</t>
  </si>
  <si>
    <t>FITT00000132487</t>
  </si>
  <si>
    <t>Cenad</t>
  </si>
  <si>
    <t>ODB fara semnal, fir semnal rupt in ODB1323.</t>
  </si>
  <si>
    <t>S-a rafacut sudura la spliter in ODB1323. Semnal in parametrii, client UP.</t>
  </si>
  <si>
    <t>BE0110FAN1ODB15</t>
  </si>
  <si>
    <t>FITT00000132490</t>
  </si>
  <si>
    <t>SLOBOZIA</t>
  </si>
  <si>
    <t>ODB15 fara semnal. Fibra fo afectata de insect.</t>
  </si>
  <si>
    <t>S-a refacut sudura in ODB15. Semnal OK, client UP.</t>
  </si>
  <si>
    <t>BE0081FAN1ODB45</t>
  </si>
  <si>
    <t>FITT00000132494</t>
  </si>
  <si>
    <t>Mioveni</t>
  </si>
  <si>
    <t>ODB45 fara semnal. Fir fo rupt de viespi la 165m in ODB46.</t>
  </si>
  <si>
    <t>S-a refacut sudura in ODB46. Semnalul in ODB45 este OK si clientii sunt UP.</t>
  </si>
  <si>
    <t>Dumbravita (BR0433) - BR0024 / BR0433 - Fagaras (BR0781) / BR0007 - BR0433</t>
  </si>
  <si>
    <t>IMO000000299008</t>
  </si>
  <si>
    <t>Tras rez + 1 osc in camereta existenta</t>
  </si>
  <si>
    <t>Deva (TI0195) - TI0008 / TI0032 - TI0195 / TI0195 - Lugoj (TI0543)</t>
  </si>
  <si>
    <t>IMO000000299036</t>
  </si>
  <si>
    <t>Deva</t>
  </si>
  <si>
    <t>Solutie provizorie - necesar camereta</t>
  </si>
  <si>
    <t>Echipa Mota- Calin Motiu</t>
  </si>
  <si>
    <t>Cablu rupt in sapatura - utilitati</t>
  </si>
  <si>
    <t>Tras rez + 1 OSC nou</t>
  </si>
  <si>
    <t>CL0111 - CL0756 // CL0756 - CL0210</t>
  </si>
  <si>
    <t>IMO000000299127</t>
  </si>
  <si>
    <t>Cluj-Napoca</t>
  </si>
  <si>
    <t>Fibra rupta in cluj arena</t>
  </si>
  <si>
    <t>instalat 150m fo intre jonctiune existenta si odf CL0756</t>
  </si>
  <si>
    <t>OLT1-TI2954 / Slot : 3 / PON3/1</t>
  </si>
  <si>
    <t>FITT00000132567</t>
  </si>
  <si>
    <t>Buzias</t>
  </si>
  <si>
    <t>FLorin Ciuca</t>
  </si>
  <si>
    <t>2 Porturi OLT down: TI2954 / Slot : PON3/1 , PON2/15. Fibra smulsa intre armorozi de un utilaj care descarca lemne intre DP16 si ODB11631.</t>
  </si>
  <si>
    <t>S-au instalat 120m fo24 si 2 buc OSC-uri. Clientii s-au ridicat, semnalul este in parametrii.</t>
  </si>
  <si>
    <t>45.667277° 21.557778°</t>
  </si>
  <si>
    <t>TI2954FAN1ODB11632</t>
  </si>
  <si>
    <t>FITT00000132568</t>
  </si>
  <si>
    <t>comun cu FITT00000132567</t>
  </si>
  <si>
    <t>Comun cu FITT00000132567</t>
  </si>
  <si>
    <t>FITT00000132617</t>
  </si>
  <si>
    <t>Sag</t>
  </si>
  <si>
    <t>ODB1812 vandalizat.</t>
  </si>
  <si>
    <t>S-a inlocuit ODB-ul si sliterul optic 2. Clientii sunt UP si semnal OK.</t>
  </si>
  <si>
    <t>OLT1-BE0039 / Slot : 1 PON1/3, PON1/4</t>
  </si>
  <si>
    <t>FITT00000132663</t>
  </si>
  <si>
    <t>Livezeni</t>
  </si>
  <si>
    <t>4 porturi OLT down. OLT1-BE0039 / Slot : 1 PON1/3, PON1/4, PON2/6, PON2/11</t>
  </si>
  <si>
    <t>Rozator</t>
  </si>
  <si>
    <t xml:space="preserve">Problema indentificata la 2,2km de site in ODB18, unde un soarece isi facuse adapost si a ros cablul fo. S-a resudat cablul fo, clientii sunt UP si semnalul in paramentrii.
</t>
  </si>
  <si>
    <t>LOSS OF SIGNAL WDM TI0298 &lt;&gt; TI0109 + NEC TI0298 &lt;&gt; TI0109 , TI0431 &lt;&gt; TI0445 , TI0427 &lt;&gt; TI1809</t>
  </si>
  <si>
    <t>IMO000000299089</t>
  </si>
  <si>
    <t xml:space="preserve">Cablu taiat la sifon </t>
  </si>
  <si>
    <t>S-a instalat  bucata de cablu si doua jonctiuni</t>
  </si>
  <si>
    <t>BE0539FAN1ODB63</t>
  </si>
  <si>
    <t>FITT00000132638</t>
  </si>
  <si>
    <t>ODB63 fara semnal, fibra rupta in ODB59</t>
  </si>
  <si>
    <t>ODB63 fara semnal, fibra rupta in ODB59.
S-a resudat firul in ODB59. Semnal OK, clienti UP.</t>
  </si>
  <si>
    <t>FITT00000132674</t>
  </si>
  <si>
    <t>Sapanta</t>
  </si>
  <si>
    <t>ODB1613 fara semnal, ODB gasit intredeschis si un cuib de soareci care a ros cablul fo.</t>
  </si>
  <si>
    <t>S-a refacut cablu si lipituri,inchis odb si pus cauciuc natural in ODB1613. Clienti UP, semnal OK.</t>
  </si>
  <si>
    <t>BR2700FAN1ODB1201</t>
  </si>
  <si>
    <t>FITT00000132746</t>
  </si>
  <si>
    <t>fo6</t>
  </si>
  <si>
    <t>ODB1201 fara semnal. Cablu fo de la odb agatar de masina de gunoi.</t>
  </si>
  <si>
    <t>S-au instalat 2 OSC-uri si 60m cablu fo12. Clientii sunt UP, semnal in paramentrii.</t>
  </si>
  <si>
    <t>BR0402 M.C.BSC - BR0157 M.C. - BR0122 Vlahita</t>
  </si>
  <si>
    <t>IMO000000299349</t>
  </si>
  <si>
    <t>Miercurea Ciuc</t>
  </si>
  <si>
    <t>Ilea Gabriel + Vladarean Alexandru</t>
  </si>
  <si>
    <t>Echipa a efectuat masuratori din BR0402 ODF_04 P13-14 si lungimea indicata este la 1,64km de site. Incident la cota 46.345778, 25.819528.</t>
  </si>
  <si>
    <t>S-a instalat 100m fo48 si 2 OSC-uri.</t>
  </si>
  <si>
    <t>46.345778, 25.819528</t>
  </si>
  <si>
    <t>TI0339FAN1ODB2208</t>
  </si>
  <si>
    <t>FITT00000132788</t>
  </si>
  <si>
    <t>SANMIHAIU ROMAN</t>
  </si>
  <si>
    <t>ODB2208 spl1 s-a constatat lipsa semnal la ODB. Necesar sudare la stalp, firele sunt rupte la intrare in ODB.</t>
  </si>
  <si>
    <t>S-a inlocuit si sudat spliterul la ODB2208. Semnal OK, client UP.</t>
  </si>
  <si>
    <t>OLT1-CR0048 / Slot : 3 / PON3/10</t>
  </si>
  <si>
    <t>FITT00000132774</t>
  </si>
  <si>
    <t>Stoina</t>
  </si>
  <si>
    <t>Denis Pirciu</t>
  </si>
  <si>
    <t>Toma Marius</t>
  </si>
  <si>
    <t>Port OLT picat Slot : 3 / PON3/10. ODB21021 3 client fara semnal.</t>
  </si>
  <si>
    <t>Sudura defecta in DP1 (OSC1) la 1,17km din site CR0048. Clientii sunt UP si semnalul in parametrii.</t>
  </si>
  <si>
    <t>44.656722, 23.647861 fir 38 busit in OSC1000. S-a facut swap intre OSC1 si OSC1001 de pe fo38 pe fo39</t>
  </si>
  <si>
    <t>FITT00000132800</t>
  </si>
  <si>
    <t>Campia Turzii</t>
  </si>
  <si>
    <t>refacut sudura in ODB</t>
  </si>
  <si>
    <t>FITT00000132840</t>
  </si>
  <si>
    <t>Fir rupt in ODB, s-a resudat. Valori ok la ODB: -18/0.5</t>
  </si>
  <si>
    <t>BE0461FAN2ODB18</t>
  </si>
  <si>
    <t>FITT00000132897</t>
  </si>
  <si>
    <t>Albota</t>
  </si>
  <si>
    <t>Fir nesudat  la DP7. Resudat fibra, valori ok la ODB.</t>
  </si>
  <si>
    <t>Fir rupt la DP7. Resudat fibra, valori ok la ODB.</t>
  </si>
  <si>
    <t>BR0294FAN2ODB105</t>
  </si>
  <si>
    <t>FITT00000132865</t>
  </si>
  <si>
    <t>OUT 7 RUPT IN ODB</t>
  </si>
  <si>
    <t xml:space="preserve">INLCUIT PIGTAIL PE OUT 7 </t>
  </si>
  <si>
    <t>BE2997FAN1ODB138</t>
  </si>
  <si>
    <t>FITT00000132861</t>
  </si>
  <si>
    <t>Albestii de Arges</t>
  </si>
  <si>
    <t>Cuib de viespi in ODB 65 intermediar</t>
  </si>
  <si>
    <t>BE0209FAN1ODB277</t>
  </si>
  <si>
    <t>FITT00000132772</t>
  </si>
  <si>
    <t>Sudura sparta la 232m de ODB</t>
  </si>
  <si>
    <t>Refacut sudura in osc intermediar</t>
  </si>
  <si>
    <t>TI0117FAN1ODB1501</t>
  </si>
  <si>
    <t>FITT00000132969</t>
  </si>
  <si>
    <t>Izvin</t>
  </si>
  <si>
    <t>Fir rupt in ODB1503.</t>
  </si>
  <si>
    <t xml:space="preserve"> Resudat fir, valori ok, clienti up.</t>
  </si>
  <si>
    <t>CR2950FAN3ODB1</t>
  </si>
  <si>
    <t>FITT00000132965</t>
  </si>
  <si>
    <t xml:space="preserve">Fir rupt in sudura la DP1. </t>
  </si>
  <si>
    <t>Resudat fir, valori ok la ODB, clienti up.</t>
  </si>
  <si>
    <t>FITT00000132978</t>
  </si>
  <si>
    <t>CL0053FAN1ODB1104</t>
  </si>
  <si>
    <t>FITT00000132987</t>
  </si>
  <si>
    <t>Coltirea</t>
  </si>
  <si>
    <t xml:space="preserve">Cablu rupt la traversare drum. </t>
  </si>
  <si>
    <t>Tras rezerva din dp si executat 1 jonct noua. Valori ok la ODB.</t>
  </si>
  <si>
    <t>CR2950FAN5ODB265</t>
  </si>
  <si>
    <t>FITT00000132985</t>
  </si>
  <si>
    <t xml:space="preserve">Fibra taiata la bloc. </t>
  </si>
  <si>
    <t>Adus rezerva din ODB precedent si sudat in ODB265. Valori ok la ODB.</t>
  </si>
  <si>
    <t>FITT00000132984</t>
  </si>
  <si>
    <t xml:space="preserve">Fibra rupta de viespe in ODB. </t>
  </si>
  <si>
    <t>Viespe</t>
  </si>
  <si>
    <t>Resudat fibra, valori ok, clienti up.</t>
  </si>
  <si>
    <t xml:space="preserve"> TI3503 – TI0055</t>
  </si>
  <si>
    <t>IMO000000299808</t>
  </si>
  <si>
    <t>Verificari semnal la spliter nivel 1</t>
  </si>
  <si>
    <t>semnal ok, s-a intors catre PRIME</t>
  </si>
  <si>
    <t>CL2993FAN1ODB51</t>
  </si>
  <si>
    <t xml:space="preserve">FITT00000132999 </t>
  </si>
  <si>
    <t>Ghirisu de Cris</t>
  </si>
  <si>
    <t>Buffer rupt in ODB.Cauza viespi in ODB</t>
  </si>
  <si>
    <t xml:space="preserve"> Resudat fibra. Valori ok, clienti up.</t>
  </si>
  <si>
    <t>CL0212FAN1ODB62</t>
  </si>
  <si>
    <t xml:space="preserve">FITT00000133018 </t>
  </si>
  <si>
    <t>Santandrei</t>
  </si>
  <si>
    <t>Buffer rupt in ODB.</t>
  </si>
  <si>
    <t xml:space="preserve"> Resudat buffer, valori ok.</t>
  </si>
  <si>
    <t>CL0047FAN1ODB1613</t>
  </si>
  <si>
    <t>FITT00000133023</t>
  </si>
  <si>
    <t xml:space="preserve">ODB fara capac, pigtai-uri rupte. </t>
  </si>
  <si>
    <t>Mediu exterior</t>
  </si>
  <si>
    <t>S-a inlocuit ODB si s-a instalat spliter suplimentar in ODB. Valori ok, s-au verificat ambele splitere in NCE FAN.</t>
  </si>
  <si>
    <t>BE0817FAN1ODB172</t>
  </si>
  <si>
    <t>FITT00000133040</t>
  </si>
  <si>
    <t>Poiana Lacului</t>
  </si>
  <si>
    <t>Fibra rupta de parsi in ODB172.</t>
  </si>
  <si>
    <t>Inlocuit 2 splitere si 4 pigtail. Valori ok, clienti up.</t>
  </si>
  <si>
    <t>CL0732FAN2ODB3714</t>
  </si>
  <si>
    <t>FITT00000133026</t>
  </si>
  <si>
    <t>Carei</t>
  </si>
  <si>
    <t>Fir rupt in DP37</t>
  </si>
  <si>
    <t xml:space="preserve"> Resudat fir, valori ok la ODB, clienti up.</t>
  </si>
  <si>
    <t>BR0471FAN1ODB0607</t>
  </si>
  <si>
    <t>FITT00000133044</t>
  </si>
  <si>
    <t>Panet</t>
  </si>
  <si>
    <t>Eliberat rezerve si instalat OSC nou.</t>
  </si>
  <si>
    <t>FITT00000133004</t>
  </si>
  <si>
    <t>Nojorid</t>
  </si>
  <si>
    <t>patch defect in CL0601.</t>
  </si>
  <si>
    <t xml:space="preserve"> Inlocuit patch, valori ok pe port.</t>
  </si>
  <si>
    <t>IMO000000299926</t>
  </si>
  <si>
    <t>Deda</t>
  </si>
  <si>
    <t>Alex+ indieni - NETCONSTRUCT</t>
  </si>
  <si>
    <t>F-cut la 15.8km de BR0202 catre BR0200</t>
  </si>
  <si>
    <t>S-au instalat 360 m FO 24si s-au executat 3 jonctiuni</t>
  </si>
  <si>
    <t>Loss of signal MPR BR0501 - BR0015 in Brasov</t>
  </si>
  <si>
    <t>IMO000000299929</t>
  </si>
  <si>
    <t>Fundata</t>
  </si>
  <si>
    <t>Fibre rupte in J_IMO172558</t>
  </si>
  <si>
    <t>Refacut suduri  J_IMO172558</t>
  </si>
  <si>
    <t>OLT1-CL0602 / Slot : 1 / PON1/12   Slot : 2 / PON2/1</t>
  </si>
  <si>
    <t xml:space="preserve">FITT00000133067 </t>
  </si>
  <si>
    <t>Salard</t>
  </si>
  <si>
    <t>Instalat 100m fo si 2 jonctiuni</t>
  </si>
  <si>
    <t>BR2700FAN1ODB0701</t>
  </si>
  <si>
    <t xml:space="preserve">FITT00000132974 </t>
  </si>
  <si>
    <t>BRANCOVENESTI</t>
  </si>
  <si>
    <t>GIurgiuman</t>
  </si>
  <si>
    <t>Pigtail defecte in TB01. Refacut TB01</t>
  </si>
  <si>
    <t>Loss of signal WDM BR0378 - Medias BR0782 / Sibiu BR0375 - BR0378</t>
  </si>
  <si>
    <t>IMO000000299984</t>
  </si>
  <si>
    <t>Sura Mare</t>
  </si>
  <si>
    <t>Solutie provizorie - atenuare + camerete</t>
  </si>
  <si>
    <t>Alin Nonu/Victor Lazar</t>
  </si>
  <si>
    <t>Fibra rupta in sapatura de firma care face canalizatie</t>
  </si>
  <si>
    <t>OLT2-BR0294 / Slot : 2 PON2/2, PON2/3</t>
  </si>
  <si>
    <t xml:space="preserve">FITT00000133100 </t>
  </si>
  <si>
    <t>comun cu FITT133101</t>
  </si>
  <si>
    <t xml:space="preserve"> OLT1-BR0294 / Slot : 4 Slot 5 Slot 6 Slot 7</t>
  </si>
  <si>
    <t xml:space="preserve">FITT00000133101 </t>
  </si>
  <si>
    <t>Fibra rupta de firma care instaleaza utilitati publice. Eliberat rezerva, instalat OSC nou si camereta. Porturi UP</t>
  </si>
  <si>
    <t>TI0150FAN1ODB1725</t>
  </si>
  <si>
    <t xml:space="preserve">FITT00000133107 </t>
  </si>
  <si>
    <t>Fir rupt in ODB1725</t>
  </si>
  <si>
    <t>Refacut sudura in ODB1725</t>
  </si>
  <si>
    <t>CL2999FAN1ODB1002</t>
  </si>
  <si>
    <t xml:space="preserve">FITT00000133112 </t>
  </si>
  <si>
    <t>Mihai Viteaza</t>
  </si>
  <si>
    <t>FP Conect</t>
  </si>
  <si>
    <t>Fir atenuat in sudura in CL2999FAN1ODB1002. Refacut sudura in CL2999FAN1ODB1002</t>
  </si>
  <si>
    <t>Loss of signal WDM CL0005 - CL0448 / Poieni ( CL0781) - Oradea ( CL0229)  + SDH</t>
  </si>
  <si>
    <t>IMO000000300032</t>
  </si>
  <si>
    <t>Negreni</t>
  </si>
  <si>
    <t>Solutie provizorie - se aduce in solutie finala pe relocarea constructorului</t>
  </si>
  <si>
    <t>BR2700FAN1ODB0802</t>
  </si>
  <si>
    <t xml:space="preserve">FITT00000133134 </t>
  </si>
  <si>
    <t>Giurgiuman/Florin Oltean</t>
  </si>
  <si>
    <t>Fir rupt in ODB808 de viespe.</t>
  </si>
  <si>
    <t>Resudat fir, clienti up cu valori ok.</t>
  </si>
  <si>
    <t>OLT2-CR2950 / Slot : 3 PON3/3, PON3/11</t>
  </si>
  <si>
    <t xml:space="preserve">FITT00000133135 </t>
  </si>
  <si>
    <t>Pentru remedierea portului 3 slot 3 s-au gasit de catre tehnicieni fibre defecte in ODB17. S-a refacut ODB17 si clientii s-au ridicat in jurul orelor 20:40. Pentru remedierea portului 11 slot 3 s-a masurat din ODB205 si s-a identificat cu lumina rosie fibra rupta in DP21. Acest DP este etichetat in teren ca fiind OSC31. Aceste doua porturi nu prezinta cauzalitate comuna fiind locatii de remediere diferita si porturile picate la ore diferite.</t>
  </si>
  <si>
    <t>OLT1-TI0166 / Slot : 1 PON1/13, PON1/14</t>
  </si>
  <si>
    <t xml:space="preserve">FITT00000133139 </t>
  </si>
  <si>
    <t>Fibra smulsa din OSC. Refacut OSC.</t>
  </si>
  <si>
    <t>OLT1-TI0337 / Slot : 3 / PON3/11</t>
  </si>
  <si>
    <t xml:space="preserve">FITT00000133110 </t>
  </si>
  <si>
    <t>Mosnita noua</t>
  </si>
  <si>
    <t>S-a masurat semnat in site si este in parametri. S-a masurat catre Dp si fibra arata bine.S-a refacut sudura in DP si s-a verificat nivel semnal in ODB de la coordonatele din foto primita de la tehnician</t>
  </si>
  <si>
    <t>TI0117FAN1ODB1104</t>
  </si>
  <si>
    <t xml:space="preserve">FITT00000133154 </t>
  </si>
  <si>
    <t xml:space="preserve">RECAS </t>
  </si>
  <si>
    <t>Fibra atenuata  in ODB1104</t>
  </si>
  <si>
    <t xml:space="preserve">FITT00000133155 </t>
  </si>
  <si>
    <t>autorecovery</t>
  </si>
  <si>
    <t>BE0461FAN1ODB61</t>
  </si>
  <si>
    <t xml:space="preserve">FITT00000133191 </t>
  </si>
  <si>
    <t>Fibre roase de viespi in ODB59. S-a refacut ODB59</t>
  </si>
  <si>
    <t>BE0461FAN1ODB63</t>
  </si>
  <si>
    <t>FITT00000133221</t>
  </si>
  <si>
    <t xml:space="preserve">Comun cu FITT133191 </t>
  </si>
  <si>
    <t>BE0461FAN1ODB62</t>
  </si>
  <si>
    <t xml:space="preserve">FITT00000133222 </t>
  </si>
  <si>
    <t>FITT00000133259</t>
  </si>
  <si>
    <t>Logreasti</t>
  </si>
  <si>
    <t>Fibra rupta in ODB1324</t>
  </si>
  <si>
    <t>CR2950FAN3ODB374</t>
  </si>
  <si>
    <t>FITT00000133266</t>
  </si>
  <si>
    <t xml:space="preserve">Drobeta </t>
  </si>
  <si>
    <t>Fibra rupta in ODB0374</t>
  </si>
  <si>
    <t xml:space="preserve"> S-a identificat si s-a resudat fibra rupta .</t>
  </si>
  <si>
    <t>Balvanesti (CR0783) - Craiova_TCR (CR0448)</t>
  </si>
  <si>
    <t>IMO000000300311</t>
  </si>
  <si>
    <t>Balvanesti</t>
  </si>
  <si>
    <t>Fibra sdh atenuata 8 db</t>
  </si>
  <si>
    <t>S-a indreptat cablul la cald</t>
  </si>
  <si>
    <t xml:space="preserve">WDM Cluj CL0522 - CL0548 </t>
  </si>
  <si>
    <t>IMO000000300690</t>
  </si>
  <si>
    <t xml:space="preserve">Turda </t>
  </si>
  <si>
    <t>Cablu ars in urma unui scurt circuit</t>
  </si>
  <si>
    <t>S-a introdus bucata de cablu 12FO  si s-au executat 2 jonctiuni</t>
  </si>
  <si>
    <t xml:space="preserve"> TI0258FAN2ODB2427</t>
  </si>
  <si>
    <t>FITT00000133339</t>
  </si>
  <si>
    <t xml:space="preserve">Pecica </t>
  </si>
  <si>
    <t>Fibra mancata de viespi in ODB2423</t>
  </si>
  <si>
    <t>S-a identificat si s-a refacut ODB2423.</t>
  </si>
  <si>
    <t>FITT00000133349</t>
  </si>
  <si>
    <t xml:space="preserve">Prunisor </t>
  </si>
  <si>
    <t>Fibra rupta in ODB1113</t>
  </si>
  <si>
    <t>CR2950FAN7ODB1113</t>
  </si>
  <si>
    <t>FITT00000133352</t>
  </si>
  <si>
    <t>FIR rupt in ODB0209</t>
  </si>
  <si>
    <t>FITT00000133354</t>
  </si>
  <si>
    <t>Lazar VICTOR + Marius Codau</t>
  </si>
  <si>
    <t>ODB7504 fara semnal 3 client down. Fir cu semnal rupt in ODB7507.</t>
  </si>
  <si>
    <t>S-a resudat firul in ODB7507, acum clientii din ODB7504 sunt UP si semnalul este in parametrii.</t>
  </si>
  <si>
    <t>TI0339FAN1ODB1001</t>
  </si>
  <si>
    <t>FITT00000133368</t>
  </si>
  <si>
    <t xml:space="preserve">Sanmihaiu Roman </t>
  </si>
  <si>
    <t>Popa Alex</t>
  </si>
  <si>
    <t>Cablu rupt in ODB1001.</t>
  </si>
  <si>
    <t>S-a identificat si s-a refacut ODB1001.</t>
  </si>
  <si>
    <t xml:space="preserve"> BE0782 - BR0433</t>
  </si>
  <si>
    <t xml:space="preserve"> IMO000000300819</t>
  </si>
  <si>
    <t>Rucar</t>
  </si>
  <si>
    <t>atenuare la 3.82km de BE0782 Rucar spre BR0433 Dumbravita.</t>
  </si>
  <si>
    <t>Fibra atenuata in in canalizatie, afectare partiala. S-a indeptat la cald + probleme patch in site rucar</t>
  </si>
  <si>
    <t xml:space="preserve"> GTS L179 Balvanesti (CR0783) -  Caransebes (TI0781) </t>
  </si>
  <si>
    <t>IMO000000300824</t>
  </si>
  <si>
    <t>Pascau Ionut + DATA ZYX</t>
  </si>
  <si>
    <t>catenara distrusa de debitul ridicat al raului Timis, fibra atenuata puternic in camereta din apropiere</t>
  </si>
  <si>
    <t xml:space="preserve">CR0445 CR0094 </t>
  </si>
  <si>
    <t>IMO000000300459</t>
  </si>
  <si>
    <t xml:space="preserve">Cotmeanca </t>
  </si>
  <si>
    <t>Fibra rupta in urma unor caderi de copaci</t>
  </si>
  <si>
    <t xml:space="preserve">S-a swapat circuitul provizoriu de pe fibra 5 pe fibra 2- s-a adus in solutie finala si mutat inapoi circuitul conform NICM </t>
  </si>
  <si>
    <t>CL0593FAN1ODB1711</t>
  </si>
  <si>
    <t>FITT00000133510</t>
  </si>
  <si>
    <t>DESESTI</t>
  </si>
  <si>
    <t xml:space="preserve">Un utilaj agabaritic a rupt stalpul si fo24 de rupta langa ODB1711. </t>
  </si>
  <si>
    <t>S-a eliberat rezerva de la ODB1711 si s-a sudat un OSC intermediat. Clientul este UP, semnal OK.</t>
  </si>
  <si>
    <t>BR4715 - BR0268</t>
  </si>
  <si>
    <t>IMO000000300950</t>
  </si>
  <si>
    <t>client demontat</t>
  </si>
  <si>
    <t>WDM TI0062 - TI0008</t>
  </si>
  <si>
    <t>IMO000000300951</t>
  </si>
  <si>
    <t>Mocan Ioan + Chicidea Marius</t>
  </si>
  <si>
    <t>S-a identificat cablu OROC rupt de agabaritic la cota  46.006056, 22.442583 https://maps.app.goo.gl/je3DycoiMPfqYZGX8</t>
  </si>
  <si>
    <t>S-a instalat 100m fo24 si 2 osc-uri.</t>
  </si>
  <si>
    <t>CL0430 - CL0223</t>
  </si>
  <si>
    <t>IMO000000301021</t>
  </si>
  <si>
    <t>Oradea</t>
  </si>
  <si>
    <t>Problema identificata la cota 47,1159 21,9569 unde un stalp de Oroc a fost rupt si tot aici s-a rupt si cablul fo. Nu se poate remedia provizoriu deoarece distanta de traversare strada este prea mare, si nici pe carosabil nu se poate lasa peste noapte. Am primit asigurari ca stalpul va fi montat pana maine dimineata la ora 08:00, si  noi putem sa revenim la ora 09:00 sa ridicam link-ul.</t>
  </si>
  <si>
    <t xml:space="preserve">S-au instalare 3 stalpi compozit, 200m fo24, 2osc-uri, 2 kit OSC. </t>
  </si>
  <si>
    <t>OLT1-CL0567 / Slot : 2 / PON2/1</t>
  </si>
  <si>
    <t>FITT00000133532</t>
  </si>
  <si>
    <t>Bistrita Nasaud</t>
  </si>
  <si>
    <t>Electrica inlocuieste stalpii de current 9buc. OSC cu DP8 era taiat si l-am gasit la ei pe masina. Necesar reconstructive retea, instalare 500m fo48, sudat DP8, sudar DP9 si 1 OSC.</t>
  </si>
  <si>
    <t>A fost necesara reconstructie retea, instalare 480m fo48, refacut DP8 , refacut OSC30 48s si 1 OSC nou 48s, 3 cruci, echipat 10st.</t>
  </si>
  <si>
    <t>TI0337FAN1ODB2914</t>
  </si>
  <si>
    <t>FITT00000133506</t>
  </si>
  <si>
    <t xml:space="preserve">Mosnita Noua </t>
  </si>
  <si>
    <t>Fuleky Erno</t>
  </si>
  <si>
    <t>"lipsa semnal ODB" -TI0337FAN1ODB2914, SPL3. Fir semnal spliter rupt.</t>
  </si>
  <si>
    <t>S-a sudat firul de semnal de la spliterul optic 3. Clientii sunt UP, si semnal in parametrii.</t>
  </si>
  <si>
    <t>FITT00000133557</t>
  </si>
  <si>
    <t xml:space="preserve">GIRISU DE CRIS </t>
  </si>
  <si>
    <t>ODB51 fara semnal, problema la 100m de ODB in ODB52 (cuib de viespi).</t>
  </si>
  <si>
    <t>S-a resudat firul cu semnal din ODB52. Semnal in parametrii in ODB51.</t>
  </si>
  <si>
    <t>FITT00000133571</t>
  </si>
  <si>
    <t xml:space="preserve">BRANCOVENESTI </t>
  </si>
  <si>
    <t>S-a verificat ODB0701 si se provizioneaza corect avand client online pe 3/13. Am solicitat locatia exacta a TB-ului deoarece nu avem poze geotagate, insa nu s-au primit. Am inchis tichetul la solicitarea TMC.</t>
  </si>
  <si>
    <t>OLT1-CL0601 / Slot : 1 PON1/14, PON1/15 ; OLT1-CL0601 / Slot : 2 PON2/2, PON2/3, PON2/5, PON2/6, PON2/7, PON2/9</t>
  </si>
  <si>
    <t xml:space="preserve">FITT00000133583 </t>
  </si>
  <si>
    <t>Farkas Balazs + Fezer Gavril + Belea Dan</t>
  </si>
  <si>
    <t>Farkas Balazs + Fezer Gavril</t>
  </si>
  <si>
    <t>S-a indentificat incidentul la cota  47.015678 21.825347 la 1,1km fata de DP11, fibra agatata de utilaj care lucreaza la pista de biciclete paralel cu drumul.  A smuls FO48 de pe traseu aerian.  Necesar instalare 400M fo48, 2 OSC-uri</t>
  </si>
  <si>
    <t>S-a instalat 400m fo48, instalat si sudat 2 OSC-uri, 2 cruci + 3 stalpi noi. Porturile s-au ridicat, clientii UP, semnal in parametrii.</t>
  </si>
  <si>
    <t>OLT1-CR0344 / Slot : 2 / PON2/11</t>
  </si>
  <si>
    <t xml:space="preserve">FITT00000133591 </t>
  </si>
  <si>
    <t>Corabia</t>
  </si>
  <si>
    <t>Port Slot : 2 / PON2/11 down, Problema la 70m de site CR0344. Sudura sparta in OSC56 fir 61.</t>
  </si>
  <si>
    <t>S-a refacut sudura, semnal in parametrii si clientii sunt UP.</t>
  </si>
  <si>
    <t>TI2954FAN1ODB11324</t>
  </si>
  <si>
    <t>FITT00000133683</t>
  </si>
  <si>
    <t>Insecte in ODB intermediar 11322</t>
  </si>
  <si>
    <t>OLT1-TI0337 / Slot : 1 / PON1/10</t>
  </si>
  <si>
    <t>FITT00000133725</t>
  </si>
  <si>
    <t>Mosnita Noua</t>
  </si>
  <si>
    <t>Patch rupt in site</t>
  </si>
  <si>
    <t>Possible FO CUT in Olt between CR0006 - CR1133</t>
  </si>
  <si>
    <t>IMO000000301175</t>
  </si>
  <si>
    <t>OSC agatat de agabaritic - fir rupt</t>
  </si>
  <si>
    <t>BE0461FAN1ODB84</t>
  </si>
  <si>
    <t>FITT00000133730</t>
  </si>
  <si>
    <t>Insecte in ODB 84</t>
  </si>
  <si>
    <t>FITT00000133734</t>
  </si>
  <si>
    <t>Campulung</t>
  </si>
  <si>
    <t>CABLU RUPT PE FATADA BLOCULUI , BLOCUL A INTRAT IN RENOVARE</t>
  </si>
  <si>
    <t>GASIT TRASEU DE COMUN ACORD CU ADMINISTRATORUL - TRAS 125M FO 12 PE CLADIRE + 60M IN CLADIRE  INTRE ODB1060 Etj1,si ODB1062 tot Etj1
ODB ARE SEMNAL IN PARAMETRI</t>
  </si>
  <si>
    <t>TI0337FAN1ODB2907</t>
  </si>
  <si>
    <t>FITT00000133756</t>
  </si>
  <si>
    <t xml:space="preserve">Fir inversat la DP29. </t>
  </si>
  <si>
    <t>S-a sudat pe spl corect si verificat provizionare. SPL3 din ODB2907 ajunge acum pe 1/3</t>
  </si>
  <si>
    <t>CR2950FAN6ODB245</t>
  </si>
  <si>
    <t>FITT00000133761</t>
  </si>
  <si>
    <t xml:space="preserve">Sudura defecta in DP20. </t>
  </si>
  <si>
    <t>Resudat fir, valori ok la ODB</t>
  </si>
  <si>
    <t>TI2954FAN1ODB1429</t>
  </si>
  <si>
    <t>FITT00000133784</t>
  </si>
  <si>
    <t xml:space="preserve">Fir inversat la DP4, sudat pe SPL2. </t>
  </si>
  <si>
    <t>S-a mutat pe SPL1 conform documentatie. S-a verificat provizionarea si este ok.</t>
  </si>
  <si>
    <t>TI0337FAN1ODB806</t>
  </si>
  <si>
    <t>FITT00000133786</t>
  </si>
  <si>
    <t>Fire rupte in ODB,</t>
  </si>
  <si>
    <t xml:space="preserve"> resudat fibre. Valori ok, clienti up</t>
  </si>
  <si>
    <t>OLT1-BR0553 / Slot : 2</t>
  </si>
  <si>
    <t>FITT00000133791</t>
  </si>
  <si>
    <t>cablu agatat de agabaritic</t>
  </si>
  <si>
    <t>Tras din rez si refacut DP 15</t>
  </si>
  <si>
    <t>Loss of signal BE0452 - WLA_CIOCANEI ( BE0409 ) - VALCEA_CR0093 - CIOCANEI_1 ( BE0409 )</t>
  </si>
  <si>
    <t>IMO000000301210</t>
  </si>
  <si>
    <t>Ciocanei</t>
  </si>
  <si>
    <t>Cablu afectat de copaci</t>
  </si>
  <si>
    <t>300m fo + 2 osc</t>
  </si>
  <si>
    <t>FITT00000133801</t>
  </si>
  <si>
    <t>Comun cu FITT00000133786.</t>
  </si>
  <si>
    <t>WDM Balvanesti (CR0783)- Butoiesti (CR0004) // CR0187-CR0004 // Craiova (CR0448)-Butoiesti (CR0004) + SDH Caransebes-Craiova</t>
  </si>
  <si>
    <t>IMO000000301464</t>
  </si>
  <si>
    <t>Butoiesti</t>
  </si>
  <si>
    <t>canalizatie</t>
  </si>
  <si>
    <t>BR0294FAN2ODB375E</t>
  </si>
  <si>
    <t>FITT00000133837</t>
  </si>
  <si>
    <t>Fir rupt in OSC223.</t>
  </si>
  <si>
    <t xml:space="preserve"> Resudat, valori ok la odb.</t>
  </si>
  <si>
    <t>FITT00000133831</t>
  </si>
  <si>
    <t>Pisten Daniel</t>
  </si>
  <si>
    <t>ODB vandalizat.</t>
  </si>
  <si>
    <t>Inlocuit ODB, valori ok, clienti up.</t>
  </si>
  <si>
    <t>OLT2-TI0337 / Slot : 1 / PON1/2</t>
  </si>
  <si>
    <t>FITT00000133870</t>
  </si>
  <si>
    <t>Florin CIuca</t>
  </si>
  <si>
    <t>patch defect</t>
  </si>
  <si>
    <t>Inlocuit patch intre EDFA si ODF + curatat conectica ODF. Port up.</t>
  </si>
  <si>
    <t>TI2992FAN1ODB1226</t>
  </si>
  <si>
    <t>FITT00000133874</t>
  </si>
  <si>
    <t>Peciu Nou</t>
  </si>
  <si>
    <t xml:space="preserve">Fibra rupta de viespe in ODB1225. </t>
  </si>
  <si>
    <t>Resudat buffer, valori ok la ambele ODB-uri.</t>
  </si>
  <si>
    <t>CL2999FAN1ODB612</t>
  </si>
  <si>
    <t>FITT00000133840</t>
  </si>
  <si>
    <t>Fir rupt la DP6.</t>
  </si>
  <si>
    <t>Valori de -24/-7 la ODB. S-a verificat si ODB613 existent la cateva sute de metrii si semnalul este tot la limita. In urma verificarilor pe port, tot portul este atenuat la limita. Necesar tichet nou pentru investigatii atenuare port, daca se doreste.</t>
  </si>
  <si>
    <t>FITT00000133916</t>
  </si>
  <si>
    <t>ORLESTI</t>
  </si>
  <si>
    <t xml:space="preserve">Buffer rupt in ODB, posibil viespe. </t>
  </si>
  <si>
    <t>Resudat buffer, valori ok la ODB, client up.</t>
  </si>
  <si>
    <t>OLT1-TI0257 / Slot : 3 / PON3/15</t>
  </si>
  <si>
    <t>FITT00000133923</t>
  </si>
  <si>
    <t>CHISINEU-CRIS</t>
  </si>
  <si>
    <t>Fir rupt la DP8.</t>
  </si>
  <si>
    <t xml:space="preserve"> Resudat fir, port up.</t>
  </si>
  <si>
    <t>CR0413FAN2ODB1601</t>
  </si>
  <si>
    <t>FITT00000133705</t>
  </si>
  <si>
    <t>Prunisor</t>
  </si>
  <si>
    <t>Refacut ODB si repozitonat. Valori ok.</t>
  </si>
  <si>
    <t>TI0258FAN3ODB3414</t>
  </si>
  <si>
    <t>FITT00000133907</t>
  </si>
  <si>
    <t>Pecica</t>
  </si>
  <si>
    <t xml:space="preserve">Pigtail rupte la spliter. </t>
  </si>
  <si>
    <t xml:space="preserve"> Inlocuit spliter in ODB, valori ok.</t>
  </si>
  <si>
    <t>BR0781FAN3ODB828</t>
  </si>
  <si>
    <t>FITT00000133921</t>
  </si>
  <si>
    <t>pigtail rupte</t>
  </si>
  <si>
    <t>Inlocuit splitere. Valori ok pe toate iesirile fiind masurate toate.</t>
  </si>
  <si>
    <t>CR0135FAN1ODB2003</t>
  </si>
  <si>
    <t>FITT00000133928</t>
  </si>
  <si>
    <t xml:space="preserve">DRAGANESTI-OLT </t>
  </si>
  <si>
    <t>Cinca Marius</t>
  </si>
  <si>
    <t xml:space="preserve">Fir rupt la DP20. </t>
  </si>
  <si>
    <t>CR0168FAN1ODB1522</t>
  </si>
  <si>
    <t>FITT00000133929</t>
  </si>
  <si>
    <t xml:space="preserve">DROBETA-TURNU SEVERIN </t>
  </si>
  <si>
    <t xml:space="preserve">Fir rupt la ODB1521. </t>
  </si>
  <si>
    <t>resudat fir, valori ok la ODB, client up</t>
  </si>
  <si>
    <t>OLT1-CL0335 / Slot : 2 / PON2/16</t>
  </si>
  <si>
    <t>FITT00000133933</t>
  </si>
  <si>
    <t>SIEUT</t>
  </si>
  <si>
    <t>Eliberat rezerve si instalat 1 jonctiune noua. Porturi up de la 19:10</t>
  </si>
  <si>
    <t xml:space="preserve"> BE0159 – BE0209</t>
  </si>
  <si>
    <t>IMO000000301657</t>
  </si>
  <si>
    <t>Jonctiune cazuta, fire rupt</t>
  </si>
  <si>
    <t>CL0005 - CL2078</t>
  </si>
  <si>
    <t>IMO000000301667</t>
  </si>
  <si>
    <t>Solutie provizorie (necesita refacere tubulatura sau relocare)</t>
  </si>
  <si>
    <t>FITT00000134107</t>
  </si>
  <si>
    <t>Solutie finala -Anvelopare</t>
  </si>
  <si>
    <t xml:space="preserve">Fibra taiata la anvelopare. </t>
  </si>
  <si>
    <t>Nu s-a gasit solutie de vechiul amplasament.</t>
  </si>
  <si>
    <t>BE0327FAN4ODB1086</t>
  </si>
  <si>
    <t>FITT00000134121</t>
  </si>
  <si>
    <t>Comun cu FITT00000134107</t>
  </si>
  <si>
    <t xml:space="preserve"> CL0925FAN2ODB7507</t>
  </si>
  <si>
    <t>FITT00000134134</t>
  </si>
  <si>
    <t>Campia Turzii (LOC)</t>
  </si>
  <si>
    <t>Suduri sarite din casete, fire rupte, fire sudate de cate doua ori in ODB7507. S-a refacut ODB-ul. Dupa finalizare s-au executat verificari cu powermetru la nivel de ODB si functionalitatea clientilor in NCE-Fan</t>
  </si>
  <si>
    <t>TI0339FAN1ODB1414</t>
  </si>
  <si>
    <t>FITT00000134167</t>
  </si>
  <si>
    <t>SANMIHAIU ROMAN (UAT)</t>
  </si>
  <si>
    <t>fire rupte in ODB</t>
  </si>
  <si>
    <t>FITT00000134191</t>
  </si>
  <si>
    <t>Sanmihaiu Roman (UAT)</t>
  </si>
  <si>
    <t>Returnat - Generat de interventia la FITT00000134167</t>
  </si>
  <si>
    <t>CL0925FAN2ODB7507</t>
  </si>
  <si>
    <t>FITT00000134193</t>
  </si>
  <si>
    <t>Returnat - Generat de interventia la FITT00000134134</t>
  </si>
  <si>
    <t>OLT1-CR0344 / Slot : 1 / PON1/5</t>
  </si>
  <si>
    <t>FITT00000134196</t>
  </si>
  <si>
    <t>Corabia (LOC)</t>
  </si>
  <si>
    <t>patch defect intre EDFA si ODF</t>
  </si>
  <si>
    <t>s-a inlocuit patchul</t>
  </si>
  <si>
    <t>CL0925FAN2ODB7505</t>
  </si>
  <si>
    <t>FITT00000134202</t>
  </si>
  <si>
    <t>CL0105-CL0005</t>
  </si>
  <si>
    <t>IMO000000301808</t>
  </si>
  <si>
    <t>fibra atenuata in jonctiune</t>
  </si>
  <si>
    <t>resudat fibre in jonctiune</t>
  </si>
  <si>
    <t>CL0660-CL0456</t>
  </si>
  <si>
    <t>IMO000000301761</t>
  </si>
  <si>
    <t xml:space="preserve">Canalizare </t>
  </si>
  <si>
    <t xml:space="preserve">S-au sapat 20m s-au instalat 2 jonctiuni si 2 camerete </t>
  </si>
  <si>
    <t>CL0051 &lt;&gt; CL0812 , CL0051 &lt;&gt; CL0159, CL0452 &lt;&gt; CL0121 , CL0051 &lt;&gt; CL0511 , CL0051 &lt;&gt; CL2141</t>
  </si>
  <si>
    <t xml:space="preserve"> IMO000000301941</t>
  </si>
  <si>
    <t xml:space="preserve">Baia Mare </t>
  </si>
  <si>
    <t xml:space="preserve">Fibra rupta in urma unor lucrari la parc </t>
  </si>
  <si>
    <t xml:space="preserve">Primaria Baia Mare </t>
  </si>
  <si>
    <t>CL0534 - CL30615;CL0030 - CL0107 + NEC CL0030 - CL0107</t>
  </si>
  <si>
    <t>IMO000000301965</t>
  </si>
  <si>
    <t xml:space="preserve">Bixad </t>
  </si>
  <si>
    <t>s-au instalat 155 m FO12 1 camereta noua si  2 jonctiuni</t>
  </si>
  <si>
    <t>WDM Craiova ( CR0448 ) &lt;&gt; Butoiesti ( CR0004 ) , CR0187 &lt;&gt; CR0004, Balvanesti ( CR0783 ) &lt;&gt; Butoiesti ( CR0004 ) + SDH</t>
  </si>
  <si>
    <t xml:space="preserve"> IMO000000301963</t>
  </si>
  <si>
    <t xml:space="preserve"> S-au instalat 300m FO 24 si s-au executat1 jonctiune noua si una existenta  si o camereta.</t>
  </si>
  <si>
    <t>CL0045FAN1ODB707</t>
  </si>
  <si>
    <t>FITT00000134249</t>
  </si>
  <si>
    <t xml:space="preserve">Luna de sus </t>
  </si>
  <si>
    <t>Fibra smulsă din odb.</t>
  </si>
  <si>
    <t>Rearanjat fibra în ODB</t>
  </si>
  <si>
    <t>CR0425FAN1ODB2703</t>
  </si>
  <si>
    <t xml:space="preserve">FITT00000134197 </t>
  </si>
  <si>
    <t>Bailesti</t>
  </si>
  <si>
    <t xml:space="preserve">Echipa Mota </t>
  </si>
  <si>
    <t>Fibra rupta in OSC 45,</t>
  </si>
  <si>
    <t>CL0567FAN1ODB1733</t>
  </si>
  <si>
    <t>FITT00000134252</t>
  </si>
  <si>
    <t xml:space="preserve">Fibra taiata in urma inlocuirii stalpilor electrica. </t>
  </si>
  <si>
    <t xml:space="preserve">Electrica </t>
  </si>
  <si>
    <t>S-a refacut OSC7 , s-au instalat 2 ODB noi la ODB1731 si s-a executat o jonctiune noua la Intrare in subteran. Semnal in parametriila ODB1733. 150m FO24, 150m FO24.Necesar interventie last mile pentru conectare brida clienti care au fost taiate .</t>
  </si>
  <si>
    <t xml:space="preserve"> BR2700FAN1ODB0801</t>
  </si>
  <si>
    <t>FITT00000134261</t>
  </si>
  <si>
    <t xml:space="preserve">Brancovenesti </t>
  </si>
  <si>
    <t>Fibra rupta in ODB808 si TB,</t>
  </si>
  <si>
    <t>S-au identificat si s-au resudat firele rupte</t>
  </si>
  <si>
    <t>BE0327FAN4ODB1084</t>
  </si>
  <si>
    <t>FITT00000134112</t>
  </si>
  <si>
    <t>FITT00000134188</t>
  </si>
  <si>
    <t>Ghimbav</t>
  </si>
  <si>
    <t>Atenuare in OSC intermediar - sudura sparta</t>
  </si>
  <si>
    <t>Incident reclamatie EDFA64-01-BE0159 // BE0159 – BE0209</t>
  </si>
  <si>
    <t>IMO000000302087</t>
  </si>
  <si>
    <t>Cablu agatat de agabaritic intre stalpi</t>
  </si>
  <si>
    <t>Tras bucata din OSC EX + un OSC nou</t>
  </si>
  <si>
    <t>FITT00000134377</t>
  </si>
  <si>
    <t>comun cu IMO000000302087</t>
  </si>
  <si>
    <t>CL2967FAN1ODB712</t>
  </si>
  <si>
    <t>FITT00000134385</t>
  </si>
  <si>
    <t>Bontida</t>
  </si>
  <si>
    <t>Cablu agatat de agabaritic pe 3 fete de stalp</t>
  </si>
  <si>
    <t>Tras bucata din DP + 1 OSC nou</t>
  </si>
  <si>
    <t>TI0401FAN1ODB1703</t>
  </si>
  <si>
    <t xml:space="preserve">FITT00000134380 </t>
  </si>
  <si>
    <t>Giroc</t>
  </si>
  <si>
    <t>Pigtaili rupti in ODB</t>
  </si>
  <si>
    <t>Inlocuit SPL in ODB</t>
  </si>
  <si>
    <t>CR2998FAN1ODB16113</t>
  </si>
  <si>
    <t>FITT00000134382</t>
  </si>
  <si>
    <t>Prigoria</t>
  </si>
  <si>
    <t>Insecte in ODB intermediar la 980m</t>
  </si>
  <si>
    <t>TI0505FAN1ODB1231</t>
  </si>
  <si>
    <t>FITT00000134379</t>
  </si>
  <si>
    <t>Lunga</t>
  </si>
  <si>
    <t>Loss of signal WDM  TI0183 - TI0074</t>
  </si>
  <si>
    <t>IMO000000302158</t>
  </si>
  <si>
    <t>Oravita</t>
  </si>
  <si>
    <t>Ionut Pascau + Flavius</t>
  </si>
  <si>
    <t>TI0258FAN3ODB3716</t>
  </si>
  <si>
    <t>FITT00000134632</t>
  </si>
  <si>
    <t>Fibre rupte in ODB 3713 si ODB3714.</t>
  </si>
  <si>
    <t>S-au identificat si s-au refacut ODB3713 si ODB3714.Semnal in parametrii la ODB3713,</t>
  </si>
  <si>
    <t>Loss of signal WDM Joseni_BR0902 - BR0118, BR0567 - BR0118</t>
  </si>
  <si>
    <t>IMO000000302165</t>
  </si>
  <si>
    <t>Joseni</t>
  </si>
  <si>
    <t>OLT1-CR0344 / Slot : 2 / PON2/16</t>
  </si>
  <si>
    <t>FITT00000134674</t>
  </si>
  <si>
    <t xml:space="preserve">Corabia </t>
  </si>
  <si>
    <t>Fibra rupta in OSC 30</t>
  </si>
  <si>
    <t>S-a identificat si s-a resudat fibra rupta.Portul este online cu ora 9:26</t>
  </si>
  <si>
    <t>OLT3-CR2950 / Slot : 4 / PON4/9</t>
  </si>
  <si>
    <t>FITT00000134755</t>
  </si>
  <si>
    <t>Drobeta 1</t>
  </si>
  <si>
    <t>Fibra roasa de soareci la 1.016km in canalizatie.</t>
  </si>
  <si>
    <t>S-a tras din rezerva si s-a executat o jonctiune noua in care s-au sudat fibrele afectate. Port up.</t>
  </si>
  <si>
    <t>OLT2-CR2950 / Slot : 3 / PON3/4</t>
  </si>
  <si>
    <t>FITT00000134775</t>
  </si>
  <si>
    <t>Drobeta 2</t>
  </si>
  <si>
    <t>Fibra atenuata in HH308.</t>
  </si>
  <si>
    <t>S-a identificat si s-a resudat fibra afectatata. Port up.</t>
  </si>
  <si>
    <t>OLT1-CL0567 / Slot : 1 / PON1/13</t>
  </si>
  <si>
    <t>FITT00000134749</t>
  </si>
  <si>
    <t>Comun cu FITT00000134252</t>
  </si>
  <si>
    <t>Returnat comun cu FITT00000134252</t>
  </si>
  <si>
    <t>CR2950FAN4ODB122</t>
  </si>
  <si>
    <t>FITT00000134808</t>
  </si>
  <si>
    <t>Drobeta 3</t>
  </si>
  <si>
    <t>OLT3-CR2950 / Slot : 3 / PON3/14, OLT3-CR2950 / Slot : 4 / PON4/1</t>
  </si>
  <si>
    <t>FITT00000134818</t>
  </si>
  <si>
    <t>Drobeta 4</t>
  </si>
  <si>
    <t>Fibra afectatata de rozatoare 1.588Km</t>
  </si>
  <si>
    <t xml:space="preserve"> S-a identificat si tras din rezerve si executat o jonctiune noua , au fost sudate firele afectate.Porturi up.</t>
  </si>
  <si>
    <t>CR1023 &lt;&gt; CR1022</t>
  </si>
  <si>
    <t>IMO000000302474</t>
  </si>
  <si>
    <t xml:space="preserve">Craiova </t>
  </si>
  <si>
    <t>Lipsa EE CR1023</t>
  </si>
  <si>
    <t>Echipa a ajuns la site impreuna cu COM si au constatat lipsa EE CR1023</t>
  </si>
  <si>
    <t>lipsa EE</t>
  </si>
  <si>
    <t>TI0258FAN3ODB3714</t>
  </si>
  <si>
    <t>FITT00000134963</t>
  </si>
  <si>
    <t xml:space="preserve">ODB cu pigtaili rupti </t>
  </si>
  <si>
    <t>FITT00000134978</t>
  </si>
  <si>
    <t>Firul ce alimenteaza SPL3 rupta in ODB 2914. Refacut sudura.</t>
  </si>
  <si>
    <t>CL0564FAN1ODB0101</t>
  </si>
  <si>
    <t>FITT00000134890</t>
  </si>
  <si>
    <t>Cablu rupt / toaletari copaci / cosit</t>
  </si>
  <si>
    <t>Toaletari vegetale</t>
  </si>
  <si>
    <t>Possible FO CUT NEC local in Baia Mare between CL0051 - CL0511 / CL0051 - CL2141</t>
  </si>
  <si>
    <t>IMO000000302499</t>
  </si>
  <si>
    <t>Baia Mare</t>
  </si>
  <si>
    <t>Loss of signal WDM Simeria_1 (TI0130) - TI0113</t>
  </si>
  <si>
    <t>IMO000000302510</t>
  </si>
  <si>
    <t>Simeria</t>
  </si>
  <si>
    <t>Solutie provizorie - necesar camereta + atenuare</t>
  </si>
  <si>
    <t>Cablu rupt in sapatura - retea de gaz</t>
  </si>
  <si>
    <t>OLT1-BR0125 / Slot : 1 PON1/1, PON1/2, PON1/3, PON1/5, PON1/6, PON1/7, PON1/8, PON1/9, PON1/10, PON1/11, PON1/12, PON1/13, PON1/14, PON1/15, PON1/16</t>
  </si>
  <si>
    <t>FITT00000134984</t>
  </si>
  <si>
    <t xml:space="preserve">Balan </t>
  </si>
  <si>
    <t>Fibra agatata de un camion si DP distrus. S-a refacut DP existent, s-au instalat 200 m FO96 si un OSC nou. Toate porturile reclamate de pe ambele sloturi sunt up si in parametri.</t>
  </si>
  <si>
    <t>Un camion</t>
  </si>
  <si>
    <t>TI0049FAN1ODB2103</t>
  </si>
  <si>
    <t>FITT00000134969</t>
  </si>
  <si>
    <t>Faget</t>
  </si>
  <si>
    <t>Ciuca Florin</t>
  </si>
  <si>
    <t>Fir rupt in DP21. Refacut sudura</t>
  </si>
  <si>
    <t>Possible FO CUT NEC local in Dolj between CR0489 &lt;&gt; CR0586 + WDM CR0038 &lt;&gt; CR0499</t>
  </si>
  <si>
    <t>IMO000000302724</t>
  </si>
  <si>
    <t>Craiova</t>
  </si>
  <si>
    <t>Solutie provizorie - Necesar cruci</t>
  </si>
  <si>
    <t>FO 24 agatat de agabaritic. Instalat 200 m FO24 si 2 OSC noi</t>
  </si>
  <si>
    <t>Loss of signal CL0916 - CL0580</t>
  </si>
  <si>
    <t>IMO000000302735</t>
  </si>
  <si>
    <t>BE0110FAN1ODB156</t>
  </si>
  <si>
    <t xml:space="preserve">FITT00000135032 </t>
  </si>
  <si>
    <t>Slobozia</t>
  </si>
  <si>
    <t>Buffer rupt in ODB156. Refacut FO in ODB156</t>
  </si>
  <si>
    <t>TI0075FAN2ODB22110</t>
  </si>
  <si>
    <t xml:space="preserve">FITT00000135055 </t>
  </si>
  <si>
    <t>Curtici</t>
  </si>
  <si>
    <t>Inclocuit splitter in ODB22110</t>
  </si>
  <si>
    <t>CR2993FAN2ODB1114</t>
  </si>
  <si>
    <t xml:space="preserve">FITT00000135062 </t>
  </si>
  <si>
    <t>Refacut sudura in ODB-ul reclamat</t>
  </si>
  <si>
    <t>Refacut sudura in ODB.</t>
  </si>
  <si>
    <t>CL2986FAN1ODB1413</t>
  </si>
  <si>
    <t xml:space="preserve">FITT00000135084 </t>
  </si>
  <si>
    <t>Satu Nou</t>
  </si>
  <si>
    <t>Buffer rupt in ODB1412.</t>
  </si>
  <si>
    <t xml:space="preserve"> Resudat, valori ok la ODB. Clientul nu s-a ridicat, posibil probleme lastmile.</t>
  </si>
  <si>
    <t>BR0567FAN2ODB405</t>
  </si>
  <si>
    <t xml:space="preserve">FITT00000135037 </t>
  </si>
  <si>
    <t>Carta</t>
  </si>
  <si>
    <t>CR0132FAN1ODB0117</t>
  </si>
  <si>
    <t xml:space="preserve">FITT00000135095 </t>
  </si>
  <si>
    <t>Fir rupt in DP1. Refacut sudura</t>
  </si>
  <si>
    <t>TI0223FAN1ODB1315</t>
  </si>
  <si>
    <t xml:space="preserve">FITT00000135097 </t>
  </si>
  <si>
    <t>Felnac</t>
  </si>
  <si>
    <t>Fibra smulsa din ODB1315</t>
  </si>
  <si>
    <t>Possible FO CUT in Arges between BE0409 - BE0803</t>
  </si>
  <si>
    <t>IMO000000302851</t>
  </si>
  <si>
    <t>Pitesti</t>
  </si>
  <si>
    <t xml:space="preserve">Bufer stresat </t>
  </si>
  <si>
    <t>TI0206FAN1ODB908</t>
  </si>
  <si>
    <t xml:space="preserve">FITT00000135092 </t>
  </si>
  <si>
    <t>Sacalaz</t>
  </si>
  <si>
    <t>S-a inlocuit Splitterul din ODB908</t>
  </si>
  <si>
    <t>CL0581FAN1ODB1415</t>
  </si>
  <si>
    <t>FITT00000135103</t>
  </si>
  <si>
    <t>Mariselu</t>
  </si>
  <si>
    <t xml:space="preserve">Refacut SPL3 din ODB. S-a montat SPL intr-un ODB nou </t>
  </si>
  <si>
    <t>OLT1-CR0344 / Slot : 3 / PON3/4</t>
  </si>
  <si>
    <t>FITT00000135118</t>
  </si>
  <si>
    <t>Splitter defect in DP32. Inlocuit splitter</t>
  </si>
  <si>
    <t>Loss of signal MPR in Arges between BE0963 - BE0390</t>
  </si>
  <si>
    <t>IMO000000302896</t>
  </si>
  <si>
    <t>Vidraru</t>
  </si>
  <si>
    <t>Echipa a ajuns la BE0963 si a constatat circuit functional</t>
  </si>
  <si>
    <t>OLT1-CL0628 / Slot : 1 / PON1/1</t>
  </si>
  <si>
    <t>FITT00000135283</t>
  </si>
  <si>
    <t>Moisei</t>
  </si>
  <si>
    <t>Cablu 48 T111 atenuat puternic probabil la lucrari EE.</t>
  </si>
  <si>
    <t xml:space="preserve"> Tras din rezerva si resudat in DP1. Port up.</t>
  </si>
  <si>
    <t xml:space="preserve">CL0704 </t>
  </si>
  <si>
    <t>FITT00000135287</t>
  </si>
  <si>
    <t xml:space="preserve"> Instalat 80 fo si 2 osc. Porturi up.</t>
  </si>
  <si>
    <t>OLT1-TI0079 / Slot : 1 / PON1/5</t>
  </si>
  <si>
    <t>FITT00000135316</t>
  </si>
  <si>
    <t xml:space="preserve">Fibra agatata de agabaritic. </t>
  </si>
  <si>
    <t>Eliberat rezerva si resudat osc existent. port up</t>
  </si>
  <si>
    <t>OLT1-TI2999 / Slot : 2 / PON2/12</t>
  </si>
  <si>
    <t>FITT00000135303</t>
  </si>
  <si>
    <t>Siria</t>
  </si>
  <si>
    <t>Fibra smulsa din jonctiune.</t>
  </si>
  <si>
    <t xml:space="preserve"> Resudat jonctiune, port up.</t>
  </si>
  <si>
    <t xml:space="preserve">CL0445 </t>
  </si>
  <si>
    <t>FITT00000135305</t>
  </si>
  <si>
    <t>Zalau</t>
  </si>
  <si>
    <t xml:space="preserve">Fibra rupta la bloc, singurii clienti de pe cele 2 porturi erau in ODB51. </t>
  </si>
  <si>
    <t>Pentru remediere s-a inlocuit 90m fo intre ODB si DP7. Porturile si clientii sunt up, valori ok la ODB.</t>
  </si>
  <si>
    <t>OLT1-CL0601 / Slot : 2
PON2/2, PON2/3, PON2/5, PON2/6, PON2/7, PON2/9</t>
  </si>
  <si>
    <t>FITT00000135323</t>
  </si>
  <si>
    <t xml:space="preserve">Fibra agatata de bratul unui excavator. </t>
  </si>
  <si>
    <t>Instalat 200m fo si 2 jonctiuni. Porturile sunt up.</t>
  </si>
  <si>
    <t>CL0240FAN2ODB2105</t>
  </si>
  <si>
    <t>FITT00000135322</t>
  </si>
  <si>
    <t>Negresti Oas</t>
  </si>
  <si>
    <t>INSECTE IN ODB - FIRE RUPTE</t>
  </si>
  <si>
    <t>OLT1-TI0117 / Slot : 1 / PON1/11</t>
  </si>
  <si>
    <t>FITT00000135381</t>
  </si>
  <si>
    <t>Recas</t>
  </si>
  <si>
    <t>DP agatat de camion - casete rupte</t>
  </si>
  <si>
    <t>Inlocuit OSC COMPLET</t>
  </si>
  <si>
    <t>Loss of signal WDM M_Ciuc BR0402- BR0122 / M_Ciuc BR0402 - Odorheiu BR0044 + SDH + NEC BR0402 - BR0157</t>
  </si>
  <si>
    <t xml:space="preserve">IMO000000303135 </t>
  </si>
  <si>
    <t>Solutie provizorie Atenuare suplimentara</t>
  </si>
  <si>
    <t>OLT1-CL0047 / Slot : 7 / PON7/1</t>
  </si>
  <si>
    <t>FITT00000135510</t>
  </si>
  <si>
    <t>Sannicoara</t>
  </si>
  <si>
    <t>Canlu 24 agatat inainte de DP</t>
  </si>
  <si>
    <t>Tras din rez si refacut DP 24</t>
  </si>
  <si>
    <t>OLT1-CR0412 / Slot : 1 PON1/15, PON1/16</t>
  </si>
  <si>
    <t>FITT00000135508</t>
  </si>
  <si>
    <t>Bacles</t>
  </si>
  <si>
    <t>comun cu IMO000000303329</t>
  </si>
  <si>
    <t>OLT1-CR0412 / Slot : 2 PON2/1, PON2/2, PON2/3, PON2/5, PON2/6, PON2/7</t>
  </si>
  <si>
    <t>FITT00000135501</t>
  </si>
  <si>
    <t>TI0207FAN1ODB107</t>
  </si>
  <si>
    <t>FITT00000135493</t>
  </si>
  <si>
    <t>Becicherecu Mic</t>
  </si>
  <si>
    <t>BE0327FAN4ODB1273</t>
  </si>
  <si>
    <t>FITT00000135481</t>
  </si>
  <si>
    <t>CUIB VIESPI IN ODB - TB 20 AFECTAT</t>
  </si>
  <si>
    <t>TI0336FAN1ODB17111</t>
  </si>
  <si>
    <t>FITT00000135418</t>
  </si>
  <si>
    <t>Gataia</t>
  </si>
  <si>
    <t>Gandaci in ODB - fire rupte</t>
  </si>
  <si>
    <t>CL0567FAN1ODB11837</t>
  </si>
  <si>
    <t>FITT00000135402</t>
  </si>
  <si>
    <t>TI0078FAN3ODB3615</t>
  </si>
  <si>
    <t>FITT00000135361</t>
  </si>
  <si>
    <t>FITT00000135330</t>
  </si>
  <si>
    <t>NESINCRONIZARE ONT</t>
  </si>
  <si>
    <t>Loss of signal WDM CL0185 - CL0053 / CL0053 -- GROSI (CL0452) + MPR CL0452 - CL0053</t>
  </si>
  <si>
    <t>IMO000000303275</t>
  </si>
  <si>
    <t>Satulung</t>
  </si>
  <si>
    <t>FO96 rupt</t>
  </si>
  <si>
    <t>100m FO96 si doua OSC-uri</t>
  </si>
  <si>
    <t>Loss of signal WDM CL0030 - CL0107 / CL0534 - CL0240 + NEC CL0030 - CL0107</t>
  </si>
  <si>
    <t>IMO000000303180</t>
  </si>
  <si>
    <t>OSC SUBTERAN VANDALIZAT</t>
  </si>
  <si>
    <t>Inlocuit OSC</t>
  </si>
  <si>
    <t>TI0078FAN3ODB3611</t>
  </si>
  <si>
    <t>FITT00000135492</t>
  </si>
  <si>
    <t>comun cu FITT00000135361</t>
  </si>
  <si>
    <t>OLT1-CL0704 / Slot : 1 / PON1/6</t>
  </si>
  <si>
    <t>FITT00000135565</t>
  </si>
  <si>
    <t>140m FO24 si un OSC nou</t>
  </si>
  <si>
    <t>Loss of signal WDM intre CR0039 - CR0412</t>
  </si>
  <si>
    <t>IMO000000303329</t>
  </si>
  <si>
    <t>Incendiu pe camp - cablu afectat</t>
  </si>
  <si>
    <t>BR0782-BR0158</t>
  </si>
  <si>
    <t>IMO000000303393</t>
  </si>
  <si>
    <t>Dumbraveni</t>
  </si>
  <si>
    <t>FO12 afectat in urma ruperii unor stalpi OROC</t>
  </si>
  <si>
    <t>120m FO12, doua OSC-uri si doi stalpi de compozit</t>
  </si>
  <si>
    <t>EDFA64-01-CL0240</t>
  </si>
  <si>
    <t>FITT00000135613</t>
  </si>
  <si>
    <t>Sudura defecta</t>
  </si>
  <si>
    <t>S-a resudat firul</t>
  </si>
  <si>
    <t>LOSS OF SIGNAL WDM Goga ( BR0255 ) - Sf.Gheorghe (BR0013), Bretcu ( BR0011 ) - Dumbravita ( BR0433 ) , BR0720 &lt;&gt; BR0012 + SDH</t>
  </si>
  <si>
    <t>IMO000000303409</t>
  </si>
  <si>
    <t>Santionlunca</t>
  </si>
  <si>
    <t>FO24 rupt in sapatura in proprietate privata</t>
  </si>
  <si>
    <t>proprietar</t>
  </si>
  <si>
    <t>100m fo 24 si doua OSC-uri noi</t>
  </si>
  <si>
    <t>OLT1-TI0078 / Slot : 1 / PON1/9</t>
  </si>
  <si>
    <t>FITT00000135663</t>
  </si>
  <si>
    <t>Fir rupt in OSC1</t>
  </si>
  <si>
    <t>IMO000000303680</t>
  </si>
  <si>
    <t>Corlatel</t>
  </si>
  <si>
    <t>Solutie provizorie - necesita camereta</t>
  </si>
  <si>
    <t>cablul FO afectat in subteran in urma unui incendiu de vegetatie</t>
  </si>
  <si>
    <t>CR0140 - CR0223</t>
  </si>
  <si>
    <t>IMO000000303738</t>
  </si>
  <si>
    <t>Cervenia</t>
  </si>
  <si>
    <t>TI0337FAN1ODB710</t>
  </si>
  <si>
    <t>FITT00000135756</t>
  </si>
  <si>
    <t>SPL2 in ODB atenuat</t>
  </si>
  <si>
    <t>Resudat fir la ODB, -23/-5.4</t>
  </si>
  <si>
    <t>TI2998FAN1ODB1115</t>
  </si>
  <si>
    <t>FITT00000135758</t>
  </si>
  <si>
    <t>Zimandcuz</t>
  </si>
  <si>
    <t xml:space="preserve">DP1 cazut de pe stalp, fibre rupte. </t>
  </si>
  <si>
    <t>S-au resudat, valori ok la ODB.</t>
  </si>
  <si>
    <t>CR0003FAN1ODB30</t>
  </si>
  <si>
    <t>FITT00000135762</t>
  </si>
  <si>
    <t>Voloiac</t>
  </si>
  <si>
    <t>Fibra rupta de viespe in ODB.</t>
  </si>
  <si>
    <t xml:space="preserve"> Resudat, valori ok, clienti up.</t>
  </si>
  <si>
    <t>OLT1-CL2999 / Slot : 2
PON2/1, PON2/2, PON2/3, PON2/4</t>
  </si>
  <si>
    <t>FITT00000135773</t>
  </si>
  <si>
    <t xml:space="preserve">Fibra rupta in urma desfintarii unor stalpi. </t>
  </si>
  <si>
    <t>Primarie</t>
  </si>
  <si>
    <t>Instalat 200m fo si 2 jonctiuni pe alti stalpi. Porturile sunt up.</t>
  </si>
  <si>
    <t>CL0601FAN1ODB1406</t>
  </si>
  <si>
    <t>FITT00000135782</t>
  </si>
  <si>
    <t>Fir rupt in ODB.</t>
  </si>
  <si>
    <t xml:space="preserve"> resudat fir, valori ok.</t>
  </si>
  <si>
    <t>TI0336FAN1ODB11331</t>
  </si>
  <si>
    <t>FITT00000135784</t>
  </si>
  <si>
    <t>Comin Pau</t>
  </si>
  <si>
    <t>Fibra rupta de agabaritic, stalpi rupti</t>
  </si>
  <si>
    <t xml:space="preserve"> Instalat 1 jonctiune, valori ok la ODB, client up.</t>
  </si>
  <si>
    <t>TI2998FAN1ODB1114</t>
  </si>
  <si>
    <t>FITT00000135687</t>
  </si>
  <si>
    <t>Comun cu FITT00000135758</t>
  </si>
  <si>
    <t>OLT1-BR0639 / Slot : 1
PON1/1, PON1/2, PON1/4, PON1/6, PON1/7, PON1/8, PON1/9, PON1/10, PON1/12, PON1/13, PON1/14, PON1/15</t>
  </si>
  <si>
    <t>FITT00000135791</t>
  </si>
  <si>
    <t>Sangeorgiu de Mures</t>
  </si>
  <si>
    <t>Ionut TV Adler</t>
  </si>
  <si>
    <t>Fibra rupta de agabaritic. Instalat 100 m FO96 si 2 OSC noi</t>
  </si>
  <si>
    <t>BR0125FAN1ODB1712</t>
  </si>
  <si>
    <t>FITT00000135790</t>
  </si>
  <si>
    <t>Balan</t>
  </si>
  <si>
    <t>Felix</t>
  </si>
  <si>
    <t>Fibra atenuata in DP17.</t>
  </si>
  <si>
    <t xml:space="preserve"> Refacut suduri, valori ok, clienti up.</t>
  </si>
  <si>
    <t>FITT00000135545</t>
  </si>
  <si>
    <t>Sudura sparta in DP</t>
  </si>
  <si>
    <t>BR0294FAN2ODB520</t>
  </si>
  <si>
    <t>FITT00000135555</t>
  </si>
  <si>
    <t>CR2950FAN3ODB254</t>
  </si>
  <si>
    <t>FITT00000135777</t>
  </si>
  <si>
    <t>Fir inversat la DP13.</t>
  </si>
  <si>
    <t xml:space="preserve"> Sudat pe SPL corect in DP. S-a verificat sincronizarea in NCE FAN</t>
  </si>
  <si>
    <t>FITT00000135805</t>
  </si>
  <si>
    <t>Bruiu</t>
  </si>
  <si>
    <t>Fibra rupta in jonctiune la 1.9km de ODB.</t>
  </si>
  <si>
    <t xml:space="preserve"> Resudat jonctiune, valori ok la ODB, client up.</t>
  </si>
  <si>
    <t>IMO000000303989</t>
  </si>
  <si>
    <t>Balauseni</t>
  </si>
  <si>
    <t>Solutie provizorie - necesar inlocuire fo</t>
  </si>
  <si>
    <t>TV Adler + Sergiu NETCONSTRUCT</t>
  </si>
  <si>
    <t>Refacut 2 OSC + 2 OSC noi</t>
  </si>
  <si>
    <t>CR0077FAN1ODB11718</t>
  </si>
  <si>
    <t xml:space="preserve">FITT00000135903 </t>
  </si>
  <si>
    <t>Inlocuit splitter in ODB12931</t>
  </si>
  <si>
    <t>TI0166FAN1ODB1546</t>
  </si>
  <si>
    <t xml:space="preserve">FITT00000135834 </t>
  </si>
  <si>
    <t>Fir rupt in ODB1545 de viespi. Refacut ODB</t>
  </si>
  <si>
    <t>TI0078FAN2ODB2531</t>
  </si>
  <si>
    <t xml:space="preserve">FITT00000135850 </t>
  </si>
  <si>
    <t>Fir rupt in ODB reclamat. Refacut sudura</t>
  </si>
  <si>
    <t xml:space="preserve">FITT00000135916 </t>
  </si>
  <si>
    <t>FO rupt la traversarea podului. S-a inlocuit fibra intre ODB si OSC existent (aprox 250 m)</t>
  </si>
  <si>
    <t>CR0077FAN1ODB1525</t>
  </si>
  <si>
    <t xml:space="preserve">FITT00000135914 </t>
  </si>
  <si>
    <t>Fir rupt in ODB. Refacut sudura in ODB1525</t>
  </si>
  <si>
    <t>TI0331FAN1ODB1421</t>
  </si>
  <si>
    <t xml:space="preserve">FITT00000136022 </t>
  </si>
  <si>
    <t>Sandra</t>
  </si>
  <si>
    <t>Fibra aranjata neconform in ODB. Rearanjat FO</t>
  </si>
  <si>
    <t>Possible FO CUT NEC local in Brasov, between BR0433 - BR0516</t>
  </si>
  <si>
    <t>IMO000000304126</t>
  </si>
  <si>
    <t>Tampa</t>
  </si>
  <si>
    <t>S-a inlocuit patch duplex in BR0516 si curatat conectica in ODF</t>
  </si>
  <si>
    <t>LOSS OF SIGNAL WDM CL0053 &lt;&gt; CL2990</t>
  </si>
  <si>
    <t>IMO000000304148</t>
  </si>
  <si>
    <t>Solutie provizorie - atenuare</t>
  </si>
  <si>
    <t>F-cut la 16.4km de CL0053 Catre CL2990</t>
  </si>
  <si>
    <t>comun cu FITT00000136143</t>
  </si>
  <si>
    <t>Refacut DP3OSC08</t>
  </si>
  <si>
    <t xml:space="preserve">FITT00000136047 </t>
  </si>
  <si>
    <t>S-a masurat portul 2/14 iar pe traseu nu s-au inregistrat atenuari sau evenimente majore. Peste noapte am observat ca portul a fost up in jurul orelor 23:50. In site CL0601 am luat un SFP necablat din Slot 3/port 6 si l-am mutat pe slot 2 port 14. Clientii sunt up cu ora 06:51 iar valorile sunt in parametri. SFP existent in port 2/14 inainte de interventia in site avea urechea de eliberare defecta si l-am marcat cu Posibil defect.</t>
  </si>
  <si>
    <t>CR0257FAN2ODB536</t>
  </si>
  <si>
    <t>FITT00000136079</t>
  </si>
  <si>
    <t>Caracal</t>
  </si>
  <si>
    <t>Fir nesudat in ODB intermediar</t>
  </si>
  <si>
    <t>resudat fir in OSC</t>
  </si>
  <si>
    <t xml:space="preserve">FITT00000135818 </t>
  </si>
  <si>
    <t>Sergiu NETCONSTRUCT</t>
  </si>
  <si>
    <t>traversa agatata de camion</t>
  </si>
  <si>
    <t>Tras 80m refacut OSC existent + 1 nou</t>
  </si>
  <si>
    <t>FITT00000136082</t>
  </si>
  <si>
    <t>Sudura sparta in OSC intermediar</t>
  </si>
  <si>
    <t>refacut sudura in OSC</t>
  </si>
  <si>
    <t>CL0445FAN5ODB71</t>
  </si>
  <si>
    <t>FITT00000136096</t>
  </si>
  <si>
    <t>Cablu rupt pe fatada blocului</t>
  </si>
  <si>
    <t>Tras din rez si refacut ODB reclamat</t>
  </si>
  <si>
    <t>BE0461FAN1ODB77</t>
  </si>
  <si>
    <t>FITT00000136105</t>
  </si>
  <si>
    <t>Cablu rupt . Cauza necunoscuta</t>
  </si>
  <si>
    <t>Instalat cablu intre OSC11 si ODB-ul reclamat</t>
  </si>
  <si>
    <t>TI0064FAN2ODB113</t>
  </si>
  <si>
    <t>FITT00000136110</t>
  </si>
  <si>
    <t>Bocsa</t>
  </si>
  <si>
    <t>Fir rupt in ODB + port necablat in site</t>
  </si>
  <si>
    <t>TI0339FAN1ODB1108</t>
  </si>
  <si>
    <t>FITT00000136119</t>
  </si>
  <si>
    <t xml:space="preserve">PORTURI RUPTE IN SPL </t>
  </si>
  <si>
    <t>INLOCUIT SPL IN ODB</t>
  </si>
  <si>
    <t>CR0257FAN1ODB310</t>
  </si>
  <si>
    <t>FITT00000136125</t>
  </si>
  <si>
    <t>nesincron ONT - odb sudat gresit</t>
  </si>
  <si>
    <t>Sudat conform nicm pe SPL CORECT</t>
  </si>
  <si>
    <t>OLT1-TI0337 / Slot : 7 / PON7/5</t>
  </si>
  <si>
    <t>FITT00000136130</t>
  </si>
  <si>
    <t>Port atenuat</t>
  </si>
  <si>
    <t xml:space="preserve">SPL montat necorespunzator in DP - pus de 1x4 </t>
  </si>
  <si>
    <t>FITT00000136136</t>
  </si>
  <si>
    <t>Solutie provizorie- necesar stalp</t>
  </si>
  <si>
    <t>Cablu agatat pe camp+necesar stalp</t>
  </si>
  <si>
    <t>80 m + 2 osc</t>
  </si>
  <si>
    <t>TI0203FAN1ODB409</t>
  </si>
  <si>
    <t>FITT00000136143</t>
  </si>
  <si>
    <t>Ghiroda</t>
  </si>
  <si>
    <t>Vandalism in ODB 412 intermediar</t>
  </si>
  <si>
    <t>Refacut ODB 412</t>
  </si>
  <si>
    <t>TI0203FAN1ODB407</t>
  </si>
  <si>
    <t>FITT00000136147</t>
  </si>
  <si>
    <t>FITT00000136153</t>
  </si>
  <si>
    <t>TB 21 cu fire rupte in caseta</t>
  </si>
  <si>
    <t>refacut TB 21 complet</t>
  </si>
  <si>
    <t xml:space="preserve">Loss of signal WDM (DEVA) TI0195  - (LUGOJ) TI0543 </t>
  </si>
  <si>
    <t>IMO000000304325</t>
  </si>
  <si>
    <t>Lugoj</t>
  </si>
  <si>
    <t>Ernest+ Bebe Mocanu</t>
  </si>
  <si>
    <t>Ernest+ Stefan Pandariu + echipa civile TM -Axinte</t>
  </si>
  <si>
    <t>Atenuare pe circuit Deva-Lugoj(Deva 2.6 OSC -31.85dBm Lugoj 1.6.OSC -36.72 dBm)</t>
  </si>
  <si>
    <t>S-a inlocuit cablu la un AP afectat de arderi de vegetatie.</t>
  </si>
  <si>
    <t>Loss of signal WDM Satu Mare ; CL0564 - CL2995</t>
  </si>
  <si>
    <t>IMO000000304643</t>
  </si>
  <si>
    <t>Ardud</t>
  </si>
  <si>
    <t>CL0016FAN1ODB1118</t>
  </si>
  <si>
    <t>FITT00000136257</t>
  </si>
  <si>
    <t>Stei</t>
  </si>
  <si>
    <t>In urma investigatiilor ijn teren echipa a identificat splitter nivel 1 defect in DP11 (OSC11). Dupa inlocuirea splitterului s-a verificat functionalitate si parametri in NetNumen (powermetrul echipel s-a defectat). Nu se pot incarca poze. Le voi trimite pe mail</t>
  </si>
  <si>
    <t>BR2727FAN2ODB254</t>
  </si>
  <si>
    <t>FITT00000136140</t>
  </si>
  <si>
    <t>Bran</t>
  </si>
  <si>
    <t>Cablu rupt la ODB 253</t>
  </si>
  <si>
    <t>Instalat 180 metri de 12 fo, refăcut în ODB 253 și o joncțiune</t>
  </si>
  <si>
    <t>/TI0337FAN1ODB306</t>
  </si>
  <si>
    <t>FITT00000136303</t>
  </si>
  <si>
    <t>S-au executat masuratori OTDR in ODB306. Masuratoarea indica defect la 440m catre- DP3. In urma investigatiilor in DP3, echipa a gasit firul in rezerva (nu a fost sudat la momentul constructiei retelei). Dupa sudarea firului in splitterul de nivel 1, ODB306 e functional si in parametri</t>
  </si>
  <si>
    <t>Lucrari neconforme</t>
  </si>
  <si>
    <t>CL0194FAN1ODB0503</t>
  </si>
  <si>
    <t>FITT00000136364</t>
  </si>
  <si>
    <t>Botiz</t>
  </si>
  <si>
    <t>7 aug11:00</t>
  </si>
  <si>
    <t xml:space="preserve">ODB vandalizat. S-au inlocuit ambele splittere de nivel 2. </t>
  </si>
  <si>
    <t>CR0034FAN1ODB4001</t>
  </si>
  <si>
    <t>FITT00000136365</t>
  </si>
  <si>
    <t>Scornicesti</t>
  </si>
  <si>
    <t>Buffer ros de viespi in ODB4001; s-a refacut bufferul.</t>
  </si>
  <si>
    <t>CR0752FAN1ODB0201</t>
  </si>
  <si>
    <t xml:space="preserve">FITT00000136373 </t>
  </si>
  <si>
    <t>Poroina mare</t>
  </si>
  <si>
    <t>In urma investigatiilor preliminare in ODB201 echipa a identificat intrarea in splitterul 1 rupta. S-a refacut sudura. Dupa refacerea sudurii, ODB-ul e functional si in parametri</t>
  </si>
  <si>
    <t>CL0366FAN1ODB0111</t>
  </si>
  <si>
    <t>FITT00000136377</t>
  </si>
  <si>
    <t>Petrestii de Jos</t>
  </si>
  <si>
    <t>fir rupt in OSC1</t>
  </si>
  <si>
    <t xml:space="preserve">TI0299 - TI0203 </t>
  </si>
  <si>
    <t>IMO000000305071</t>
  </si>
  <si>
    <t>FO24 ros de sobolani in camereta</t>
  </si>
  <si>
    <t>s-a eliberat rezerva si s-a facut extractie pe bufferul afectat</t>
  </si>
  <si>
    <t>OLT1-CL0018</t>
  </si>
  <si>
    <t>FITT00000136398</t>
  </si>
  <si>
    <t>Gepiu</t>
  </si>
  <si>
    <t>Pe drum catre site CL0018 pentru masuratori, colegii au identificat sapaturi la cota: google.com/maps?q=46.9162478,21.7769505&amp;z=17&amp;hl=en S-a identificat FO96 rupt in sapatura. S-au instalat 100m FO96, doua OSC-uri si doua camerete</t>
  </si>
  <si>
    <t>FITT00000136404</t>
  </si>
  <si>
    <t>Drobeta-Turnu Severin</t>
  </si>
  <si>
    <t>buffer stresat in ODB99</t>
  </si>
  <si>
    <t>WDM Dumbravita (BR0433) - Fagaras (BR0781)</t>
  </si>
  <si>
    <t>IMO000000305127</t>
  </si>
  <si>
    <t>Alin Vlad</t>
  </si>
  <si>
    <t>OSC spart in urma lucrarilor la autostrada</t>
  </si>
  <si>
    <t>s-au refcut bufferele afectate</t>
  </si>
  <si>
    <t>TI0258FAN1ODB1212</t>
  </si>
  <si>
    <t>FITT00000136366</t>
  </si>
  <si>
    <t>FIr rupt in DP2</t>
  </si>
  <si>
    <t>CR0257FAN3ODB811</t>
  </si>
  <si>
    <t>FITT00000136408</t>
  </si>
  <si>
    <t>Masuratorile OTDR din DP71 a indicat eveniment la 370m catre site CR0257. LA cota indicata s-a identificat fir rupt in OSC66. Dupa resudarea firului s-a verificat puterea optica in ODB811. Semnal in parametri</t>
  </si>
  <si>
    <t>Loss of signal in BISTRITA-NASAUD intre CL0456 (WLA_BISTRITA ) - CL0660</t>
  </si>
  <si>
    <t>IMO000000305286</t>
  </si>
  <si>
    <t>Intervetie efectuata la cota 47.134488 24.484383, in urma unei lucrari la magistrala de apa. Traseul subteran a fost instalat provizoriu in aerian.</t>
  </si>
  <si>
    <t>firma APA</t>
  </si>
  <si>
    <t>S-au instalat 700m fo24 in aerian + 2 OSC-uri. Traseu VDF BN 4853 - 5622 ridicat 11.aug</t>
  </si>
  <si>
    <t>BE0068FAN2ODB470</t>
  </si>
  <si>
    <t>FITT00000136367</t>
  </si>
  <si>
    <t>Curtea de Arges</t>
  </si>
  <si>
    <t>FIR RUPT IN ODB 469</t>
  </si>
  <si>
    <t>CL0240FAN1ODB1612</t>
  </si>
  <si>
    <t>FITT00000136378</t>
  </si>
  <si>
    <t>TI0075FAN2ODB2126</t>
  </si>
  <si>
    <t>FITT00000136519</t>
  </si>
  <si>
    <t>CR0077FAN1ODB1916</t>
  </si>
  <si>
    <t>FITT00000136451</t>
  </si>
  <si>
    <t>OLT1-CL0018 / Slot : 1 / PON1/1</t>
  </si>
  <si>
    <t>FITT00000136555</t>
  </si>
  <si>
    <t>refacut suduri in OSC</t>
  </si>
  <si>
    <t>Possible FO CUT NEC BR0482 - BR0848</t>
  </si>
  <si>
    <t>IMO000000305671</t>
  </si>
  <si>
    <t>Targu Mures</t>
  </si>
  <si>
    <t>Solutie finala-Atenuare ramasa</t>
  </si>
  <si>
    <t>Cablu stresat in armorod la 16m de siteul BR0357  - afectat de o firma care a lucrat in zona</t>
  </si>
  <si>
    <t>Eliberat stress - indreptat la cald - sa curatat si in site - a ramas 1 db</t>
  </si>
  <si>
    <t>FITT00000136581</t>
  </si>
  <si>
    <t>comun cu FITT00000136581</t>
  </si>
  <si>
    <t>BR0471FAN1ODB0603</t>
  </si>
  <si>
    <t>FITT00000136583</t>
  </si>
  <si>
    <t>Cablu rupt la 2 fete de stalp de ODB 607</t>
  </si>
  <si>
    <t>CL0704FAN1ODB11622</t>
  </si>
  <si>
    <t>FITT00000136582</t>
  </si>
  <si>
    <t>External</t>
  </si>
  <si>
    <t>Blocul a fost anvelopat, iar cablul fo este taiat sub izolatie la 22m de ODB11622. Necesar relocare cablu fo12 pe lucrare de build. Clientii reclamati sunt picati din 08.iunie 13:27.</t>
  </si>
  <si>
    <t>CR0289FAN1ODB1119</t>
  </si>
  <si>
    <t>FITT00000136576</t>
  </si>
  <si>
    <t>Bustuchin</t>
  </si>
  <si>
    <t>Incident la cota 44,948151 23,7444646 , fo vandalizata pe 5 fete de stalp.  Necesar 300m fo6 + scara mai lunga.</t>
  </si>
  <si>
    <t>S-a instalat 300m de cablu si doua jonctiuni</t>
  </si>
  <si>
    <t xml:space="preserve">44,948151 23,7444646 </t>
  </si>
  <si>
    <t>CR0077FAN1ODB11113</t>
  </si>
  <si>
    <t>FITT00000136535</t>
  </si>
  <si>
    <t>fir rupt in caseta ODB</t>
  </si>
  <si>
    <t>Craiova CR0448 - Butoiesti CR0004</t>
  </si>
  <si>
    <t>IMO000000305719</t>
  </si>
  <si>
    <t>Solutie provizorie- necesar camereta</t>
  </si>
  <si>
    <t>FO</t>
  </si>
  <si>
    <t>locatie incident 44,555617 23,439558 cablu fo afectat in sapatura de catre cineva care monteaza o fosa septica.</t>
  </si>
  <si>
    <t>S-au instalat 2 OSC-uri si 101m fo24, 1 OSC in camerata existenta si unul nou</t>
  </si>
  <si>
    <t>44,555617 23,439558</t>
  </si>
  <si>
    <t>OLT1-CL2990 / Slot : 1 / PON1/11</t>
  </si>
  <si>
    <t>FITT00000136633</t>
  </si>
  <si>
    <t>Portul OLT1-CL2990  0/1/11 este down. Sudura sparta la 4.4km, in DP3.</t>
  </si>
  <si>
    <t>S-a refacut sudura, clientii sunt UP si semnalul in parametrii.</t>
  </si>
  <si>
    <t>IMO000000305776</t>
  </si>
  <si>
    <t>Ghindari</t>
  </si>
  <si>
    <t>Solutie provizorie - fo pe jos</t>
  </si>
  <si>
    <t>Incident identificat la cota 46.492777 24.923927 langa OSC J_IMO43070. Cablu fo24 taiat.</t>
  </si>
  <si>
    <t>S-a instalat 40mfo12 si 2 osc-uri care au fost lasate pe jos pe pamant. Necesar instalare 200m fo24 pe stalpi de medie si resudat OSC-uri, 1 existent si 1 nou.</t>
  </si>
  <si>
    <t>46.492777 24.923927</t>
  </si>
  <si>
    <t>CR0135FAN2ODB2805</t>
  </si>
  <si>
    <t>FITT00000136644</t>
  </si>
  <si>
    <t>DRAGANESTI-OLT</t>
  </si>
  <si>
    <t>ODB2805 fara semnal.S-a indentificat problema la OSC62 care a fost vandalizat.</t>
  </si>
  <si>
    <t>S-a refacut OSC62, clientii sunt UP, semnal in parametrii.</t>
  </si>
  <si>
    <t>CR2950FAN1ODB392</t>
  </si>
  <si>
    <t>FITT00000136578</t>
  </si>
  <si>
    <t>ODB392 fara semnal, problema indentificata la 266m la DP29. Sudura sparta in DP.</t>
  </si>
  <si>
    <t>S-a refacut sudura, acum ODB392 are semnal in parametrii.</t>
  </si>
  <si>
    <t xml:space="preserve">CL0691 - CL0490 </t>
  </si>
  <si>
    <t>IMO000000305798</t>
  </si>
  <si>
    <t>Iosif Criste</t>
  </si>
  <si>
    <t>S-a indentificat locul incidentului la cota 47,15823 22,99467 este un cablu fo96. Cablul si OSC-ul au fost vandalizate.</t>
  </si>
  <si>
    <t xml:space="preserve">S-a eliberat rezerva de cablu, s-a instalat un OSC nou si s-au refacut sudurile. </t>
  </si>
  <si>
    <t>47.15823 22.99467</t>
  </si>
  <si>
    <t>OLT1-CL0691 / Slot : 1 PON1/1, PON1/2, PON1/3, PON1/4, PON1/5, PON1/6, PON1/7, PON1/8, PON1/9</t>
  </si>
  <si>
    <t>FITT00000136652</t>
  </si>
  <si>
    <t xml:space="preserve">Mesesenii de Jos </t>
  </si>
  <si>
    <t>Comun cu IMO000000305798</t>
  </si>
  <si>
    <t>S-a eliberat rezerva de cablu, s-a instalat un OSC nou si s-au refacut sudurile. Toate porturile s-au ridicat.</t>
  </si>
  <si>
    <t>BE2997FAN1ODB19</t>
  </si>
  <si>
    <t>FITT00000136649</t>
  </si>
  <si>
    <t xml:space="preserve">ALBESTII DE ARGES </t>
  </si>
  <si>
    <t>ODB19 fara semnal. Incient indentificat la 300m in ODB100. Viespile au rupt firele de fo.</t>
  </si>
  <si>
    <t>S-a refacut ODB100, iar acum clientii s-au ridicat si semnalul este in parametrii.</t>
  </si>
  <si>
    <t>CR0077FAN1ODB11129</t>
  </si>
  <si>
    <t>FITT00000136606</t>
  </si>
  <si>
    <t>ODB11129 fara semnal, s-a indentificat sudura sparta in ODB.</t>
  </si>
  <si>
    <t>S-a refacut sudura si clientul este UP, cu semnal in parametrii.</t>
  </si>
  <si>
    <t>TI0445  – TI0731</t>
  </si>
  <si>
    <t>IMO000000305812</t>
  </si>
  <si>
    <t>S-a facut masuratoare din OSC intermediar.  S-a identificat sudura sparta in OSC J2.EVR_560690 la cota 45.781578 21.229626</t>
  </si>
  <si>
    <t>S-a refacut sudura in OSC J2.EVR_560690</t>
  </si>
  <si>
    <t>45.781578 21.229626</t>
  </si>
  <si>
    <t>OLT1-CL0567 / Slot : 3 PON3/1, PON3/2, PON3/3, PON3/4, PON3/5, PON3/6, PON3/11, PON3/13, PON3/14</t>
  </si>
  <si>
    <t>FITT00000136666</t>
  </si>
  <si>
    <t>Electrica schimba stalpii, si a taiat cablul fo96.</t>
  </si>
  <si>
    <t>S-a eliberat rezerva si s-a jonctionat in cutie existenta DP15.</t>
  </si>
  <si>
    <t>FITT00000136694</t>
  </si>
  <si>
    <t>ODB71 fara semnal, incident la 22m de ODB. Sudura sparta intr-o discheta de interventie.</t>
  </si>
  <si>
    <t>S-a refacut sudura si semnalul este in parametrii. Clientii mentionati la deranjament nu sunt activi.</t>
  </si>
  <si>
    <t>OLT1-CL0004 / Slot : 1 PON1/1, PON1/3, PON1/4, PON1/5, PON1/7, PON1/8, PON1/9, PON1/10, PON1/11, PON1/13, PON1/14, PON1/15, PON1/16</t>
  </si>
  <si>
    <t>FITT00000136703</t>
  </si>
  <si>
    <t>Vadu Crisului</t>
  </si>
  <si>
    <t>Incident descoperit la cota 46.98122  22.53178 de la un incendiu de vegetatie, 2 stalpi au ars la baza si au cazut, cablul fo48 a fost ars pe o bucata de 40m.</t>
  </si>
  <si>
    <t>S-a instalat un cablu fo48 cu lungimea de 150m, s-au instalat 2 OSC-uri si s-au sudat firele. Toate porturile mentionate s-au ridica.</t>
  </si>
  <si>
    <t>46.98122  22.53178</t>
  </si>
  <si>
    <t>OLT1-CL2990 / Slot : 1 / PON1/10</t>
  </si>
  <si>
    <t>FITT00000136715</t>
  </si>
  <si>
    <t>Port picat OLT1-CL2990 / Slot : 1 / PON1/10.</t>
  </si>
  <si>
    <t>Problema s-a remediat prin inlocuirea patch-ului de fibra optica din site.</t>
  </si>
  <si>
    <t>CL0567 - CL2989</t>
  </si>
  <si>
    <t>IMO000000305815</t>
  </si>
  <si>
    <t>Comun cu FITT00000136666</t>
  </si>
  <si>
    <t>BR0016FAN2ODB3178</t>
  </si>
  <si>
    <t>FITT00000136746</t>
  </si>
  <si>
    <t xml:space="preserve">Ludus </t>
  </si>
  <si>
    <t xml:space="preserve"> S-a tras din rezerva si s-a executat o jonctiune noua 
Nivele optice bune la ODB3178</t>
  </si>
  <si>
    <t xml:space="preserve">TI0055 - TI9210 </t>
  </si>
  <si>
    <t>IMO000000306028</t>
  </si>
  <si>
    <t xml:space="preserve">Timisoara </t>
  </si>
  <si>
    <t>S-a identificat si resudat fibra afectata</t>
  </si>
  <si>
    <t>Timisoara TI0445 - Lugoj TI0543 / TI0337 - TI0187</t>
  </si>
  <si>
    <t>IMO000000306054</t>
  </si>
  <si>
    <t>Albina</t>
  </si>
  <si>
    <t xml:space="preserve">Cosmin Pau/Popescu/Siler </t>
  </si>
  <si>
    <t>Fibra rupta in sapatura sens giatoriu</t>
  </si>
  <si>
    <t xml:space="preserve">S-au scos in aerian 350 m ,2 stalpi,2 jonctiuni, 30 m sapatura </t>
  </si>
  <si>
    <t>WDM  CL0185 - CL0305</t>
  </si>
  <si>
    <t xml:space="preserve"> IMO000000306066</t>
  </si>
  <si>
    <t xml:space="preserve">Somcuta Mare </t>
  </si>
  <si>
    <t>Cablu aerian smuls de agabaritic</t>
  </si>
  <si>
    <t>S-a tras din rezerva si s-a refacut o jonctiune existenta .</t>
  </si>
  <si>
    <t>TI0117FAN1ODB1205</t>
  </si>
  <si>
    <t>FITT00000136749</t>
  </si>
  <si>
    <t>Fibra atenuata in armorod in 2 locuri,</t>
  </si>
  <si>
    <t>Traseu lung cu multe jonctiuni si SPL1 de 1X8 in loc de 1X4 .S-a inlocuit conectorul din ODF si s-a indreptat cablu la cald,Masuratorile cu OTDR nu prezinta atenauri s-au facut si verificari cu ONT-ul de test si paower metru.EDFA cazut din cauza unui incident pe tronson OROC.</t>
  </si>
  <si>
    <t xml:space="preserve">in OLT1-TI0155 slot 1 / port 9 </t>
  </si>
  <si>
    <t>FITT00000136711</t>
  </si>
  <si>
    <t xml:space="preserve">CHIZATAU </t>
  </si>
  <si>
    <t>Comun cu FITT13840</t>
  </si>
  <si>
    <t>TI0336FAN1ODB11023</t>
  </si>
  <si>
    <t>FITT00000136796</t>
  </si>
  <si>
    <t>S-a tras din rezerva si sa-a instlat un OSC nousi s-au instalat 2 stalpi noi.</t>
  </si>
  <si>
    <t>CR0257FAN3ODB705</t>
  </si>
  <si>
    <t xml:space="preserve">FITT00000136656 </t>
  </si>
  <si>
    <t>Fir sudat gresit in DP62. Refacut sudura conform NICM. Semnal in parametri.</t>
  </si>
  <si>
    <t xml:space="preserve">FITT00000136786 </t>
  </si>
  <si>
    <t xml:space="preserve">Fibre rupte la 250m de ODB(in 3217) </t>
  </si>
  <si>
    <t xml:space="preserve"> Refăcut ODB. ODB in parametrii.</t>
  </si>
  <si>
    <t>CR2993FAN2ODB1111</t>
  </si>
  <si>
    <t xml:space="preserve">FITT00000136813 </t>
  </si>
  <si>
    <t>Instalat 150 m FO24. Introdus un capat in ODB1113 si un OSC nou</t>
  </si>
  <si>
    <t>CR0257FAN3ODB714</t>
  </si>
  <si>
    <t>FITT00000136800</t>
  </si>
  <si>
    <t>OLT1-CL0016 / Slot : 1 / PON1/13</t>
  </si>
  <si>
    <t>FITT00000136810</t>
  </si>
  <si>
    <t>Fibra atenuata.</t>
  </si>
  <si>
    <t xml:space="preserve"> S-a inlocuit spliter SPL1 .Valori ok pe port.</t>
  </si>
  <si>
    <t>TI0207FAN1ODB403</t>
  </si>
  <si>
    <t xml:space="preserve">FITT00000136817 </t>
  </si>
  <si>
    <t xml:space="preserve">BECICHERECU MIC </t>
  </si>
  <si>
    <t>S-au inlocuit spliterele .ODB in parametrii.</t>
  </si>
  <si>
    <t>LOSS OF SIGNAL WDM TI0337 &lt;&gt; TI0187 , Timisoara ( TI0445 ) - Lugoj ( TI0543 ) + SDH</t>
  </si>
  <si>
    <t>IMO000000306242</t>
  </si>
  <si>
    <t>Mosnita</t>
  </si>
  <si>
    <t>CR0257FAN3ODB588</t>
  </si>
  <si>
    <t xml:space="preserve">FITT00000136781 </t>
  </si>
  <si>
    <t>Echipa a ajuns la ODB588 si a constatat lipsa semnal in acest ODB. S-a deschis OSC143 si s-a identificat cu lumina firul ce alimenteaza acest ODB. Mai departe pe traseu s-a deschis camereta unde trebuie sa existe DP57OSC57 si nu s-a gasit fizic OSC-ul in camin.</t>
  </si>
  <si>
    <t>TI0337FAN1ODB708</t>
  </si>
  <si>
    <t xml:space="preserve">FITT00000136828 </t>
  </si>
  <si>
    <t>Sudura sparta in DP. Refacut sudura.</t>
  </si>
  <si>
    <t>TI0117FAN1ODB1207</t>
  </si>
  <si>
    <t xml:space="preserve">FITT00000136893 </t>
  </si>
  <si>
    <t>Comun cu FITT00000136749</t>
  </si>
  <si>
    <t>OLT1-CL0567 / Slot : 1 / PON1/4</t>
  </si>
  <si>
    <t xml:space="preserve">FITT00000136902 </t>
  </si>
  <si>
    <t>Fibra agatata de agabaritic si smulsa din ODB1231. Eliberat rezerva si refacut ODB.</t>
  </si>
  <si>
    <t>Loss of signal WDM TI0338 - TI0117</t>
  </si>
  <si>
    <t>IMO000000306286</t>
  </si>
  <si>
    <t>Masuratoare. Tronson OROC</t>
  </si>
  <si>
    <t>CR2950FAN2ODB120</t>
  </si>
  <si>
    <t>FITT00000136889</t>
  </si>
  <si>
    <t>Fir rupt in ODB120.</t>
  </si>
  <si>
    <t>CR0257FAN3ODB668</t>
  </si>
  <si>
    <t xml:space="preserve">FITT00000136906 </t>
  </si>
  <si>
    <t xml:space="preserve">Leonte </t>
  </si>
  <si>
    <t>Fibra inversata. Refacut in DP conform NICM</t>
  </si>
  <si>
    <t xml:space="preserve"> WDM Ramada_1(BR0401) - Sibiu_1(BR0375);Sibiu_1(BR0375) - BR0128 + SDH</t>
  </si>
  <si>
    <t>IMO000000306340</t>
  </si>
  <si>
    <t>Fibra taiata in camereta nou instalata peste tuburile existente de Electrogrup</t>
  </si>
  <si>
    <t>Electrogrup</t>
  </si>
  <si>
    <t xml:space="preserve">S-a tras din rezerva si s-a executat o jonctiune noua </t>
  </si>
  <si>
    <t>CR0257FAN3ODB777</t>
  </si>
  <si>
    <t>FITT00000136693</t>
  </si>
  <si>
    <t>ODB sincronizat in port eronat</t>
  </si>
  <si>
    <t>S-a sudat conform NICM in OSC66</t>
  </si>
  <si>
    <t>BR0720FAN1ODB7304</t>
  </si>
  <si>
    <t>FITT00000136924</t>
  </si>
  <si>
    <t>Prejmer</t>
  </si>
  <si>
    <t>CL2992FAN1ODB87</t>
  </si>
  <si>
    <t>FITT00000136940</t>
  </si>
  <si>
    <t>Jibou</t>
  </si>
  <si>
    <t>ODB plin de viespi</t>
  </si>
  <si>
    <t>s-au refacut firele</t>
  </si>
  <si>
    <t>TI0370FAN1ODB1412</t>
  </si>
  <si>
    <t>FITT00000136948</t>
  </si>
  <si>
    <t>Sofronea</t>
  </si>
  <si>
    <t>buffer rost de viespi in ODB</t>
  </si>
  <si>
    <t>CL0305FAN1ODB11017</t>
  </si>
  <si>
    <t>FITT00000136962</t>
  </si>
  <si>
    <t>Ulmeni</t>
  </si>
  <si>
    <t>Cablu 24fo rupt la lucrari reabilitare drum</t>
  </si>
  <si>
    <t>refacut OSC1011 si executat 1 jonct noua</t>
  </si>
  <si>
    <t>BR0333FAN3ODB331</t>
  </si>
  <si>
    <t>FITT00000136986</t>
  </si>
  <si>
    <t>Codlea</t>
  </si>
  <si>
    <t>port defect in spl3</t>
  </si>
  <si>
    <t>S-a inlocuit pigtail pe portul 8 din SPL3</t>
  </si>
  <si>
    <t>TI0258FAN3ODB3724</t>
  </si>
  <si>
    <t>FITT00000136954</t>
  </si>
  <si>
    <t>TI0001FAN2ODB2615</t>
  </si>
  <si>
    <t xml:space="preserve">FITT00000136957 </t>
  </si>
  <si>
    <t>Nadlac</t>
  </si>
  <si>
    <t>OLT1-CL0445 / Slot : 1 / PON1/1</t>
  </si>
  <si>
    <t>FITT00000137007</t>
  </si>
  <si>
    <t>Netconstruct</t>
  </si>
  <si>
    <t>DP8 demontat de pe fatada blocului in vederea inceperii lucrarilor de renovare. Dupa finalizare s-a verificat functionalitatea in NETNUMEN</t>
  </si>
  <si>
    <t>BR0023FAN1ODB4152</t>
  </si>
  <si>
    <t>FITT00000137012</t>
  </si>
  <si>
    <t>Rupea</t>
  </si>
  <si>
    <t>Ilea Gabliel</t>
  </si>
  <si>
    <t>lipsa semnal ODB4152, sau semnal foarte atenuat.</t>
  </si>
  <si>
    <t>Defectul sa indentificat la Spliterul optic nivel 1, care era cu probleme. S-a inlocuit spliterul in DP34 acum semnalul este in parametrii -24 -5Db.</t>
  </si>
  <si>
    <t>CL0013 &lt;&gt; CL0259</t>
  </si>
  <si>
    <t>IMO000000306567</t>
  </si>
  <si>
    <t>Alba-Iulia</t>
  </si>
  <si>
    <t>46,056304 23,563022</t>
  </si>
  <si>
    <t>CL0004FAN1ODB91</t>
  </si>
  <si>
    <t>FITT00000137120</t>
  </si>
  <si>
    <t>VADU CRISULUI</t>
  </si>
  <si>
    <t>Lipsa semnal in ODB91. S-a indentificat ODB88 smuls de pe stalp si cablu fo12 rupt la cota 46,99369 22,52207.</t>
  </si>
  <si>
    <t>Pentru remediera s-a reinstalat ODB88 inapoi pe stalp, s-au instalat 2buc OSC-uri si 100m cablu fo12. ODB91 are acum semnal in parametrii, iar clientul este UP.</t>
  </si>
  <si>
    <t>46,99369 22,52207</t>
  </si>
  <si>
    <t>CR0344FAN1ODB1105</t>
  </si>
  <si>
    <t>FITT00000137124</t>
  </si>
  <si>
    <t>CORABIA</t>
  </si>
  <si>
    <t>ODB1105 fara semnal, fir rupt in ODB de insect.</t>
  </si>
  <si>
    <t>S-a refacut sudura in ODB1105, clientul s-a ridicat si semnalul este in parametrii.</t>
  </si>
  <si>
    <t>POIENI CL0781 - ORADEA CL0229</t>
  </si>
  <si>
    <t>IMO000000306672</t>
  </si>
  <si>
    <t>Poieni</t>
  </si>
  <si>
    <t>In zona respectiva se cauta camereta HH28 cu J4.Problema e ca peste traseu si peste camereta cei ce reabiliteaza calea ferate Poieni-Oradea au depozitat moloz si pamant. I-am pus sa ne sape si sa degajeze zona. Sapand cu utilajul lor au smuls tot.</t>
  </si>
  <si>
    <t>CR2950FAN4ODB100</t>
  </si>
  <si>
    <t>FITT00000137153</t>
  </si>
  <si>
    <t>ODB100 fara semnal, problema la 22m in ODB99 unde s-a gasit firul rupt.</t>
  </si>
  <si>
    <t>S-a refacut sudura in ODB99, acum semnalul este in parametrii in ODB100. Nu sunt clienti activi in ODB pentru a verifica direct.</t>
  </si>
  <si>
    <t>TI0155FAN1ODB1218</t>
  </si>
  <si>
    <t>FITT00000137245</t>
  </si>
  <si>
    <t>Belint</t>
  </si>
  <si>
    <t>Instalat 70m fo, o jonctiune noua si resudat in ODB. Valori ok la ODB. Unii clienti s-au ridicat, ceilalti posibil probleme last mile.</t>
  </si>
  <si>
    <t>CR0344 - CR0175 + MPR CR0175 – CR0344</t>
  </si>
  <si>
    <t>IMO000000306952</t>
  </si>
  <si>
    <t>Marius Cinca + Solomon</t>
  </si>
  <si>
    <t>Fibra agatata si rupta</t>
  </si>
  <si>
    <t>instalat 200m fo si 2 osc</t>
  </si>
  <si>
    <t>CR2950FAN3ODB352</t>
  </si>
  <si>
    <t>FITT00000137259</t>
  </si>
  <si>
    <t>OLT1-CL0628 / Slot : 2 / PON2/5</t>
  </si>
  <si>
    <t>FITT00000137316</t>
  </si>
  <si>
    <t>Fibra mancata de insecte in OSC11</t>
  </si>
  <si>
    <t>S-a  identificat si s-a resudat fibra afectatata.</t>
  </si>
  <si>
    <t>OLT1-CL0916 / Slot : 1 PON1/1, PON1/4, PON1/5, PON1/6</t>
  </si>
  <si>
    <t>FITT00000137317</t>
  </si>
  <si>
    <t>Poiana Ilvei</t>
  </si>
  <si>
    <t>Fibra cazuta de stalp</t>
  </si>
  <si>
    <t>CL0704FAN2ODB2542</t>
  </si>
  <si>
    <t>FITT00000137319</t>
  </si>
  <si>
    <t xml:space="preserve">Borsa </t>
  </si>
  <si>
    <t>S-a inlocuit 60m FO12 si s-au refacut sudurile in ODB si OSC3004.</t>
  </si>
  <si>
    <t>OLT1-CL0704 / Slot : 9 / PON9/5</t>
  </si>
  <si>
    <t>FITT00000137328</t>
  </si>
  <si>
    <t>Patch defect</t>
  </si>
  <si>
    <t>inlocuit patchcord</t>
  </si>
  <si>
    <t>OLT1-CL0212 / Slot : 1 PON1/13, PON1/14</t>
  </si>
  <si>
    <t>FITT00000137370</t>
  </si>
  <si>
    <t xml:space="preserve">Oradea </t>
  </si>
  <si>
    <t>S-a trea din rezerva si refacut OSC11.</t>
  </si>
  <si>
    <t xml:space="preserve"> WDM JOSENI_BR0902 - BR0168 </t>
  </si>
  <si>
    <t>IMO000000307113</t>
  </si>
  <si>
    <t>Vass/ Borgovan</t>
  </si>
  <si>
    <t>S-a instlat 280 m FO24 si s-au refacut 2 jonctiuni existente.</t>
  </si>
  <si>
    <t>FITT00000137320</t>
  </si>
  <si>
    <t xml:space="preserve">Sagu </t>
  </si>
  <si>
    <t xml:space="preserve">Spliter ODB rupt. </t>
  </si>
  <si>
    <t>CR2950FAN3ODB202</t>
  </si>
  <si>
    <t>FITT00000137388</t>
  </si>
  <si>
    <t>Cablu rupt in sapatura ZONA DP 54</t>
  </si>
  <si>
    <t>Sapatura - tras din rez si refacut DP</t>
  </si>
  <si>
    <t>TI0166FAN1ODB11014</t>
  </si>
  <si>
    <t>FITT00000137390</t>
  </si>
  <si>
    <t xml:space="preserve">Ciacova </t>
  </si>
  <si>
    <t>Fibra rupta la OSC10.</t>
  </si>
  <si>
    <t>S-a tras din rezerva si s-a refacut OSC.ODB-urile afectate in parametrii.</t>
  </si>
  <si>
    <t>FITT00000137397</t>
  </si>
  <si>
    <t xml:space="preserve">Simian </t>
  </si>
  <si>
    <t>S-a inlocuit spliter.ODB in parametrii.</t>
  </si>
  <si>
    <t>BR0322 - BR0424</t>
  </si>
  <si>
    <t>IMO000000307222</t>
  </si>
  <si>
    <t xml:space="preserve">Valea Viilor </t>
  </si>
  <si>
    <t>Echipa Proconect Sibiu</t>
  </si>
  <si>
    <t>Hertoiu</t>
  </si>
  <si>
    <t>Cablu aerian afectat de incendiul la o casa</t>
  </si>
  <si>
    <t>Incendiu locuinta</t>
  </si>
  <si>
    <t>Cablu fo aerian ars de la o casa in flacari,recuperat rezerva refacut 1j</t>
  </si>
  <si>
    <t>FITT00000137464</t>
  </si>
  <si>
    <t>Port atenuat - sudura puscata in OSC 23</t>
  </si>
  <si>
    <t>Refacut sudura osc 23</t>
  </si>
  <si>
    <t>BR0319FAN1ODB39</t>
  </si>
  <si>
    <t>FITT00000137472</t>
  </si>
  <si>
    <t>Halchiu</t>
  </si>
  <si>
    <t>ODB39 are alarma LOS pe cei 3 abonati conectati.</t>
  </si>
  <si>
    <t>ODB93 are semnal inclusive pe porturile de abonati. S-a observant ca sunt afectate cablurile de abonati, care au fost rupte de un utilaj. Necesar reconectare abonati.</t>
  </si>
  <si>
    <t>WDM BR0433 (Dumbravita) - BR0333, BR0433 (Dumbravita) - BR0238 + NEC BR0333 - BR1333</t>
  </si>
  <si>
    <t>IMO000000307300</t>
  </si>
  <si>
    <t>Mircea Banciu + Roman Madalin</t>
  </si>
  <si>
    <t>Locatie inicident 45,695753  25,439252 pe cablu fo24 la 700m de BR0333.</t>
  </si>
  <si>
    <t>S-a instalat un OSC nou + 100m fo24 si s-a refacut OSC-ul existent.</t>
  </si>
  <si>
    <t>cl2979,RACK=1,SHELF=1,SLOT=2,PORT=2</t>
  </si>
  <si>
    <t xml:space="preserve">FITT00000137481 </t>
  </si>
  <si>
    <t>Insecte in ODB 2224 intermediar</t>
  </si>
  <si>
    <t>CR0257 - CR0175</t>
  </si>
  <si>
    <t>IMO000000307328</t>
  </si>
  <si>
    <t>TI0055 - TI20019</t>
  </si>
  <si>
    <t>IMO000000307347</t>
  </si>
  <si>
    <t>Fir rupt la 700m de BP</t>
  </si>
  <si>
    <t>Refacut sudura in OSC intermediar</t>
  </si>
  <si>
    <t>EDFA1-01-CR0177</t>
  </si>
  <si>
    <t>FITT00000137563</t>
  </si>
  <si>
    <t>Plenita</t>
  </si>
  <si>
    <t>Cablu frecat de stallp</t>
  </si>
  <si>
    <t>CL0781FAN1ODB1</t>
  </si>
  <si>
    <t>FITT00000137560</t>
  </si>
  <si>
    <t>Fir rupt in OSC subteran</t>
  </si>
  <si>
    <t>Refacut fir in OSC</t>
  </si>
  <si>
    <t>CR0135FAN2ODB302</t>
  </si>
  <si>
    <t>FITT00000137569</t>
  </si>
  <si>
    <t>Draganesti Olt</t>
  </si>
  <si>
    <t>COMUN CU FITT00000137571</t>
  </si>
  <si>
    <t>OLT1-CR0135 / Slot : 2 / PON2/10</t>
  </si>
  <si>
    <t>FITT00000137571</t>
  </si>
  <si>
    <t>Cablu rupt pe sifon la ODB 302</t>
  </si>
  <si>
    <t>Tras din rez si refcut odb 302</t>
  </si>
  <si>
    <t>TI0336FAN1ODB11012</t>
  </si>
  <si>
    <t>FITT00000137602</t>
  </si>
  <si>
    <t>ODB11012 fara semnal, incident fo cut la 620m de ODB11012. Cablu fo48 rupt la coordinatele 45,365555 21,438326 langa J_FITT61799.</t>
  </si>
  <si>
    <t>S-a refacut OSC-ul, acum semnalul in ODB11012 este ok, iar clientii sunt UP.</t>
  </si>
  <si>
    <t>45,365555 21,438326</t>
  </si>
  <si>
    <t>Balvanesti ( CR0783 ) - Toplet ( TI0036 )</t>
  </si>
  <si>
    <t>IMO000000307553</t>
  </si>
  <si>
    <t>Solutie provizorie - necesar camerete</t>
  </si>
  <si>
    <t>Mota + Barbulescu Ion</t>
  </si>
  <si>
    <t>La coordonatele 44,815393 22,602139 a fost decopertata o suprafata de ~300m de terem pentru amenajare lucrari Transgaz. Cablul fo24 a fost rup.</t>
  </si>
  <si>
    <t>Transgaz</t>
  </si>
  <si>
    <t>S-a instalat 50m fo24 compozit si 2 OSC-uri.</t>
  </si>
  <si>
    <t>WDM Cluj CL0400 - Dej CL0079 Y6</t>
  </si>
  <si>
    <t>IMO000000307602</t>
  </si>
  <si>
    <t>Cablu afectat partial la 7,33km de CL0035 catre Bontida(CL2967)</t>
  </si>
  <si>
    <t>Pentru remediere s-a realizat swap de p13 pe portul 16 intre site-urile CL0035-CL2967</t>
  </si>
  <si>
    <t xml:space="preserve"> WDM CL0045  CL0962</t>
  </si>
  <si>
    <t>IMO000000307621</t>
  </si>
  <si>
    <t>Cablu fo24 afectat in jonctiune la 2km de site CL0962.</t>
  </si>
  <si>
    <t>S-au refacut sudurile in OSC-ul de la coordonatele 46,752193 23,524187.</t>
  </si>
  <si>
    <t>MPR CL0559 - CL0424</t>
  </si>
  <si>
    <t>IMO000000307635</t>
  </si>
  <si>
    <t>Alba Iulia</t>
  </si>
  <si>
    <t>Solutie finala - SWAP</t>
  </si>
  <si>
    <t>Codau Marius</t>
  </si>
  <si>
    <t>S-a masurat din site CL0559_ODF_02 P7-8 si masuratoarea se opreste la 3,55km.</t>
  </si>
  <si>
    <t>S-a facut swap de fire intre site CL0559 si J2_EVR759609  (firele 7,8 au fost inlocuite cu 2,3). Incidentul trebuie sa fie undeva pe la cota 46°00'53.7"N 23°31'31.8"E   +- 200m.</t>
  </si>
  <si>
    <t>46°00'53.7"N 23°31'31.8"E</t>
  </si>
  <si>
    <t>OLT1-BR0005 / Slot : 4 / PON4/2</t>
  </si>
  <si>
    <t>FITT00000137649</t>
  </si>
  <si>
    <t>Victoria</t>
  </si>
  <si>
    <t>OLT1-TI0078 / Slot : 1 / PON1/13</t>
  </si>
  <si>
    <t>FITT00000137703</t>
  </si>
  <si>
    <t>Port OLT picat PON1/13 . S-a masurat din DP4 Sp2 si s-a identificat defect la 2,7km. Sudura sparta in OSC100.</t>
  </si>
  <si>
    <t>S-a refacut sudura pe fir14 in OSC100, acum clientii sunt UP si cu semnal in parametrii.</t>
  </si>
  <si>
    <t>46.391222, 22.127806</t>
  </si>
  <si>
    <t>swap de fire intre OSC100 si DP4, de pe firul 14 pe firul 38. Exista deja facut un swap si pentru firul 13 cu 37 la dp4</t>
  </si>
  <si>
    <t>CR0499FAN1ODB2102</t>
  </si>
  <si>
    <t>FITT00000137634</t>
  </si>
  <si>
    <t>Pigtail de pe portul 8 rupt</t>
  </si>
  <si>
    <t>S-a inlocuit pigtail in ODB</t>
  </si>
  <si>
    <t>OLT1-TI0400 / Slot : 2 / PON2/16</t>
  </si>
  <si>
    <t>FITT00000137803</t>
  </si>
  <si>
    <t>Sanandrei</t>
  </si>
  <si>
    <t>Cablu afectat in sapatura</t>
  </si>
  <si>
    <t>S-a eliberat rezerva si instalat un mansaon</t>
  </si>
  <si>
    <t>FITT00000137818</t>
  </si>
  <si>
    <t>Feliceni</t>
  </si>
  <si>
    <t xml:space="preserve"> instalat 50m fo intre ODB si o jonctiune nou instalata. Client up, valori ok in ODB.</t>
  </si>
  <si>
    <t>Reclamatie Supervizare / Loss of signal in ORADEA intre CL0223 - CL22809</t>
  </si>
  <si>
    <t xml:space="preserve"> IMO000000307826</t>
  </si>
  <si>
    <t>Fir atenuat in caseta ODF</t>
  </si>
  <si>
    <t>Refacut sudura + aranjat cum trebuie</t>
  </si>
  <si>
    <t xml:space="preserve">Loss of signal in MURES intre BR0632 - BR0051 </t>
  </si>
  <si>
    <t>IMO000000307912</t>
  </si>
  <si>
    <t>jonctiune cazuta, sudura puscata in jonctiune</t>
  </si>
  <si>
    <t>CR0135FAN2ODB1513</t>
  </si>
  <si>
    <t>FITT00000137805</t>
  </si>
  <si>
    <t>Fibra rupta de anvelopare bloc</t>
  </si>
  <si>
    <t>Tras rez si refacut odb reclamat</t>
  </si>
  <si>
    <t>CL0165FAN1ODB302</t>
  </si>
  <si>
    <t>FITT00000137729</t>
  </si>
  <si>
    <t>Alesd</t>
  </si>
  <si>
    <t>Ancoraj la bloc rupt</t>
  </si>
  <si>
    <t>OLT1-CL0628 / Slot : 1 PON1/11, PON1/12</t>
  </si>
  <si>
    <t>FITT00000137726</t>
  </si>
  <si>
    <t>FLorin Zubasco</t>
  </si>
  <si>
    <t>tras rezerva din osc1014 si refacut lipituri DP6</t>
  </si>
  <si>
    <t>BR0781FAN1ODB863</t>
  </si>
  <si>
    <t>FITT00000137661</t>
  </si>
  <si>
    <t>Fir rupt la 107m in odb intermediar</t>
  </si>
  <si>
    <t>CR0071 - CR0302</t>
  </si>
  <si>
    <t>IMO000000307957</t>
  </si>
  <si>
    <t>Brezoi</t>
  </si>
  <si>
    <t>instalat 1 osc in camereta existenta</t>
  </si>
  <si>
    <t>CL2984FAN1ODB173</t>
  </si>
  <si>
    <t>FITT00000137837</t>
  </si>
  <si>
    <t>Marghita</t>
  </si>
  <si>
    <t>Fir rupt in buffer in ODB.</t>
  </si>
  <si>
    <t xml:space="preserve"> Resudat fibra, valori ok la ODB.</t>
  </si>
  <si>
    <t>BR0003FAN2ODB3811</t>
  </si>
  <si>
    <t>FITT00000137862</t>
  </si>
  <si>
    <t>Baraolt</t>
  </si>
  <si>
    <t xml:space="preserve">Fir sudat gresit in spl nivel 1 din DP38. </t>
  </si>
  <si>
    <t>Sudat pe spl1 conform nicm si s-a verificat provizionarea cu ONT de test</t>
  </si>
  <si>
    <t>MALEX THOR SRL L10001 Ortisoara DIA - SID 99068</t>
  </si>
  <si>
    <t>FITT00000137876</t>
  </si>
  <si>
    <t>Ortisoara</t>
  </si>
  <si>
    <t>Fibra taiata de proprietar.</t>
  </si>
  <si>
    <t xml:space="preserve"> Instalat 120m fo, 4 stalpi, resudat o jonctiune si instalat 1 osc nou. client up, am confirmat si cu supervizarea</t>
  </si>
  <si>
    <t>OLT1-CL0335 / Slot : 1 / PON1/7</t>
  </si>
  <si>
    <t>FITT00000137885</t>
  </si>
  <si>
    <t>S-a eliberat rezerva si instalat un OSC nou</t>
  </si>
  <si>
    <t>FITT00000137890</t>
  </si>
  <si>
    <t>Calan</t>
  </si>
  <si>
    <t>Resudat fir, valori ok, clienti up.</t>
  </si>
  <si>
    <t>CR0257FAN2ODB797</t>
  </si>
  <si>
    <t>FITT00000137618</t>
  </si>
  <si>
    <t>Retea nefinalizata. Conform NICM, ODB797 trebuia cu fibra directa din DP150. In teren am identificat capatul de fibra in aer, nesudat in ODB806. Necesar intoarcere retea catre constructor pentru constructie retea.</t>
  </si>
  <si>
    <t>CR0077FAN1ODB11126</t>
  </si>
  <si>
    <t>FITT00000137891</t>
  </si>
  <si>
    <t xml:space="preserve">Fir rupt in ODB </t>
  </si>
  <si>
    <t>S-a resucat firul afectat</t>
  </si>
  <si>
    <t>BR0122FAN1ODB3101</t>
  </si>
  <si>
    <t>FITT00000137817</t>
  </si>
  <si>
    <t>Vlahita</t>
  </si>
  <si>
    <t>Joszef Vass</t>
  </si>
  <si>
    <t>Cablu afectat intre blocuri</t>
  </si>
  <si>
    <t>S-a instalat 100m de cablu intre un ODB existent si un TB</t>
  </si>
  <si>
    <t>TI0323FAN1ODB12511</t>
  </si>
  <si>
    <t>FITT00000137752</t>
  </si>
  <si>
    <t>Hateg</t>
  </si>
  <si>
    <t>`</t>
  </si>
  <si>
    <t>CR0257FAN3ODB682</t>
  </si>
  <si>
    <t>FITT00000137901</t>
  </si>
  <si>
    <t>Retea nefinalizata. Capatul de fibra ce trebuia sa duca semnalul la ODB a fost identificat in camereta unde conform NICM trebuia sa fie OSC133. Necesar finalizare retea de constructor.</t>
  </si>
  <si>
    <t>TI0401FAN2ODB907</t>
  </si>
  <si>
    <t>FITT00000137948</t>
  </si>
  <si>
    <t xml:space="preserve">Tehnicianul care s-a deplasat la TI0401FAN2ODB907 spl2 a constatat ca semnalul la ODB este atenuat, pigtails deteriorati care se pot observa si in poze. Semnal CATV 1550 pe porturile 4: val -13 catv ; 5 : val -9.41 catv, 1 si 2 fara semnal. </t>
  </si>
  <si>
    <t>S-au inlocuit ambele splitere</t>
  </si>
  <si>
    <t>OLT1-CL0335 / Slot : 1
PON1/6, PON1/8</t>
  </si>
  <si>
    <t>FITT00000137954</t>
  </si>
  <si>
    <t>Comun cu FITT00000137885</t>
  </si>
  <si>
    <t>OLT1-BE0793 / Slot : 1 PON1/12, PON1/13</t>
  </si>
  <si>
    <t>FITT00000138099</t>
  </si>
  <si>
    <t>Priboaia</t>
  </si>
  <si>
    <t>Fo rupt de toaletari copaci</t>
  </si>
  <si>
    <t>1 OSC nou,140m FO48,cruce,armoruzi</t>
  </si>
  <si>
    <t>OLT1-TI0164 / Slot : 4 PON4/6, PON4/7</t>
  </si>
  <si>
    <t>FITT00000138106</t>
  </si>
  <si>
    <t>Ghioroc</t>
  </si>
  <si>
    <t>FO 24 AGATAT DE AGABARITIC</t>
  </si>
  <si>
    <t>Fo 24  100 m tras aerian,  1 inchidere deschidere ODB, 1 închidere deschidere OSC, 4 suduri.</t>
  </si>
  <si>
    <t>FITT00000138114</t>
  </si>
  <si>
    <t>Strei</t>
  </si>
  <si>
    <t>TI0062FAN1ODB13</t>
  </si>
  <si>
    <t>FITT00000138107</t>
  </si>
  <si>
    <t>Salciva</t>
  </si>
  <si>
    <t>Cablu rupt la 2 fete de stalp de ODB</t>
  </si>
  <si>
    <t>CR2950FAN3ODB19</t>
  </si>
  <si>
    <t>FITT00000137937</t>
  </si>
  <si>
    <t>CR2950FAN3ODB19 -TB</t>
  </si>
  <si>
    <t>FITT00000138100</t>
  </si>
  <si>
    <t>Cablu rupt langa TB</t>
  </si>
  <si>
    <t>Tras din rez si refacut TB</t>
  </si>
  <si>
    <t>LOSS OF SIGNAL WDM Joseni ( BR0902 ) - BR0118 , Joseni ( BR0902 ) – M. Ciuc ( BR0034 ) + NEC BR0902 &lt;&gt; BR0572</t>
  </si>
  <si>
    <t>IMO000000308313</t>
  </si>
  <si>
    <t>Cablu rupt de utilaj agricol</t>
  </si>
  <si>
    <t>300m + 2 osc</t>
  </si>
  <si>
    <t>CL0335FAN1ODB1721</t>
  </si>
  <si>
    <t>FITT00000138175</t>
  </si>
  <si>
    <t>Sudura sparta i ODB1721</t>
  </si>
  <si>
    <t>TI0028FAN1ODB1332</t>
  </si>
  <si>
    <t>FITT00000138145</t>
  </si>
  <si>
    <t>Denta</t>
  </si>
  <si>
    <t>inlocuit ODB complet</t>
  </si>
  <si>
    <t>OLT1-CL2992 / Slot : 2 / PON2/13</t>
  </si>
  <si>
    <t>FITT00000138190</t>
  </si>
  <si>
    <t>OSC39 Cazut de pe stalp</t>
  </si>
  <si>
    <t>Refacut suduri in OSC</t>
  </si>
  <si>
    <t>CR2950FAN7ODB1008</t>
  </si>
  <si>
    <t xml:space="preserve">FITT00000138132 </t>
  </si>
  <si>
    <t xml:space="preserve">Fir rupt in ODB1008. </t>
  </si>
  <si>
    <t>CR0079FAN2ODB1605</t>
  </si>
  <si>
    <t xml:space="preserve">FITT00000138124 </t>
  </si>
  <si>
    <t>Fo24</t>
  </si>
  <si>
    <t>lipsa semnal DB1605, cablu fo12 agatat de un utilaj la traversare strada secundara.</t>
  </si>
  <si>
    <t>utilaj</t>
  </si>
  <si>
    <t>S-a instalat 270m cablu fo24, 2 osc, 2 cruci. Acum ODB1605 are semnal in parametrii.</t>
  </si>
  <si>
    <t>43,985107  22,935132</t>
  </si>
  <si>
    <t>TI2992FAN1ODB1915</t>
  </si>
  <si>
    <t xml:space="preserve">FITT00000138245 </t>
  </si>
  <si>
    <t>Buffer rupt in ODB1915. Refacut ODB1915</t>
  </si>
  <si>
    <t>Loss of signal WDM + SDH CIocanei (BE0409) - Matau (BE0451) / BE0409 - BE0081 / BE0409 - BE0209 / BE0409 - BE0079</t>
  </si>
  <si>
    <t>IMO000000308496</t>
  </si>
  <si>
    <t>Leonte+Iulian</t>
  </si>
  <si>
    <t>Cablurile fo12 si Fo24 afectate la cota 44.865806, 24.788417 de catre o firma care sapa pentru efectuarea canalizatiei.</t>
  </si>
  <si>
    <t>Constructor canalizatie</t>
  </si>
  <si>
    <t>S-au instalat 2 OSC-uri si 2buc cablu fo24 cu lungimea de 30m/buc, 2 camerete + 2 Mufe HDPE de Fi 40,10 m monotub de 40 ,2 buc Ball Markeri</t>
  </si>
  <si>
    <t>44.865806, 24.788417</t>
  </si>
  <si>
    <t>CR2950FAN6ODB182</t>
  </si>
  <si>
    <t>FITT00000137953</t>
  </si>
  <si>
    <t>"lipsa semnal ODB" -CR2950FAN6ODB182, SPL1. Lipsa semnal la TB4, cablul este facut colac in jurul TB ului, fibra nesudata.</t>
  </si>
  <si>
    <t>S-a sudat cablul fo si semnalul este in parametrii la TB cat si la ODB182, clientul nu este instalat.</t>
  </si>
  <si>
    <t xml:space="preserve">BR0781FAN2ODB877 </t>
  </si>
  <si>
    <t>FITT00000138264</t>
  </si>
  <si>
    <t>Fir nesudat in ODB877 si  in TB22</t>
  </si>
  <si>
    <t xml:space="preserve"> Sudat fir, valori ok pe port in TB21.</t>
  </si>
  <si>
    <t>TI0401FAN2ODB5301</t>
  </si>
  <si>
    <t xml:space="preserve">FITT00000138280 </t>
  </si>
  <si>
    <t>Solutie provizorie - camereta</t>
  </si>
  <si>
    <t>Fibra rupta in sapatura.</t>
  </si>
  <si>
    <t>Eliberat rezerva si instalat OSC  nou</t>
  </si>
  <si>
    <t>FO CUT BR0799 - BR22282 / COMPA  L10004 ARINI HOSPITALITY SRL Sibiu DIA SID#97177</t>
  </si>
  <si>
    <t>IMO000000308546</t>
  </si>
  <si>
    <t xml:space="preserve">fir preluat in JBP143GPON </t>
  </si>
  <si>
    <t>identificat si sudat cu fir client</t>
  </si>
  <si>
    <t>lipsa documentatie</t>
  </si>
  <si>
    <t>TI0079FAN1ODB1239</t>
  </si>
  <si>
    <t xml:space="preserve">FITT00000138275 </t>
  </si>
  <si>
    <t>Gavojda</t>
  </si>
  <si>
    <t>Insecte in ODB. Refacut si curatat ODB de insecte</t>
  </si>
  <si>
    <t>CR2950FAN7ODB1007</t>
  </si>
  <si>
    <t xml:space="preserve">FITT00000138305 </t>
  </si>
  <si>
    <t>ODB1007 fara semnal, 4 client down, fir rupt in ODB1008.</t>
  </si>
  <si>
    <t>S-a sudat firul cu semnal in ODB1008. Acum clientii din ODB1007 sunt UP cu semnal in parametrii.</t>
  </si>
  <si>
    <t>Media Failure in Craiova CR0448 - TI0445</t>
  </si>
  <si>
    <t>IMO000000308565</t>
  </si>
  <si>
    <t>cablu fo24 rupt de un utilaj la cota 44.792672  22.724400</t>
  </si>
  <si>
    <t>Incident remediat prin eliberare rezerva fo si instalare 1 OSC.</t>
  </si>
  <si>
    <t>44.792672  22.724400</t>
  </si>
  <si>
    <t>OLT1-TI0155 slot 1 / port 12</t>
  </si>
  <si>
    <t>FITT00000138340</t>
  </si>
  <si>
    <t>CHIZATAU</t>
  </si>
  <si>
    <t>fibra atenuata pe tronson OROC la 6.8km de TI0155. Din lipsa de documentatie am efectuat multiple sondaje si masuratori. S-a identificat fibra atenuata pe sectiune. Pentru remediere s-a inlocuit 120m fo intre 2 camerete existente. Valori ok pe port si la ODB.</t>
  </si>
  <si>
    <t>TI0257FAN2ODB2823</t>
  </si>
  <si>
    <t>FITT00000138343</t>
  </si>
  <si>
    <t xml:space="preserve">CHISINEU-CRIS </t>
  </si>
  <si>
    <t>TI0257FAN2ODB2823 spl1 a constatat lipsa semnal la ODB. Vispile au afectat firele de fo, ambele splitere au fost afectate.</t>
  </si>
  <si>
    <t>S-au refacut sudurile in ODB2823 si acum clientii sunt UP, iar semnalul este in parametrii.</t>
  </si>
  <si>
    <t>Rucar BE0782 - Matau BE0451</t>
  </si>
  <si>
    <t>IMO000000308638</t>
  </si>
  <si>
    <t>Matau</t>
  </si>
  <si>
    <t>S-au realizat masuratori din Mata, un fir este afectat la 28.158km,iar celalalt fir este intreg 33.455km. Circuitul este in Matau pe porturile 19,20.</t>
  </si>
  <si>
    <t>S-a realizat swap in Rucar de pe portul 19 pe portul 23. Am atasat si masuratoarea realizata de pe portul 19 ( afectat la 5304m fata de BE0782 Rucar).</t>
  </si>
  <si>
    <t>FITT00000138350</t>
  </si>
  <si>
    <t>Baia Sprie</t>
  </si>
  <si>
    <t>Zubasco</t>
  </si>
  <si>
    <t>lipsa semnal ODB -CL0067FAN1ODB1114, Cablul fo catre ODB a fost agatat la traversare de drum.</t>
  </si>
  <si>
    <t>S-a eliberat rezerva, s-a relocate cablul fo pe stalpii noi de ee si s-a instalat un OSC. Semnalul este in parametrii.</t>
  </si>
  <si>
    <t>47,645843  23,701985</t>
  </si>
  <si>
    <t>CEC L12103 Oradea VPN / CL0223 - CL4803</t>
  </si>
  <si>
    <t>IMO000000308715</t>
  </si>
  <si>
    <t xml:space="preserve">Se stie care este problema de cateva zile, lipsa stalpi.  Reteau Oro inca are semnal nu este impactata.
Este pe traseu fo Prime, deocamdata nu exista solutii. Colegul de la care am primit info a spus ca trebuie vorbit cu cei de la Oroc poate stiu ei camine care comunica cu locatia CEC.
Necesar schimbare solutie 
</t>
  </si>
  <si>
    <t>fara solutie</t>
  </si>
  <si>
    <t>CL0105 - CL0005</t>
  </si>
  <si>
    <t>IMO000000308714</t>
  </si>
  <si>
    <t>La coordonatele 46,95346 22,75678 s-a identificat incidentul ce a survenit in urma unor sapaturi efectuate pentru modernizarea liniei de cale ferata.</t>
  </si>
  <si>
    <t>Constructor</t>
  </si>
  <si>
    <t>S-a instalat 50m fo24 si 2 osc-uri</t>
  </si>
  <si>
    <t>46,95346 22,75678</t>
  </si>
  <si>
    <t>FITT00000138384</t>
  </si>
  <si>
    <t>Port OLT1-CL0601 / Slot : 2 / PON2/14 picat. Patch fo defect in site CL0601.</t>
  </si>
  <si>
    <t>S-a inlocuit pach-ul si clientii s-au ridicat.</t>
  </si>
  <si>
    <t>TI0511FAN2ODB2534</t>
  </si>
  <si>
    <t>FITT00000138402</t>
  </si>
  <si>
    <t>VLADIMIRESCU</t>
  </si>
  <si>
    <t>ODB2534 Spl2 fara semnal. Patch fo defect in site TI0511.</t>
  </si>
  <si>
    <t>Dupa ce s-a inlocuit patchul s-a constatat ca ONT-ul de test se asocial pe PON4/6, si a trebuit sa schimbam si portul OLT din site.</t>
  </si>
  <si>
    <t>IMO000000308754</t>
  </si>
  <si>
    <t>tichet documentat eronat pentru solutie conectare, client, cod site, judet</t>
  </si>
  <si>
    <t>tichet intors catre prime, problema pe segmentul lor</t>
  </si>
  <si>
    <t>FITT00000138404</t>
  </si>
  <si>
    <t>SIMIAN</t>
  </si>
  <si>
    <t>2 ODB-uri marcate cu acelasi numar. Dupa ce s-a discutat cu tehnician last mile CRISTIAN ISTODOR, tel. 0743263943 am aflat locatie ODB cu problema care avea numarul ODB11125.</t>
  </si>
  <si>
    <t>Fir rupt in ODB11125. S-a sudat firul fo si acum ODB11125 are semnal si clientii sunt UP.</t>
  </si>
  <si>
    <t>OLT1-CR0289 / Slot : 1 PON1/15, PON1/16, 2 PON2/1, PON2/2</t>
  </si>
  <si>
    <t>FITT00000138519</t>
  </si>
  <si>
    <t>Cutui Adrian + Pirciu Denis</t>
  </si>
  <si>
    <t>Cablu fo48 rupt de copaci dupa furtuna, locatie incident 44.983280, 23.680554</t>
  </si>
  <si>
    <t>conditii meteo</t>
  </si>
  <si>
    <t>S-a eliberat rezerva si s-a instalat un OSC. Toate cele 4 porturi din OLT OLT1-CR0289 / PON1/15, PON1/16, PON2/1, PON2/2 sunt UP, la fel si clientii conectati in ele.</t>
  </si>
  <si>
    <t>44,983280, 23,680554</t>
  </si>
  <si>
    <t>WDM CL0602  CL0217</t>
  </si>
  <si>
    <t>IMO000000308933</t>
  </si>
  <si>
    <t>Haucesti</t>
  </si>
  <si>
    <t>Locatie incident 47,22926 22,18274,  sudura sparta in OSC_J1 fir2.</t>
  </si>
  <si>
    <t>S-a refacut sudura. WDM UP.</t>
  </si>
  <si>
    <t>47,22926 22,18274</t>
  </si>
  <si>
    <t>S-a facut swap de fire in OSC_J1 de pe firul 2 pe firul 19 (buffer 4-maro, fir 1-blue), iar in OSC35 s-a revenit pe firul 2. Incidentul real este in padurice 47,230438 22,185804 la 253m din OSC_J1 spre CL0217, sau 3km de CL0217 Haucesti, sau 19,3km de CL0602 Salard  (22,3km-19,3km) =3km de CL0217 Haucesti</t>
  </si>
  <si>
    <t>TI0117FAN1ODB505</t>
  </si>
  <si>
    <t>FITT00000138403</t>
  </si>
  <si>
    <t xml:space="preserve">Spliter defect in DP5. </t>
  </si>
  <si>
    <t>S-a inlocuit. Valori ok la ODB si pe tot portul.</t>
  </si>
  <si>
    <t>Craiova ( CR0448 ) &lt;&gt; Butoiesti ( CR0004 ) , CR0187 &lt;&gt; CR0004 + SDH</t>
  </si>
  <si>
    <t>IMO000000308982</t>
  </si>
  <si>
    <t>Obedin</t>
  </si>
  <si>
    <t>Solutie provizorie - necesar relocare</t>
  </si>
  <si>
    <t>fibra rupta in sapatura, lucrari drum</t>
  </si>
  <si>
    <t>instalat 400m fo, resudat 1 osc existent si instalat 1 osc nou</t>
  </si>
  <si>
    <t>necesar relocare, s-a informat SPG</t>
  </si>
  <si>
    <t>CL0217FAN1ODB13</t>
  </si>
  <si>
    <t>FITT00000138635</t>
  </si>
  <si>
    <t>Chislaz</t>
  </si>
  <si>
    <t xml:space="preserve">sudura defecta in ODB. </t>
  </si>
  <si>
    <t>Resudat fir, valori ok</t>
  </si>
  <si>
    <t>BR0003FAN2ODB4101</t>
  </si>
  <si>
    <t>FITT00000138675</t>
  </si>
  <si>
    <t xml:space="preserve">Fibra taiata la ODB4103. </t>
  </si>
  <si>
    <t>Eliberat rezerva si resudat fibra in ODB. Valori ok, client up.</t>
  </si>
  <si>
    <t>FITT00000138679</t>
  </si>
  <si>
    <t>semnal atenuat pe tot portul, pigtail defect in ODF. S-a resudat, valori de -25/-3 in ODB (traseu 14km).</t>
  </si>
  <si>
    <t>resudat pigtail in odf</t>
  </si>
  <si>
    <t>CR2950FAN5ODB335</t>
  </si>
  <si>
    <t>FITT00000138692</t>
  </si>
  <si>
    <t>Fir rupt in ODB. resudat fir, valori ok</t>
  </si>
  <si>
    <t>BR0003FAN2ODB2705</t>
  </si>
  <si>
    <t>FITT00000138717</t>
  </si>
  <si>
    <t>Brida abonat agatata - ODB tras de pe stalp</t>
  </si>
  <si>
    <t>refacut odb din rezerva</t>
  </si>
  <si>
    <t>BR2727FAN2ODB129</t>
  </si>
  <si>
    <t>FITT00000138682</t>
  </si>
  <si>
    <t>in NICM acest ODB este assignat pe C3P6 iar in CROSS pe C3P8, nu este o problema de topologie in teren.</t>
  </si>
  <si>
    <t>Possible FO CUT in Bihor between CL0229 - CL0297</t>
  </si>
  <si>
    <t>IMO000000309215</t>
  </si>
  <si>
    <t>Patch ros in site</t>
  </si>
  <si>
    <t>Schimbat patch</t>
  </si>
  <si>
    <t>Loss of signal WDM DEVA_1 ( TI0195 ) - BRAD_1 ( TI0173 ) ; TI0032_LUGOJ_1 - DEVA_1 ; DEVA_1 - TI0352 ; DEVA_1 - TI0481 ; TI0008 - DEVA_1 + RM LUGOJ - SIMERIA + NEC TI0195 – TI0481</t>
  </si>
  <si>
    <t>IMO000000309209</t>
  </si>
  <si>
    <t>Ernest + Civile</t>
  </si>
  <si>
    <t>CR2950FAN2ODB254</t>
  </si>
  <si>
    <t>FITT00000138779</t>
  </si>
  <si>
    <t>comun cu FITT00000138732</t>
  </si>
  <si>
    <t>CR2950FAN2ODB255</t>
  </si>
  <si>
    <t>FITT00000138732</t>
  </si>
  <si>
    <t>Cablu rupt pe fatada bloc</t>
  </si>
  <si>
    <t>Tras rez si refacut ODB 252 intermediar</t>
  </si>
  <si>
    <t>CR0168FAN1ODB1811</t>
  </si>
  <si>
    <t>FITT00000138747</t>
  </si>
  <si>
    <t>Drobeta Sud</t>
  </si>
  <si>
    <t>Sudura rupta in OSC 8 intermediar</t>
  </si>
  <si>
    <t>TI0027FAN1ODB1411</t>
  </si>
  <si>
    <t>FITT00000138696</t>
  </si>
  <si>
    <t>CR2950FAN6ODB237</t>
  </si>
  <si>
    <t>FITT00000138725</t>
  </si>
  <si>
    <t>SPL DEFECT IN ODB</t>
  </si>
  <si>
    <t>BR0402 - BR0233 / BR0402 - BR0234</t>
  </si>
  <si>
    <t>IMO000000309398</t>
  </si>
  <si>
    <t>CL0047FAN1ODB2404</t>
  </si>
  <si>
    <t>FITT00000138895</t>
  </si>
  <si>
    <t>S-a identificat firul clientului sudat in SPL2 in DP24. CL0047ODF1FAN1FO23-DP24OSC24SPL1 s-a identificat intr-un OSC66. S-a sudat firul dupa care s-a confirmat cu ONT de test</t>
  </si>
  <si>
    <t>CR0168FAN1ODB1122</t>
  </si>
  <si>
    <t>FITT00000138897</t>
  </si>
  <si>
    <t>Drobeta Turnu Severin</t>
  </si>
  <si>
    <t>fir rupt in DP1</t>
  </si>
  <si>
    <t>CR0168FAN1ODB1824</t>
  </si>
  <si>
    <t>FITT00000138898</t>
  </si>
  <si>
    <t>TI0401-OLT2</t>
  </si>
  <si>
    <t>FITT00000138910</t>
  </si>
  <si>
    <t>FO144 rupt in sapatura</t>
  </si>
  <si>
    <t>necunosctu</t>
  </si>
  <si>
    <t>ACTIUNI: CABLU 144 FO RUPT IN SAPATURA
REMEDIERE: 50M + 2 OSC 144 FO</t>
  </si>
  <si>
    <t>TI0401-OLT1</t>
  </si>
  <si>
    <t>FITT00000138908</t>
  </si>
  <si>
    <t>returnat - comun cu FITT00000138910</t>
  </si>
  <si>
    <t>BR30354FAN2ODB2412</t>
  </si>
  <si>
    <t>FITT00000138873</t>
  </si>
  <si>
    <t>Ceausu de Campie</t>
  </si>
  <si>
    <t>lucrare nefinalizata de catre constructor. FO neintrodus in TB</t>
  </si>
  <si>
    <t>BR0426 - Band BR0471</t>
  </si>
  <si>
    <t>IMO000000309490</t>
  </si>
  <si>
    <t>Cerghid</t>
  </si>
  <si>
    <t>cablu FO strangulat - stalpi furati</t>
  </si>
  <si>
    <t>s-a indreptat cablul</t>
  </si>
  <si>
    <t>BR0319FAN1ODB130</t>
  </si>
  <si>
    <t>FITT00000138954</t>
  </si>
  <si>
    <t>pigtail rupt</t>
  </si>
  <si>
    <t>s-a refacut pigtail de pe portul 8</t>
  </si>
  <si>
    <t>TI0337 - TI0187 / TI0445 - TI0032</t>
  </si>
  <si>
    <t>IMO000000309441</t>
  </si>
  <si>
    <t>FITT00000138974</t>
  </si>
  <si>
    <t>CR2950-OLT3</t>
  </si>
  <si>
    <t>FITT00000138953</t>
  </si>
  <si>
    <t>buffer stresat in OSC</t>
  </si>
  <si>
    <t>s-a indreptat bufferul</t>
  </si>
  <si>
    <t>CR2950-OLT2</t>
  </si>
  <si>
    <t>FITT00000138978</t>
  </si>
  <si>
    <t>FO smuls din OSC</t>
  </si>
  <si>
    <t>TI0206FAN1ODB401</t>
  </si>
  <si>
    <t>FITT00000138961</t>
  </si>
  <si>
    <t xml:space="preserve">Fibra rupta la ODB401. </t>
  </si>
  <si>
    <t xml:space="preserve"> S-a refacut ODB,Semnal in parametrii.</t>
  </si>
  <si>
    <t>OLT1-BR0898 / Slot : 1 PON1/1, PON1/2, PON1/3, PON1/4, PON1/5, PON1/6, PON1/7, PON1/9, PON1/10, PON1/11, PON1/12, PON1/13, PON1/14, PON1/15, PON1/16</t>
  </si>
  <si>
    <t>FITT00000139007</t>
  </si>
  <si>
    <t>Tg.Mures</t>
  </si>
  <si>
    <t xml:space="preserve">Fibra taiata in canalizatie </t>
  </si>
  <si>
    <t>OLT1-CL0047 / Slot : 6 / PON6/12</t>
  </si>
  <si>
    <t>FITT00000139027</t>
  </si>
  <si>
    <t xml:space="preserve">Sanicoara </t>
  </si>
  <si>
    <t>FPConnect</t>
  </si>
  <si>
    <t>Fir rupt în OSC24</t>
  </si>
  <si>
    <t>S-a identificat si s-a resudat fibra afectata.Port up.</t>
  </si>
  <si>
    <t>OLT1-CL0522 / Slot : 13 / PON13/2</t>
  </si>
  <si>
    <t>FITT00000139032</t>
  </si>
  <si>
    <t>Fir rupt în OSC77</t>
  </si>
  <si>
    <t>Loss of signal WDM CR0177 - CR0017 MPR CR0177 - CR0416</t>
  </si>
  <si>
    <t>IMO000000309573</t>
  </si>
  <si>
    <t xml:space="preserve">Plenita </t>
  </si>
  <si>
    <t>Cablu rupt in urma unui accident</t>
  </si>
  <si>
    <t>IMO000000309639</t>
  </si>
  <si>
    <t>NEC local in Timisoara,between TI0055 – TI0129</t>
  </si>
  <si>
    <t>IMO000000309741</t>
  </si>
  <si>
    <t xml:space="preserve">S-a identificat fibra roasa de soareci in canalizatia OROC. locatie incident  45.734360 21.237560 </t>
  </si>
  <si>
    <t>S-a facut extractie pe fo si s-a instaleaza 1 osc nou.</t>
  </si>
  <si>
    <t>45.734360 21.237560</t>
  </si>
  <si>
    <t>CL0628FAN1ODB1113</t>
  </si>
  <si>
    <t>FITT00000139070</t>
  </si>
  <si>
    <t>Probleme semnal ODB1113. Mici rozătoare în odb.</t>
  </si>
  <si>
    <t>S-a pregătit cablul și s-au refăcut suduri in ODB1113. Semnal Ok, clientii sunt UP.</t>
  </si>
  <si>
    <t>CR2950FAN7ODB1004</t>
  </si>
  <si>
    <t>FITT00000139077</t>
  </si>
  <si>
    <t>Fibra rupta in OSC10.</t>
  </si>
  <si>
    <t xml:space="preserve">BR0368 - BR0019 </t>
  </si>
  <si>
    <t>IMO000000309761</t>
  </si>
  <si>
    <t>Balauseri</t>
  </si>
  <si>
    <t xml:space="preserve">Solutie provizorie </t>
  </si>
  <si>
    <t>Fibra rupta  de utilaj agricol</t>
  </si>
  <si>
    <t>S-a tras din rezerva si s-a refacut o jonctiune.</t>
  </si>
  <si>
    <t>CL0373FAN1ODB11111</t>
  </si>
  <si>
    <t>FITT00000139121</t>
  </si>
  <si>
    <t>Fibra avariata la coordonatele 47.073753° 24.435110° agatata de un utilaj la 100m de ODB11111.</t>
  </si>
  <si>
    <t xml:space="preserve">S-au instalat 2 OSC-uri si 50m fo12. Clientii sunt UP si semnalul in parametrii. </t>
  </si>
  <si>
    <t>IMO000000309878</t>
  </si>
  <si>
    <t>Marius Tene + Cinca Marius</t>
  </si>
  <si>
    <t>S-a indentificat incidental la coordonatele 44,371365 23,684192 langa langa J1_EVR687952. Se sapa la stabilizarea drumului, iar constructorul a rupt cablul fo.</t>
  </si>
  <si>
    <t>Costructor</t>
  </si>
  <si>
    <t>S-au instalat 2 OSC-uri si 270m cablu fo24. Traseul este cu caracter provizoriu pana ce echipa termina lucrarile si ulterior putem sa facem si noi relocarea si eliminarea OSC-urilor de interventii.</t>
  </si>
  <si>
    <t>CL0781FAN1ODB28</t>
  </si>
  <si>
    <t>FITT00000139136</t>
  </si>
  <si>
    <t>Comun cu FITT00000139167</t>
  </si>
  <si>
    <t>CL0569FAN1ODB417</t>
  </si>
  <si>
    <t>FITT00000139144</t>
  </si>
  <si>
    <t>Huedin</t>
  </si>
  <si>
    <t>Cablu fo24 rupt la coordonatele 46.850744, 23.021017 agatat probabil de un agabaritic.</t>
  </si>
  <si>
    <t>S-au instalat 2 OSC-uri si 50m cablu fo24. Clientii sunt UP si semnalul in parametrii.</t>
  </si>
  <si>
    <t>46.850744, 23.021017</t>
  </si>
  <si>
    <t>DP18OSC18SPL1</t>
  </si>
  <si>
    <t>FITT00000139157</t>
  </si>
  <si>
    <t>Incident indentificat la cota 45.773648 21.292097</t>
  </si>
  <si>
    <t>Cablul FO12 era instalat pe un gard care a fost dezafectat odata cu constructia halelor din vecinatate.  Este dezinstalat cablul fo12 pe o portiune de ~400m, necesar proiect de relocare cablu fo.</t>
  </si>
  <si>
    <t>45.773648 21.292097</t>
  </si>
  <si>
    <t>CR0257FAN2ODB806</t>
  </si>
  <si>
    <t>FITT00000139132</t>
  </si>
  <si>
    <t>Retea nefinalizata. Fibra si spliter neinstalate in ODB. S-a verificat si semnalul pe fibra alocata si nu este. Necesar finalizare retea de constructor.</t>
  </si>
  <si>
    <t>CL0781FAN1ODB31</t>
  </si>
  <si>
    <t>FITT00000139167</t>
  </si>
  <si>
    <t>Solutie provizorie - se va reloca de constructor</t>
  </si>
  <si>
    <t>Fibra afectata in cadrul lucrarilor la calea ferata. I</t>
  </si>
  <si>
    <t xml:space="preserve"> Instalat 1 TB provizoriu, exista proiect de relocare a constructorului. Valori -22/-3 la ODB si valori ok pe tot portul.</t>
  </si>
  <si>
    <t>BR0556FAN1ODB304</t>
  </si>
  <si>
    <t>FITT00000139169</t>
  </si>
  <si>
    <t>Aita Mare</t>
  </si>
  <si>
    <t>Attila Kolcze + Mircea Banciu</t>
  </si>
  <si>
    <t>ODB304 fara semnal. Cablu fo6 rupt la cota 45.97663 25.61608.</t>
  </si>
  <si>
    <t>S-a instalat 100m cablu fo6 si un OSC. Clientul s-a ridicat si semnalul este in parametrii.</t>
  </si>
  <si>
    <t>45.97663 25.61608.</t>
  </si>
  <si>
    <t>TI0129-TI0134</t>
  </si>
  <si>
    <t>IMO000000309943</t>
  </si>
  <si>
    <t>In site TI0134 pe un fir se primea semnal, iar pe altul se putea masura distanta de 13,64km distanta TI0129-TI0134 (12,29+1,36=13,65km).</t>
  </si>
  <si>
    <t>Fir rupt in J_Spital. Resudat fir</t>
  </si>
  <si>
    <t>CL0223-CL52633</t>
  </si>
  <si>
    <t>IMO000000309945</t>
  </si>
  <si>
    <t>S-a masurat din Shelter B1_ODF_01 P24 si incidental este la 203m de Shelter B1 spre CL0223. Coordonate incident 47,059564  21,939795, tot traseul din canalizatia Rds compromis si trebuie relocate.</t>
  </si>
  <si>
    <t>Primaria</t>
  </si>
  <si>
    <t>Am facut un swap si s-a rerurat circuitul. S-a facut swap de pe firul 24 pe 5 intre B1 si CL0223</t>
  </si>
  <si>
    <t>47,059564  21,939795</t>
  </si>
  <si>
    <t>BR0375 - Medias BR0782</t>
  </si>
  <si>
    <t>IMO000000309944</t>
  </si>
  <si>
    <t>S-a indentificat incidentul la cota 45.820581 24.187775</t>
  </si>
  <si>
    <t>Deviat traseu 140m + 2 osc</t>
  </si>
  <si>
    <t>TI0781 &lt;&gt; TI0932</t>
  </si>
  <si>
    <t>IMO000000309986</t>
  </si>
  <si>
    <t>Caransebes</t>
  </si>
  <si>
    <t>Cablu fo afectat de rozatoare in ODF5 site TI0932</t>
  </si>
  <si>
    <t>S-a resudat firul in ODF.</t>
  </si>
  <si>
    <t>OLT1-CL0217 / Slot : 3 / PON3/4</t>
  </si>
  <si>
    <t>FITT00000139201</t>
  </si>
  <si>
    <t>Port cazut in OLT1-CL0217/Slot3/port4. Cablu Oro fo48 rupt in cimitir de autor necunoscut, la coordonatele 47.236749°  22.193531°. A fost afectat si cablul de Oroc tot aici.</t>
  </si>
  <si>
    <t>S-au instalat 2 OSC-uri si 100m cablu fo48. Clientii sunt UP si semnalul in parametrii.</t>
  </si>
  <si>
    <t>WDM CL0602 - CL0127</t>
  </si>
  <si>
    <t>IMO000000310030</t>
  </si>
  <si>
    <t>S-a identificat incidentul la cota 47,23935 22,11012, cablu fo24 ros de stalp. La 11.2 km de site CL0127 Haucesti.</t>
  </si>
  <si>
    <t>S-au instalat 2 osc-uri si 100m cablu fo24.</t>
  </si>
  <si>
    <t>47,23935 22,11012</t>
  </si>
  <si>
    <t>CR2950FAN3ODB336</t>
  </si>
  <si>
    <t>FITT00000139228</t>
  </si>
  <si>
    <t>Fir rupt in ODB. Resudat fir, valori ok la odb</t>
  </si>
  <si>
    <t>IMO000000310077</t>
  </si>
  <si>
    <t>Sebasstian</t>
  </si>
  <si>
    <t>fibra rupta de agabaritic</t>
  </si>
  <si>
    <t>instalat 250m fo96 si 2 osc</t>
  </si>
  <si>
    <t>BR0005FAN1ODB147</t>
  </si>
  <si>
    <t>FITT00000139198</t>
  </si>
  <si>
    <t>necesar proiect build</t>
  </si>
  <si>
    <t>returnat, fara solutie, bloc anvelopat</t>
  </si>
  <si>
    <t>LOSS OF SIGNAL NEC BR0238 &lt;&gt; BR0987</t>
  </si>
  <si>
    <t>IMO000000310122</t>
  </si>
  <si>
    <t>Loss of signal WDM CR0006 - CR0034 // CR0034-BE0410 + SDH + NEC CR0292-BE0410 // CR0448-CR0169</t>
  </si>
  <si>
    <t>IMO000000310152</t>
  </si>
  <si>
    <t>fibra agatata de utilaj agricol</t>
  </si>
  <si>
    <t>instalat 450m fo si 2 osc</t>
  </si>
  <si>
    <t>CL0522FAN1ODB4705</t>
  </si>
  <si>
    <t>FITT00000139253</t>
  </si>
  <si>
    <t>Instalat 80m fo12, o joncțiune nouă și sudat în DP</t>
  </si>
  <si>
    <t>LOSS OF SIGNAL WDM CR0187-Butoiesti ( CR0004 ) //Craiova (CR0448)-Butoiesti ( CR0004 ) // Balvanesti ( CR0783 ) - Butoiesti ( CR0004 )+SDH</t>
  </si>
  <si>
    <t>IMO000000310141</t>
  </si>
  <si>
    <t>Cablu agatat in urma sapaturi drum</t>
  </si>
  <si>
    <t>600m fo, 2 os</t>
  </si>
  <si>
    <t>Loss of signal WDM Deva_1(TI0195) - TI0481</t>
  </si>
  <si>
    <t>IMO000000310184</t>
  </si>
  <si>
    <t>Barsau</t>
  </si>
  <si>
    <t>solutie provizorie -necesar camereta</t>
  </si>
  <si>
    <t>CL0047FAN1ODB2405</t>
  </si>
  <si>
    <t>FITT00000139290</t>
  </si>
  <si>
    <t xml:space="preserve">Mutat pe SPL CORECT IN DP </t>
  </si>
  <si>
    <t>LOSS OF SIGNAL Caransebes ( TI0781 ) - Resita ( TI0417 ) , Resita ( TI0417 ) - TI0022</t>
  </si>
  <si>
    <t>IMO000000310202</t>
  </si>
  <si>
    <t>Resita</t>
  </si>
  <si>
    <t>circuite ridicate, probabil remediat pe RDS, ei au rupt fibra</t>
  </si>
  <si>
    <t>RDS</t>
  </si>
  <si>
    <t>refacut suduri + 1 camereta</t>
  </si>
  <si>
    <t>Loss of signal WDM CL0470 - CL0395</t>
  </si>
  <si>
    <t>IMO000000310212</t>
  </si>
  <si>
    <t>Barai</t>
  </si>
  <si>
    <t>CR0034FAN2ODB3004</t>
  </si>
  <si>
    <t>FITT00000139322</t>
  </si>
  <si>
    <t xml:space="preserve">Fir atenuat in sudura la ODB. </t>
  </si>
  <si>
    <t>Resudat fir, -23/-5 la ODB.</t>
  </si>
  <si>
    <t>CL0047FAN3ODC1119</t>
  </si>
  <si>
    <t>FITT00000139261</t>
  </si>
  <si>
    <t>Dezmir</t>
  </si>
  <si>
    <t xml:space="preserve">Clientul picat era in TB4. S-a identificat firul rupt (se banuieste preluat pentru suplimentare) in ODC1119. </t>
  </si>
  <si>
    <t>S-a identificat out liber pe spl2 din ODC1119 si sudat. Client up, valori ok.</t>
  </si>
  <si>
    <t>Media Failure CL0223 &lt;-&gt; RER VEST SA</t>
  </si>
  <si>
    <t>IMO000000310342</t>
  </si>
  <si>
    <t>pigtail defect in shelter B3</t>
  </si>
  <si>
    <t>sudat pigtail</t>
  </si>
  <si>
    <t xml:space="preserve"> JOSENI (BR0902) - BR0168</t>
  </si>
  <si>
    <t>IMO000000310416</t>
  </si>
  <si>
    <t>BR0242-BR0848 // BR0242-BR0162 // BR0242-BR0635 // BR0848 – BR0482</t>
  </si>
  <si>
    <t>IMO000000310448</t>
  </si>
  <si>
    <t>Sancraiu de Mures</t>
  </si>
  <si>
    <t>Instalat 310 FO48 + 2 OSC noi</t>
  </si>
  <si>
    <t>Lipsa acces in curtea Romgaz</t>
  </si>
  <si>
    <t>Loss of signal WDM WDM TI1273 – TI0055</t>
  </si>
  <si>
    <t>IMO000000310451</t>
  </si>
  <si>
    <t>Cablu FO36 agatat de agabaritic</t>
  </si>
  <si>
    <t>Instalat 150-200 FO + 2 OSC noi</t>
  </si>
  <si>
    <t>Possible FO CUT NEC local in Miercurea Ciuc between BR0402 - BR0233 / BR0402 - BR0234</t>
  </si>
  <si>
    <t>IMO000000310480</t>
  </si>
  <si>
    <t>Mircurea Ciuc</t>
  </si>
  <si>
    <t>COM</t>
  </si>
  <si>
    <t>OLT1-TI0301 / Slot : 1 / PON1/3</t>
  </si>
  <si>
    <t xml:space="preserve">FITT00000139461 </t>
  </si>
  <si>
    <t>Zadareni</t>
  </si>
  <si>
    <t>ODB tăiat de pe fațada bloc,refăcut ODB,necesar relocare cablu clienti</t>
  </si>
  <si>
    <t>Loss of signal WDM + SDH ;  POIENI (CL0781) - ORADEA (CL0229)</t>
  </si>
  <si>
    <t>IMO000000310494</t>
  </si>
  <si>
    <t>Solutie provizorie- atenuare suplimentara pe CL0448-CL0105</t>
  </si>
  <si>
    <t>FO agatata de excavator la lucrarile CFR</t>
  </si>
  <si>
    <t>CFR</t>
  </si>
  <si>
    <t>Eliberat rezerva si montat OSC nou in camereta existenta de la AP</t>
  </si>
  <si>
    <t>BE0110FAN2ODB83</t>
  </si>
  <si>
    <t xml:space="preserve">FITT00000139479 </t>
  </si>
  <si>
    <t>Sudura defecta in ODB. Refacut sudura</t>
  </si>
  <si>
    <t>IMO000000310552</t>
  </si>
  <si>
    <t>Fo smuls din OSC. Refacut OSC</t>
  </si>
  <si>
    <t>TI0217FAN1ODB1323</t>
  </si>
  <si>
    <t xml:space="preserve">FITT00000139387 </t>
  </si>
  <si>
    <t>Anina</t>
  </si>
  <si>
    <t>Fibra inversata .</t>
  </si>
  <si>
    <t>S-a identificat la SPL1 si s-a sudat conform cu NICM.</t>
  </si>
  <si>
    <t>OLT1-BE0110 / Slot : 3  PON3/12, PON3/13</t>
  </si>
  <si>
    <t xml:space="preserve">FITT00000139508 </t>
  </si>
  <si>
    <t>Goerge Zamfir</t>
  </si>
  <si>
    <t>Fibra smulsa din OSC12. Refacut OSC 12</t>
  </si>
  <si>
    <t>Fibra smulsa din OSC 12. Refacut OSC12</t>
  </si>
  <si>
    <t>OLT1-TI0338 / Slot : 1 / PON1/12</t>
  </si>
  <si>
    <t xml:space="preserve">FITT00000139512 </t>
  </si>
  <si>
    <t>Remetea Mare</t>
  </si>
  <si>
    <t>Instalat FO + 2 OSC noi</t>
  </si>
  <si>
    <t>OLT1-TI0338 / Slot : 1 / PON1/11</t>
  </si>
  <si>
    <t xml:space="preserve">FITT00000139514 </t>
  </si>
  <si>
    <t xml:space="preserve">Comun cu FITT00000139512 </t>
  </si>
  <si>
    <t xml:space="preserve">TI0337FAN1ODB2350 </t>
  </si>
  <si>
    <t>FITT00000139536</t>
  </si>
  <si>
    <t>FIbra atenuata .</t>
  </si>
  <si>
    <t>S-a refucut sudura la iesierea din SPL1.semnal in parametrii.</t>
  </si>
  <si>
    <t>TI0337FAN1ODB2302</t>
  </si>
  <si>
    <t>FITT00000139538</t>
  </si>
  <si>
    <t>Comun cu FITT00000139536</t>
  </si>
  <si>
    <t>Fir rupt in ODB .</t>
  </si>
  <si>
    <t xml:space="preserve"> S-a identificat si s-a resudat fibta afectatata.Semnal in parametrii.</t>
  </si>
  <si>
    <t>TI0217FAN1ODB1315</t>
  </si>
  <si>
    <t>FITT00000139554</t>
  </si>
  <si>
    <t>Inversare porturi</t>
  </si>
  <si>
    <t xml:space="preserve">Constructor retea </t>
  </si>
  <si>
    <t>S-a identificat si s-a resudat conform cu NICM.</t>
  </si>
  <si>
    <t>OLT1-BR0471 / Slot : 1 / PON1/11</t>
  </si>
  <si>
    <t>FITT00000139571</t>
  </si>
  <si>
    <t xml:space="preserve">Panet </t>
  </si>
  <si>
    <t>solutie provizorie- necesar stalpi</t>
  </si>
  <si>
    <t xml:space="preserve">Fibra rupta . </t>
  </si>
  <si>
    <t xml:space="preserve">Agabaritic </t>
  </si>
  <si>
    <t>. S-a tras din rezerva si s-a executat o jonctiune.Port up.</t>
  </si>
  <si>
    <t xml:space="preserve"> WDM TI0339 - TI0201 ; TI0032_LUGOJ - DEVA_1 ( TI0195 ) ; DEVA_1 - LUGOJ_1 ; TI0008 - DEVA_1 + RM LUGOJ - SIMERIA </t>
  </si>
  <si>
    <t>IMO000000310711</t>
  </si>
  <si>
    <t xml:space="preserve">Ilia </t>
  </si>
  <si>
    <t>solutie provizie - necesar camereta</t>
  </si>
  <si>
    <t>Alin Ardean/ Pandariu Stefan</t>
  </si>
  <si>
    <t>Cablu afecat in sapatura de firma de gaz</t>
  </si>
  <si>
    <t xml:space="preserve">companie Gaz </t>
  </si>
  <si>
    <t>S-a eliberat rezerva si instalat o jonctiune</t>
  </si>
  <si>
    <t>WDM CL0534 - CL30615 ; CL0030 - CL0107 + NEC CL0030 -CL0107</t>
  </si>
  <si>
    <t>IMO000000310749</t>
  </si>
  <si>
    <t xml:space="preserve">Satu Mare </t>
  </si>
  <si>
    <t>Fibra rupta in sapatura de firma ce instaleaza conducte canalizare</t>
  </si>
  <si>
    <t xml:space="preserve">Companie Canalizare </t>
  </si>
  <si>
    <t>S-a instalat cablu 12FO si doua jonctiuni si 2 camerete</t>
  </si>
  <si>
    <t xml:space="preserve">TI0782 - TI0650 </t>
  </si>
  <si>
    <t>IMO000000310745</t>
  </si>
  <si>
    <t>Arad</t>
  </si>
  <si>
    <t>Fibra rupta in OSC intremediar</t>
  </si>
  <si>
    <t>WDM CL0009 - CL0366</t>
  </si>
  <si>
    <t>IMO000000310771</t>
  </si>
  <si>
    <t xml:space="preserve">Petresti de jos </t>
  </si>
  <si>
    <t>Zsolt/Parmit</t>
  </si>
  <si>
    <t xml:space="preserve"> Incident finalizat pe cablu OROC</t>
  </si>
  <si>
    <t>WDM Timisoara TI0201-TI0339</t>
  </si>
  <si>
    <t>IMO000000310862</t>
  </si>
  <si>
    <t>OLT1-TI0511 / Slot : 3 PON3/6, PON3/7, PON3/8, PON3/9, PON3/10, PON3/11, PON3/12</t>
  </si>
  <si>
    <t xml:space="preserve">FITT00000139682 </t>
  </si>
  <si>
    <t xml:space="preserve">Vladimirescu </t>
  </si>
  <si>
    <t>CR2950FAN3ODB137</t>
  </si>
  <si>
    <t>FITT00000139666</t>
  </si>
  <si>
    <t>Sudura neconforma pe iesire SPL in DP</t>
  </si>
  <si>
    <t>Loss of signal WDM BR0632 - BR0211</t>
  </si>
  <si>
    <t>IMO000000310889</t>
  </si>
  <si>
    <t>Cablu smuls din osc ex de utilaj agricol</t>
  </si>
  <si>
    <t>OLT1-BR0568 / Slot : 1 / PON1/16</t>
  </si>
  <si>
    <t>FITT00000139798</t>
  </si>
  <si>
    <t>Corund</t>
  </si>
  <si>
    <t>OLT1-CL0047 / Slot : 4 / PON4/10</t>
  </si>
  <si>
    <t>FITT00000139829</t>
  </si>
  <si>
    <t>Soarece in ODB</t>
  </si>
  <si>
    <t>OLT1-CL0047 / Slot : 4 PON4/12, PON4/13</t>
  </si>
  <si>
    <t>FITT00000139895</t>
  </si>
  <si>
    <t>comun cu FITT00000139829</t>
  </si>
  <si>
    <t>Loss of signal WDM Medias BR0782 - Sighisoara BR0158 + SDH</t>
  </si>
  <si>
    <t>IMO000000311073</t>
  </si>
  <si>
    <t>Medias</t>
  </si>
  <si>
    <t>Solutie provizorie - necesar stalp + atenuare</t>
  </si>
  <si>
    <t>Stalp rupt - fo rupt</t>
  </si>
  <si>
    <t>tras rez + 1 osc - necesar stalp</t>
  </si>
  <si>
    <t>OLT1-CL0047 / Slot : 7</t>
  </si>
  <si>
    <t>FITT00000139918</t>
  </si>
  <si>
    <t>CL0047FAN1ODB2109</t>
  </si>
  <si>
    <t>FITT00000139914</t>
  </si>
  <si>
    <t>Inlocuit ODB, -23/-5 in ODB.</t>
  </si>
  <si>
    <t>TI2996FAN2ODB2238</t>
  </si>
  <si>
    <t>FITT00000139917</t>
  </si>
  <si>
    <t>Jebel</t>
  </si>
  <si>
    <t xml:space="preserve">FIbra rupta de agabaritic. </t>
  </si>
  <si>
    <t>Eliberat rezerve si instalat 1 osc. Valori ok la ODB, client up.</t>
  </si>
  <si>
    <t>OLT1-CR0783 / Slot : 1
PON1/7, PON1/8</t>
  </si>
  <si>
    <t>FITT00000139970</t>
  </si>
  <si>
    <t>Cablu afectat in sapatura( in NICM apare in aerian)</t>
  </si>
  <si>
    <t>Firma instalare conducta gaz</t>
  </si>
  <si>
    <t>S-a eliberat rezerva si instalat o jonctiune + inlocuit SFP IN SITE PT PORT 1/8</t>
  </si>
  <si>
    <t>CR2950FAN2ODB233</t>
  </si>
  <si>
    <t>FITT00000139984</t>
  </si>
  <si>
    <t>Resudat fibra. Valori ok, clientul nu s-a ridicat fiind cu alarma de power.</t>
  </si>
  <si>
    <t>OLT1-CL0567 / Slot : 3 / PON3/2</t>
  </si>
  <si>
    <t>FITT00000139982</t>
  </si>
  <si>
    <t xml:space="preserve">FIbra rupta la bloc, plecarea din ODB11723 spre ODB11724. </t>
  </si>
  <si>
    <t>Pentru remediere s-a adus rezerva si s-a resudat in ODB11723. Port up.</t>
  </si>
  <si>
    <t>FITT00000140011</t>
  </si>
  <si>
    <t>Solutie provizorie - necesar stalp</t>
  </si>
  <si>
    <t>fibra rupta, stalp oroc rupt.</t>
  </si>
  <si>
    <t>Eliberat rezerve si resudat 1 osc. porturile 1/11 si 1/12 sunt up de la 23:07</t>
  </si>
  <si>
    <t>Necesar stalpi si inlocuit cablu 24FO</t>
  </si>
  <si>
    <t>CR1045 &lt;&gt; CR0710 , CR0448 &lt;&gt; CR0710</t>
  </si>
  <si>
    <t>IMO000000311272</t>
  </si>
  <si>
    <t>nu s-a dispecerizat, lipsa EE</t>
  </si>
  <si>
    <t>IMO000000311465</t>
  </si>
  <si>
    <t>solutie provizorie - cablu FO pe jos</t>
  </si>
  <si>
    <t>FO agatat de agabritic</t>
  </si>
  <si>
    <t>IMO000000311343</t>
  </si>
  <si>
    <t>TI0400FAN1ODB305</t>
  </si>
  <si>
    <t>FITT00000140039</t>
  </si>
  <si>
    <t>DEF ECHIP</t>
  </si>
  <si>
    <t>INLOCUIT SPL</t>
  </si>
  <si>
    <t>Loss of signal WDM DEVA_1 (TI0195) - LUGOJ_1(TI0543) / TI0008 - DEVA_1 (TI0195) / TI0032_LUGOJ_1 - Deva_1 (TI0195) + SDH</t>
  </si>
  <si>
    <t>IMO000000311369</t>
  </si>
  <si>
    <t>Mocanu</t>
  </si>
  <si>
    <t>Cablu rupt in sapatura de lucrari gaz</t>
  </si>
  <si>
    <t>50 m +2 osc</t>
  </si>
  <si>
    <t>BR2700FAN1ODB0707</t>
  </si>
  <si>
    <t>FITT00000140077</t>
  </si>
  <si>
    <t>Reclamatie \ Possible FO CUT NEC CL0265 – CL0461</t>
  </si>
  <si>
    <t>IMO000000311468</t>
  </si>
  <si>
    <t>patch defect in shelter B3</t>
  </si>
  <si>
    <t>CR0782 - CR0135</t>
  </si>
  <si>
    <t>IMO000000311510</t>
  </si>
  <si>
    <t>Draganesti-Olt</t>
  </si>
  <si>
    <t>Cabluri 48FO si 96FO rupte in urma unui accident auto</t>
  </si>
  <si>
    <t>200m FO96  + 200m F48 + 2 OSC</t>
  </si>
  <si>
    <t>OLT1-CR0135 / Slot : 7 / PON7/16</t>
  </si>
  <si>
    <t>FITT00000140109</t>
  </si>
  <si>
    <t>returnat - remediat la IMO000000311510</t>
  </si>
  <si>
    <t>OLT1-CL0704 / Slot : 4 / PON4/3</t>
  </si>
  <si>
    <t>FITT00000140114</t>
  </si>
  <si>
    <t>S-a instalat bucta de cablu si 2 jonctiuni.Port up</t>
  </si>
  <si>
    <t>OLT1-CL0047 / Slot : 4 / PON4/13/CL0047ODF1FAN1FO34-DP20OSC20SPL2/OUT-1/CL0047ODF1FAN1FO34DP20SPL2P1-SPL1/CL0047FAN1ODB2007</t>
  </si>
  <si>
    <t>FITT00000140092</t>
  </si>
  <si>
    <t>Sannicoara (LOC)</t>
  </si>
  <si>
    <t>sudura defecta pe intrarea in SPL lvl1</t>
  </si>
  <si>
    <t>OLT1-CR0344 / Slot : 1 / PON1/13</t>
  </si>
  <si>
    <t>FITT00000140121</t>
  </si>
  <si>
    <t>s-a inlocuit patch</t>
  </si>
  <si>
    <t>OLT1-CL0925 / Slot : 5 / PON5/10/CL0925ODF4FAN2FO17-DP44OSC44SPL2/OUT-3/CL0925ODF4FAN2FO17DP44SPL2P3-SPL1/CL0925FAN2ODB4410</t>
  </si>
  <si>
    <t>FITT00000140144</t>
  </si>
  <si>
    <t>s-a refacut ODb-ul</t>
  </si>
  <si>
    <t>OLT1-CR2993 / Slot : 3 / PON3/6</t>
  </si>
  <si>
    <t>FITT00000140155</t>
  </si>
  <si>
    <t>Calarasi (LOC)</t>
  </si>
  <si>
    <t>patch ros de soareci in site CR2993</t>
  </si>
  <si>
    <t>OLT1-CL0548 / Slot : 3 / PON3/7/CL0548ODF2FAN1FO56-DP109OSC109SPL1/OUT-3/CL0548ODF2FAN1FO56DP109SPL1P3-SPL1/CL0548FAN1ODB10904</t>
  </si>
  <si>
    <t>FITT00000140162</t>
  </si>
  <si>
    <t>Turda (LOC)</t>
  </si>
  <si>
    <t>returnat - comun cu FITT00000140170</t>
  </si>
  <si>
    <t>OLT1-CL0548 / Slot : 3 / PON3/7 / CL0548ODF2FAN1FO56-DP109OSC109SPL1 / OUT-4 / CL0548ODF2FAN1FO56DP109SPL1P4-SPL1 (CL0548FAN1ODB10908)</t>
  </si>
  <si>
    <t>FITT00000140170</t>
  </si>
  <si>
    <t>TURDA (LOC)</t>
  </si>
  <si>
    <t>buffer ros de rozatoare</t>
  </si>
  <si>
    <t>OLT1-CL0567 / Slot : 3 / PON3/7 / CL0567ODF2FAN1FO77-DP20OSC20SPL1 / OUT-6 / CL0567ODF2FAN1FO77DP20SPL1P6-SPL1 (CL0567FAN1ODB12016)</t>
  </si>
  <si>
    <t>FITT00000140185</t>
  </si>
  <si>
    <t>Sergiu</t>
  </si>
  <si>
    <t>ODB12016 fara semnal, incident la 171m unde cablul este taiat la trecerea intre blocuri, primul bloc (de la DP20) la blocul 2 (str. Lalelelor bl.2) care a fost anvelopat termic. Mai multe ODB-uri sunt fara semnal ODB12016, ODB12013, ODB12012, ODB12011. Doar primul ODB de langa DP20 are semnal.</t>
  </si>
  <si>
    <t xml:space="preserve">Necesita relocare traseu fo, prin instalare stalpi sau prin sapatura. Nu am gasit intelegere pentru remediere traseu fo. </t>
  </si>
  <si>
    <t>OLT1-TI0339 / Slot : 2 / PON2/14 / TI0339ODF2FAN1FO75-DP14OSC14SPL1 / OUT-6 / TI0339ODF2FAN1FO75DP14SPL1P6-SPL1 (TI0339FAN1ODB1402)</t>
  </si>
  <si>
    <t>FITT00000140186</t>
  </si>
  <si>
    <t>pigtail sunt  mancate de viespi, porturile 3,4,5,fara semnal</t>
  </si>
  <si>
    <t>s-a inlocuit SPL1</t>
  </si>
  <si>
    <t>OLT1-BE0068 / Slot : 9 / PON9/6/BE0068ODF5FAN2FO108-DP50OSC86SPL2/OUT-4/BE0068ODF5FAN2FO108DP50SPL2P4-SPL1/BE0068FAN2ODB337</t>
  </si>
  <si>
    <t>FITT00000140187</t>
  </si>
  <si>
    <t>Curtea de Arges (UAT)</t>
  </si>
  <si>
    <t>Fibra rupta in canalizatie la SPL1 .</t>
  </si>
  <si>
    <t xml:space="preserve"> S-a identificat si s-a resudat fibra rupta la SPL1 si in ODB intermediar.ODB in parametrii</t>
  </si>
  <si>
    <t>WDM Deva ( TI0195 ) - TI0481</t>
  </si>
  <si>
    <t>IMO000000311522</t>
  </si>
  <si>
    <t>Solutie provizorie -necesar camerete</t>
  </si>
  <si>
    <t>Se instaleaza 100m FO12 si doua OSC-uri.</t>
  </si>
  <si>
    <t>WDM Baia_Mare ( CL0051 ) - CL2113 +  NEC CL0051 &lt;&gt; CL2209 , CL0051 – CL0122 , CL0510 – CL0287 , CL0051 – CL1865</t>
  </si>
  <si>
    <t>IMO000000311550</t>
  </si>
  <si>
    <t>Cablu afectat in urma ruperii unui copac. Cablul a fost smuls de pe fatada blocului</t>
  </si>
  <si>
    <t>Lipsa acces la fatada blocului. Nu s-a permis de catre locatari . S-a permis accesul dupa discutia cu administratorul</t>
  </si>
  <si>
    <t>Alba ( CL0013 ) - Teius ( CL0349 )</t>
  </si>
  <si>
    <t>IMO000000311512</t>
  </si>
  <si>
    <t>Teius</t>
  </si>
  <si>
    <t>Incident in retea OROC</t>
  </si>
  <si>
    <t>Giurgiuman doar masuratori</t>
  </si>
  <si>
    <t>BR0657 - BR0787</t>
  </si>
  <si>
    <t>IMO000000311631</t>
  </si>
  <si>
    <t>Rodbav</t>
  </si>
  <si>
    <t>patch defect in site BR657</t>
  </si>
  <si>
    <t>CR0132FAN1ODB0607</t>
  </si>
  <si>
    <t>FITT00000140246</t>
  </si>
  <si>
    <t xml:space="preserve">Fir rupt in ODB . </t>
  </si>
  <si>
    <t>S-a identificat si s-a resudat fibra afectatata,ODB in parametrii.</t>
  </si>
  <si>
    <t>CR2950FAN3ODB88</t>
  </si>
  <si>
    <t>FITT00000140249</t>
  </si>
  <si>
    <t>Fibra rupta in canalizatie .</t>
  </si>
  <si>
    <t>NEC local in Sibiu between BR0787 &lt;&gt; BR0657</t>
  </si>
  <si>
    <t>IMO000000311761</t>
  </si>
  <si>
    <t>In urma masuratorilor s-a constata cablu indoit in armorod</t>
  </si>
  <si>
    <t>S-a indreptat cablul la cald si inlocuit armorod</t>
  </si>
  <si>
    <t xml:space="preserve"> WDM BR0720 - BR0931</t>
  </si>
  <si>
    <t>IMO000000311749</t>
  </si>
  <si>
    <t>Cablu rupt in urma unor lucrari la stalpi EE.</t>
  </si>
  <si>
    <t xml:space="preserve"> S-a instalat bucata de cablu  FO24 si 2 jonctiuni.</t>
  </si>
  <si>
    <t xml:space="preserve"> BR0158 - BR0021</t>
  </si>
  <si>
    <t>IMO000000311883</t>
  </si>
  <si>
    <t xml:space="preserve">Sighisoara </t>
  </si>
  <si>
    <t>in lucru</t>
  </si>
  <si>
    <t>Atenuare pe cablu la 1300m de BR0158</t>
  </si>
  <si>
    <t>Pentru a ridica circuitul s-a realizat swap de pe portul 2 pe portul 9 pana in J1EVR527279 si mai mult s-a revatu suduri pe traseu pentru a mai reduce atenuari existente.</t>
  </si>
  <si>
    <t>WDM Rucar_1(BE0782) - BR0015;Rucar_1(BE0782) - BE0842</t>
  </si>
  <si>
    <t>IMO000000311829</t>
  </si>
  <si>
    <t xml:space="preserve">Rucar </t>
  </si>
  <si>
    <t>S-a instalat bucata de cablu FO24 si 2 jonctiuni</t>
  </si>
  <si>
    <t>WDM CR0048 - CR2996;CR0048 - CR0214;CR0411 - CR0048</t>
  </si>
  <si>
    <t>IMO000000311844</t>
  </si>
  <si>
    <t xml:space="preserve">Urda de sus </t>
  </si>
  <si>
    <t xml:space="preserve">Cutui+ Echipa Mota </t>
  </si>
  <si>
    <t>Cablu 144FO agatat in padure</t>
  </si>
  <si>
    <t>TI0055  - TI21731</t>
  </si>
  <si>
    <t xml:space="preserve"> IMO000000311892</t>
  </si>
  <si>
    <t>Fir rupt in osc intermediar</t>
  </si>
  <si>
    <t>FITT00000140331</t>
  </si>
  <si>
    <t>ODB ATENUAT - FIR ATENUAR</t>
  </si>
  <si>
    <t>OLT1-CL0240 / Slot : 2 PON2/2, PON2/4</t>
  </si>
  <si>
    <t>FITT00000140332</t>
  </si>
  <si>
    <t>Cablu fo48 rupt de un utilaj agabaritic intre osc59 și odb2215  47.869152°  23.443431°.</t>
  </si>
  <si>
    <t>S-a inlocuit 150m fo48 intre osc59 și odb2215 si s-au refacut sudurile.	 S-au ridicat clientii de pe toate cele 3 porturi semnalate OLT1-CL0240 / Slot : 2 PON2/2, PON2/4, PON2/7.</t>
  </si>
  <si>
    <t>47.869152°  23.443431°</t>
  </si>
  <si>
    <t>CL2990FAN1ODB0113</t>
  </si>
  <si>
    <t>FITT00000140321</t>
  </si>
  <si>
    <t xml:space="preserve">Cablu care traversa strada intre DP01 si ODB0113 rupt de transport rutier agabaritic. </t>
  </si>
  <si>
    <t>S-a eliberat rezerva fo si s-a instalat un OSC. Acum clientii din ODB0113 Si ODB0111 sunt UP si semnalul in parametrii.</t>
  </si>
  <si>
    <t>CL2990FAN2ODB0713</t>
  </si>
  <si>
    <t>FITT00000140322</t>
  </si>
  <si>
    <t>Cablu care traversa strada intre ODB0713 si ODB0714 rupt de transport rutier agabaritic.</t>
  </si>
  <si>
    <t>S-a instalat 70m fo12 si 2 enclosure noi. Acum clientii din ODB713 sunt UP si semnalul in parametrii.</t>
  </si>
  <si>
    <t>47.698835°  23.300387°</t>
  </si>
  <si>
    <t>OLT1-CR0048 / Slot : 1 PON1/1, PON1/2, PON1/3, PON1/4, PON1/6, PON1/7, PON1/8, PON1/9, PON1/10, PON1/11, PON1/12, PON1/13, PON1/14, PON1/15, PON1/16</t>
  </si>
  <si>
    <t>FITT00000140303</t>
  </si>
  <si>
    <t>Comun cu IMO000000311844</t>
  </si>
  <si>
    <t xml:space="preserve">CL0146 - BA0213 ( Vatra Dornei ) </t>
  </si>
  <si>
    <t>IMO000000311934</t>
  </si>
  <si>
    <t>Colibita</t>
  </si>
  <si>
    <t>Solutie provizorie -atenuare circuit RDS+OTDR remote</t>
  </si>
  <si>
    <t>Sergiu NetConstruct</t>
  </si>
  <si>
    <t>Cablu afectat in urma lucrari apa -canal</t>
  </si>
  <si>
    <t>CL0131 - CL0179, MEDIAS_1 (BR0782) - CL0179, WLA_SAROS_1 (BR0426) - CL0548</t>
  </si>
  <si>
    <t>IMO000000311949</t>
  </si>
  <si>
    <t>Solutie provizorie - atenuare suplimentara Saros-Turda</t>
  </si>
  <si>
    <t>Inonu Adler</t>
  </si>
  <si>
    <t>Ionut Adler + Florin Oltean + Zsolt</t>
  </si>
  <si>
    <t>50 m + 2 osc</t>
  </si>
  <si>
    <t>BR0720 - BR0931</t>
  </si>
  <si>
    <t>IMO000000311960</t>
  </si>
  <si>
    <t>Cablu agatat in aerian</t>
  </si>
  <si>
    <t>tras rez + 1 osc</t>
  </si>
  <si>
    <t>TI2998FAN1ODB1516</t>
  </si>
  <si>
    <t>FITT00000140377</t>
  </si>
  <si>
    <t>ZIMANDCUZ</t>
  </si>
  <si>
    <t>insecte in ODB intermediar</t>
  </si>
  <si>
    <t>OLT1-CL0240 / Slot : 2 / PON2/7</t>
  </si>
  <si>
    <t>FITT00000140398</t>
  </si>
  <si>
    <t>Negreti Oas</t>
  </si>
  <si>
    <t>Nu este necesar</t>
  </si>
  <si>
    <t>comun cu FITT00000140332</t>
  </si>
  <si>
    <t>BR0294FAN2ODB682</t>
  </si>
  <si>
    <t>FITT00000140397</t>
  </si>
  <si>
    <t>SANPETRU</t>
  </si>
  <si>
    <t>S-au indentificat pigtail-uri rupte la ODB682 catre TB-ODB682.</t>
  </si>
  <si>
    <t>S-au inlocuit si sudat cele 4 buc pigtailuri rupte pe parte de TB. Acum clientii sunt UP si semnalul in parametrii.</t>
  </si>
  <si>
    <t>BE2997FAN1ODB145</t>
  </si>
  <si>
    <t>FITT00000140380</t>
  </si>
  <si>
    <t xml:space="preserve">Albestii de Arges </t>
  </si>
  <si>
    <t>ODB145 fara semnal, problema la 340m in fata la ODB149. Insectele au rupt mai multe fire fo inclusive firul de la spliterul optic de la ODB149.</t>
  </si>
  <si>
    <t>S-a instalat un spliter optic nou in ODB149 si s-au refacut sudurile in acesta. S-a ridicat clientul din ODB145 si are semnal in parametrii.</t>
  </si>
  <si>
    <t>WDM BR0042 (WLA_REGHIN) - BR0639, BR0042 (REGHIN) - BR0471 (BAND_1)</t>
  </si>
  <si>
    <t>IMO000000312019</t>
  </si>
  <si>
    <t>Voievodeni</t>
  </si>
  <si>
    <t>Solutie provizorie - necesar  camereta</t>
  </si>
  <si>
    <t>S-a identificat incidentul la coordonatele 46,676007 24,614080, cablu fo48 rupt in sapatura. La 22,2km de site BR0042, sau 20km din J.Grigorescu53.</t>
  </si>
  <si>
    <t>S-a eliberat rezerva fo48 si s-a instalat un OSC.</t>
  </si>
  <si>
    <t>46,676007 24,614080</t>
  </si>
  <si>
    <t>Trasa OTDR remote inLine din Band spre Reghin se opreste la 42.83km</t>
  </si>
  <si>
    <t>BR0705 - BR0158</t>
  </si>
  <si>
    <t>IMO000000312021</t>
  </si>
  <si>
    <t>Sighisoara</t>
  </si>
  <si>
    <t>BR0547 – BR0329</t>
  </si>
  <si>
    <t>IMO000000312030</t>
  </si>
  <si>
    <t>Voivodeni</t>
  </si>
  <si>
    <t>Anulat, comun cu IMO000000312019</t>
  </si>
  <si>
    <t>Mures WDM BR0210 - BR0898, BR0072 - BR0210</t>
  </si>
  <si>
    <t>IMO000000312037</t>
  </si>
  <si>
    <t>Miercurea Nirajului</t>
  </si>
  <si>
    <t>Solutie provizorie - fara camereta</t>
  </si>
  <si>
    <t xml:space="preserve">Incidentul este la 6,4km de BR0210 Miercurea Nirajului, la coordonatele 46.550719, 24.710256 , cablu fo24 rup in sapatura de catre proprietarul fermei. Pers contact locatie 0765 385595.
</t>
  </si>
  <si>
    <t>fermier</t>
  </si>
  <si>
    <t>S-a eliberat cablu dintr-o camereta alaturata si s-a instalat un OSC. OSC_IMO312037  46,55073 24,71029</t>
  </si>
  <si>
    <t>46,55073 24,71029</t>
  </si>
  <si>
    <t>OLT1-BR0302 / Slot : 2 / PON2/14</t>
  </si>
  <si>
    <t>FITT00000140433</t>
  </si>
  <si>
    <t>CRISTIAN</t>
  </si>
  <si>
    <t>Port OLT1-BR0302 / Slot : 2 / PON2/14 picat.</t>
  </si>
  <si>
    <t>Cablu rupt la lucrări de îngropare rețele, reorientat cablu și executat o jonctiune în camin oroc la cota 45,623058 25,485644. Clientii sunt UP.</t>
  </si>
  <si>
    <t>45.623058 25.485644</t>
  </si>
  <si>
    <t>CR0752FAN1ODB1102</t>
  </si>
  <si>
    <t>FITT00000140450</t>
  </si>
  <si>
    <t>Poroina Mare</t>
  </si>
  <si>
    <t>ODB1102 fara semnal si fara alti clienti in el. Sudura rupta in ODB1102.</t>
  </si>
  <si>
    <t>S-a resudat firul cu semnal pentru spliter. Acum ODB1102 are semnal in paramentrii.</t>
  </si>
  <si>
    <t>BR0294FAN1ODB424</t>
  </si>
  <si>
    <t>FITT00000140468</t>
  </si>
  <si>
    <t>TB2-ODB424 fara semnal sau cu fire atenuate. S-au indentificat 2 fire rupte in cutia TB2-ODB424, iar restul de porturi nu sunt atenuate.</t>
  </si>
  <si>
    <t>S-au refacut sudurile in TB2-ODB424 45.709617, 25.670931. Exista semnal, dar clientul mentionat 300000333782 nu s-a ridicat, probabil ont fara tensiune.</t>
  </si>
  <si>
    <t>WDM Craiova_1(CR0448) - CR0006 + NEC CR0169 - CR0057 + SDH</t>
  </si>
  <si>
    <t>IMO000000312156</t>
  </si>
  <si>
    <t>Bals</t>
  </si>
  <si>
    <t>Tene Marius + Radu Andi Gabriel</t>
  </si>
  <si>
    <t>A fost necesar sa dam masuratori si din site CR0057 Bals si se oprea la 4,2km, iar din site CR0169 Piatra Olt incident la 19,9km. Am identificat incidentul la cota  44,359628°  24,152024° pe cablu fo24.  OSC21 vandalizat si repus pe pozitie.</t>
  </si>
  <si>
    <t xml:space="preserve"> S-a refacut OSC21.</t>
  </si>
  <si>
    <t>44,359628°  24,152024°</t>
  </si>
  <si>
    <t>FITT00000140478</t>
  </si>
  <si>
    <t>Cablu fo12 care alimenteaza cele 2 ODb-uri picate  ODB39 si ODB44 este rupt si avariat in mai multe locuri. Locatie cablu rupt 45,756986 25,541075</t>
  </si>
  <si>
    <t>S-a instalatat 320m cablu fo12 (s-a inlocuit) cablul de la ODB44 si ODB45 si s-au refacut sudurile in acestea. Clientii din ODB39 si ODB44 sunt UP si semnalul este in parametrii.</t>
  </si>
  <si>
    <t>BR0319FAN1ODB44</t>
  </si>
  <si>
    <t>FITT00000140583</t>
  </si>
  <si>
    <t>comun cu FITT00000140478</t>
  </si>
  <si>
    <t>CR0048FAN1ODB1732</t>
  </si>
  <si>
    <t>FITT00000140486</t>
  </si>
  <si>
    <t>Cutui Marius + Denis Pirciu</t>
  </si>
  <si>
    <t>ODB1732 fara semnal, defect indentificat la ODB1731 care a fost vandalizat.</t>
  </si>
  <si>
    <t>S-a resudat ODB1731, iar clientii din ODB1732 sunt UP si semnal in paramentrii.</t>
  </si>
  <si>
    <t>CL0053FAN1ODB0713</t>
  </si>
  <si>
    <t>FITT00000140624</t>
  </si>
  <si>
    <t>SATULUNG</t>
  </si>
  <si>
    <t>ODB0713 vandalizat, fara capac si cu fire fo rupte</t>
  </si>
  <si>
    <t>S-a inlocuit cutia ODB0 cu spliter optic si s-a sudat. Acum ODB0713 are semnal in parametrii, iar clientii sunt UP.</t>
  </si>
  <si>
    <t>CL2965FAN2ODB2416</t>
  </si>
  <si>
    <t>FITT00000140625</t>
  </si>
  <si>
    <t xml:space="preserve">VISEU DE SUS </t>
  </si>
  <si>
    <t xml:space="preserve">Cablu FO rupt in urma lucrarilor de anvelopare. S-a discutat cu administratia si ne-a permis sa remediem provizoriu pentru 2-3 zile. Este necesar proiect de build pentru instalare in solutie finala. 
</t>
  </si>
  <si>
    <t>Administratie</t>
  </si>
  <si>
    <t xml:space="preserve">Cablu FO rupt in urma lucrarilor de anvelopare. S-a discutat cu administratia si ne-a permis sa remediem provizoriu pentru 2-3 zile. Este necesar proiect de build pentru instalare in solutie finala. </t>
  </si>
  <si>
    <t>FITT00000140626</t>
  </si>
  <si>
    <t xml:space="preserve">MOSNITA NOUA </t>
  </si>
  <si>
    <t>ODB1113 fara semnal. Fir rupt in ODB-ul din fata ODB1112.</t>
  </si>
  <si>
    <t>S-a refacut sudura in ODB1112, iar clientii din ODB1113 s-au ridicat si semnalul este in parametrii.</t>
  </si>
  <si>
    <t>45.713222, 21.327389</t>
  </si>
  <si>
    <t>OLT1-CL0305 / Slot : 2 PON2/8, PON2/9, PON2/15</t>
  </si>
  <si>
    <t>FITT00000140639</t>
  </si>
  <si>
    <t>3porturi OLT down OLT1-CL0305 / Slot : 2 PON2/8, PON2/9, PON2/15. Cablu Fo48 rupt de agabaritic.</t>
  </si>
  <si>
    <t>S-a inlocuit 80m fo48 si s-au instalat 2 osc-uri. Porturile s-au ridicat si clientii sunt UP.</t>
  </si>
  <si>
    <t>TI0339FAN1ODB203</t>
  </si>
  <si>
    <t>FITT00000140766</t>
  </si>
  <si>
    <t>OUT 6 RUPT IN ODB</t>
  </si>
  <si>
    <t>CL0713FAN1ODB0408</t>
  </si>
  <si>
    <t>FITT00000140785</t>
  </si>
  <si>
    <t>Beius</t>
  </si>
  <si>
    <t>Refacut sudura in DP conform NICM. Echipa nu a avut ONT de test si s-a verificat impreuna cu George Anghel</t>
  </si>
  <si>
    <t>BE2998FAN1ODB22</t>
  </si>
  <si>
    <t>FITT00000140787</t>
  </si>
  <si>
    <t>Bradu</t>
  </si>
  <si>
    <t>Fibra rupta intre ODB22 si OSC2111. Remediere: Instalat 350 m FO12 intre ODB22 si OSC2111</t>
  </si>
  <si>
    <t>FITT00000140788 Loss of signal BR0018 - BR2990 / BR0018 - BR0210</t>
  </si>
  <si>
    <t>IMO000000312405</t>
  </si>
  <si>
    <t>F-cut la 30,5 km de BR0018 catre BR0210 in sapatura pe proprietate privata</t>
  </si>
  <si>
    <t>Proprietar</t>
  </si>
  <si>
    <t>S-a instalat o bucata de 50 m FO24 + 2 OSC noi + 2 camerete</t>
  </si>
  <si>
    <t xml:space="preserve">Loss of signal WDM BR0037 - CL0131 / CL0179_ILA_1  - CLUJ_1 / MEDIAS_1 (BR0782) - CL0179_ILA_1  / SAROS_1 - CL0548 + SDH + NEC BR0426 - CL2089 </t>
  </si>
  <si>
    <t>IMO000000312437</t>
  </si>
  <si>
    <t>Cetatea de Balta</t>
  </si>
  <si>
    <t>FO18+6</t>
  </si>
  <si>
    <t>Cablu afectat la 97,5km de Cluj catre Medias. Traseu ingropat.</t>
  </si>
  <si>
    <t>Lucrari apa/canal</t>
  </si>
  <si>
    <t>Instalat 100 m FO24 compozit si 2 OSC noi + Camerete</t>
  </si>
  <si>
    <t xml:space="preserve">Possible FO CUT NEC BR0255 - BR0384 ; BR0187 - BR0180 </t>
  </si>
  <si>
    <t>IMO000000312520</t>
  </si>
  <si>
    <t>Solutie provizorie - camerete</t>
  </si>
  <si>
    <t>Fibra rupta in sapatura de lucrari civile</t>
  </si>
  <si>
    <t xml:space="preserve">FITT00000140886 </t>
  </si>
  <si>
    <t>Fire rupte in ODB13226 in urma lucrarilor necorespunzatoare a tehnicienilor de LM. Pentru remediere s-a demontat ODB13226 si s-a refacut complet. Valori OK la ODB13227</t>
  </si>
  <si>
    <t>OLT1-BR0471 / Slot : 1 PON1/11, PON1/12</t>
  </si>
  <si>
    <t xml:space="preserve">FITT00000140900 </t>
  </si>
  <si>
    <t>Solutie provizorie - necesar stalpi</t>
  </si>
  <si>
    <t>Fibra agatata de utilaj agricol. Eliberat rezerva si instalat OSC nou</t>
  </si>
  <si>
    <t>CL2999FAN1ODB610</t>
  </si>
  <si>
    <t xml:space="preserve">FITT00000140899 </t>
  </si>
  <si>
    <t>Fibra atenuata in SPL2</t>
  </si>
  <si>
    <t xml:space="preserve"> S-a identificat si s-a resudat fibra afectatata,ODB in parametrii.</t>
  </si>
  <si>
    <t>TI0203FAN1ODB11721</t>
  </si>
  <si>
    <t xml:space="preserve">FITT00000140866 </t>
  </si>
  <si>
    <t xml:space="preserve">Fir sudat gresit in DP17. </t>
  </si>
  <si>
    <t>A fost identificat pe SPL3, s-a mutat pe SPL2 conform NICM. S-a verificat portul in NetNumen</t>
  </si>
  <si>
    <t>TI0062FAN1ODB1825</t>
  </si>
  <si>
    <t xml:space="preserve">FITT00000140897 </t>
  </si>
  <si>
    <t>S-a instalat bucata de cablu intre 2 ODB existente. ODB in parametrii.</t>
  </si>
  <si>
    <t>CR2950FAN3ODB139</t>
  </si>
  <si>
    <t xml:space="preserve">FITT00000140911 </t>
  </si>
  <si>
    <t>Sudura defecta in DP7. Pentru remediere s-a refacut sudura in DP7. S-a masurat PON iar valorile la ODB sunt in parametri.</t>
  </si>
  <si>
    <t>Loss of signal WDM BAIA_MARE ( CL0051 )  - CL2113 + NEC CL0510 – CL0287</t>
  </si>
  <si>
    <t>IMO000000312554</t>
  </si>
  <si>
    <t>Solutie provizorie - necesar stalpi rerutatat</t>
  </si>
  <si>
    <t>FO taiate de primaria Baia Mare</t>
  </si>
  <si>
    <t xml:space="preserve">WDM CL0245 - CL0325 </t>
  </si>
  <si>
    <t>IMO000000312695</t>
  </si>
  <si>
    <t>Sacel</t>
  </si>
  <si>
    <t>S-a introdus bucata de cablu FO96 si s-au executat 2 jonctiuni</t>
  </si>
  <si>
    <t>TI0401FAN1ODB2516</t>
  </si>
  <si>
    <t>FITT00000140130</t>
  </si>
  <si>
    <t>Sudura sparta in srink,tube  neconform pe intrare spliter 4 și ieșire spliter4.</t>
  </si>
  <si>
    <t>S-a resudat fibra afectata.ODB in parametrii.</t>
  </si>
  <si>
    <t>TI0130 - TI0389</t>
  </si>
  <si>
    <t>IMO000000312708</t>
  </si>
  <si>
    <t>Bebe Mocanu</t>
  </si>
  <si>
    <t xml:space="preserve">Cablu 24 fo tăiat de persoane necunoscute. </t>
  </si>
  <si>
    <t>S au înlocuit 100 m cablu și s au efectuat 2 joncțiuni noi</t>
  </si>
  <si>
    <t>CL0030 - CL0107</t>
  </si>
  <si>
    <t>IMO000000312729</t>
  </si>
  <si>
    <t>Stramba oilor</t>
  </si>
  <si>
    <t xml:space="preserve">Iosif Criste </t>
  </si>
  <si>
    <t>Fibra rupta in padure pe drumul forestier</t>
  </si>
  <si>
    <t>BR0902 - BR0168</t>
  </si>
  <si>
    <t>IMO000000312764</t>
  </si>
  <si>
    <t>Fibra rupta de utilaj agricol</t>
  </si>
  <si>
    <t>(CR0781) - CR0140 + NEC CR0781-CR1351 / CR0781 -CR0569 / CR0781 – CR1351</t>
  </si>
  <si>
    <t>IMO000000312757</t>
  </si>
  <si>
    <t xml:space="preserve">Alexandria </t>
  </si>
  <si>
    <t>S-a instalat 200m FO24 si s-au executat 2 jonctiuni noi</t>
  </si>
  <si>
    <t>BE0327FAN2ODB106</t>
  </si>
  <si>
    <t>FITT00000141031</t>
  </si>
  <si>
    <t xml:space="preserve">George Zamfir </t>
  </si>
  <si>
    <t>NEC in ARGES intre BE0169 - BE0210</t>
  </si>
  <si>
    <t>IMO000000312791</t>
  </si>
  <si>
    <t>Maracineni</t>
  </si>
  <si>
    <t>Fibra rupta in urma unor lucrari de defrisare executate de Primarie si DEER</t>
  </si>
  <si>
    <t>S-a instalat 400 m FO24 si s-au executat 2 jonctiuni</t>
  </si>
  <si>
    <t xml:space="preserve">WDM BE0817 - BE2980  </t>
  </si>
  <si>
    <t>IMO000000312853</t>
  </si>
  <si>
    <t>Poiana lacului</t>
  </si>
  <si>
    <t>Valer Urdu</t>
  </si>
  <si>
    <t>Tichet ID</t>
  </si>
  <si>
    <t>SW ID</t>
  </si>
  <si>
    <t>Tronsaon /Site</t>
  </si>
  <si>
    <t>Data</t>
  </si>
  <si>
    <t>Interval orar</t>
  </si>
  <si>
    <t>Echipa executie SW</t>
  </si>
  <si>
    <t>Finalizare SW</t>
  </si>
  <si>
    <t>crt</t>
  </si>
  <si>
    <t>descriere</t>
  </si>
  <si>
    <t>data solicitarii</t>
  </si>
  <si>
    <t>data predarii de aplasament</t>
  </si>
  <si>
    <t>echipa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</si>
</sst>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h:mm;@"/>
    <numFmt numFmtId="165" formatCode="[$-418]d\ mmmm\ yyyy;@"/>
  </numFmts>
  <fonts count="67">
    <font>
      <sz val="11"/>
      <color theme="1"/>
      <name val="Calibri"/>
      <family val="2"/>
      <charset val="238"/>
      <scheme val="minor"/>
    </font>
    <font>
      <b/>
      <sz val="9"/>
      <color rgb="FF242424"/>
      <name val="Calbri"/>
    </font>
    <font>
      <b/>
      <sz val="9"/>
      <name val="Calibri"/>
      <family val="2"/>
      <scheme val="minor"/>
    </font>
    <font>
      <sz val="11"/>
      <color rgb="FF000000"/>
      <name val="Calibri"/>
      <family val="2"/>
      <scheme val="minor"/>
    </font>
    <font>
      <b/>
      <sz val="11"/>
      <name val="Calibri"/>
      <family val="2"/>
      <charset val="238"/>
      <scheme val="minor"/>
    </font>
    <font>
      <b/>
      <sz val="9"/>
      <name val="Calibri"/>
      <family val="2"/>
      <charset val="238"/>
      <scheme val="minor"/>
    </font>
    <font>
      <sz val="11"/>
      <color rgb="FF000000"/>
      <name val="Calibri"/>
      <family val="2"/>
    </font>
    <font>
      <b/>
      <sz val="11"/>
      <color theme="1"/>
      <name val="Calibri"/>
      <family val="2"/>
      <scheme val="minor"/>
    </font>
    <font>
      <b/>
      <sz val="11"/>
      <color rgb="FF000000"/>
      <name val="Calibri"/>
      <family val="2"/>
    </font>
    <font>
      <sz val="11"/>
      <color rgb="FF242424"/>
      <name val="Aptos Narrow"/>
      <family val="2"/>
    </font>
    <font>
      <sz val="11"/>
      <color rgb="FF000000"/>
      <name val="Calibri"/>
      <family val="2"/>
      <charset val="238"/>
      <scheme val="minor"/>
    </font>
    <font>
      <b/>
      <sz val="9"/>
      <color rgb="FF000000"/>
      <name val="Calibri"/>
      <family val="2"/>
    </font>
    <font>
      <sz val="12"/>
      <color theme="1"/>
      <name val="Calibri"/>
      <family val="2"/>
    </font>
    <font>
      <sz val="12"/>
      <color theme="1"/>
      <name val="Aptos"/>
      <family val="2"/>
    </font>
    <font>
      <sz val="11"/>
      <color theme="1"/>
      <name val="Calibri"/>
      <family val="2"/>
    </font>
    <font>
      <sz val="12"/>
      <color rgb="FF000000"/>
      <name val="Calibri"/>
      <family val="2"/>
      <charset val="238"/>
      <scheme val="minor"/>
    </font>
    <font>
      <sz val="12"/>
      <color rgb="FF000000"/>
      <name val="Aptos"/>
      <family val="2"/>
    </font>
    <font>
      <sz val="11"/>
      <color rgb="FF000000"/>
      <name val="Calibri"/>
      <family val="2"/>
      <charset val="238"/>
    </font>
    <font>
      <sz val="11"/>
      <color rgb="FF242424"/>
      <name val="Segoe UI"/>
      <family val="2"/>
    </font>
    <font>
      <sz val="12"/>
      <color theme="1"/>
      <name val="Calibri"/>
      <family val="2"/>
      <charset val="238"/>
      <scheme val="minor"/>
    </font>
    <font>
      <sz val="12"/>
      <color rgb="FF242424"/>
      <name val="Segoe UI"/>
      <family val="2"/>
    </font>
    <font>
      <sz val="11"/>
      <color rgb="FF242424"/>
      <name val="Calibri"/>
      <family val="2"/>
    </font>
    <font>
      <sz val="11"/>
      <color rgb="FFFF0000"/>
      <name val="Calibri"/>
      <family val="2"/>
      <charset val="238"/>
      <scheme val="minor"/>
    </font>
    <font>
      <b/>
      <sz val="9"/>
      <name val="Calibri"/>
      <family val="2"/>
    </font>
    <font>
      <b/>
      <sz val="11"/>
      <color rgb="FFFFFFFF"/>
      <name val="Calibri"/>
      <family val="2"/>
      <charset val="238"/>
      <scheme val="minor"/>
    </font>
    <font>
      <sz val="11"/>
      <color theme="1"/>
      <name val="Aptos"/>
      <family val="2"/>
    </font>
    <font>
      <sz val="11"/>
      <color rgb="FF242424"/>
      <name val="Calibri"/>
      <family val="2"/>
      <charset val="238"/>
      <scheme val="minor"/>
    </font>
    <font>
      <sz val="12"/>
      <color rgb="FF242424"/>
      <name val="Calibri"/>
      <family val="2"/>
      <charset val="238"/>
      <scheme val="minor"/>
    </font>
    <font>
      <sz val="10"/>
      <color theme="1"/>
      <name val="Calibri"/>
      <family val="2"/>
      <charset val="238"/>
      <scheme val="minor"/>
    </font>
    <font>
      <sz val="10"/>
      <color rgb="FF242424"/>
      <name val="Calibri"/>
      <family val="2"/>
      <charset val="238"/>
      <scheme val="minor"/>
    </font>
    <font>
      <sz val="12"/>
      <color rgb="FF212121"/>
      <name val="Aptos"/>
      <family val="2"/>
    </font>
    <font>
      <sz val="9"/>
      <color rgb="FF242424"/>
      <name val="Calibri"/>
      <family val="2"/>
      <scheme val="minor"/>
    </font>
    <font>
      <sz val="12"/>
      <color theme="1"/>
      <name val="Aptos"/>
      <family val="2"/>
      <charset val="1"/>
    </font>
    <font>
      <sz val="11"/>
      <color theme="1"/>
      <name val="Calibri"/>
      <family val="2"/>
      <scheme val="minor"/>
    </font>
    <font>
      <sz val="12"/>
      <color rgb="FF242424"/>
      <name val="Calibri"/>
      <family val="2"/>
      <scheme val="minor"/>
    </font>
    <font>
      <sz val="12"/>
      <color theme="1"/>
      <name val="Calibri"/>
      <family val="2"/>
      <charset val="1"/>
    </font>
    <font>
      <sz val="11"/>
      <color rgb="FF242424"/>
      <name val="Calibri"/>
      <family val="2"/>
      <scheme val="minor"/>
    </font>
    <font>
      <sz val="11"/>
      <color theme="1"/>
      <name val="Calibri"/>
      <family val="2"/>
      <charset val="1"/>
    </font>
    <font>
      <sz val="11"/>
      <color theme="1"/>
      <name val="Aptos"/>
      <family val="2"/>
      <charset val="1"/>
    </font>
    <font>
      <sz val="11"/>
      <color rgb="FF000000"/>
      <name val="Calibri"/>
    </font>
    <font>
      <sz val="11"/>
      <color theme="1"/>
      <name val="Times New Roman"/>
      <charset val="1"/>
    </font>
    <font>
      <u/>
      <sz val="11"/>
      <color theme="10"/>
      <name val="Calibri"/>
      <family val="2"/>
      <charset val="238"/>
      <scheme val="minor"/>
    </font>
    <font>
      <sz val="12"/>
      <color theme="1"/>
      <name val="Calibri"/>
      <charset val="1"/>
    </font>
    <font>
      <sz val="11"/>
      <color rgb="FF242424"/>
      <name val="Aptos Narrow"/>
      <charset val="1"/>
    </font>
    <font>
      <sz val="11"/>
      <color rgb="FF000000"/>
      <name val="Calibri"/>
      <charset val="1"/>
    </font>
    <font>
      <sz val="12"/>
      <color theme="1"/>
      <name val="Aptos"/>
      <charset val="1"/>
    </font>
    <font>
      <sz val="12"/>
      <color rgb="FF000000"/>
      <name val="Aptos"/>
    </font>
    <font>
      <sz val="12"/>
      <color rgb="FFFF0000"/>
      <name val="Aptos"/>
    </font>
    <font>
      <sz val="12"/>
      <color theme="1"/>
      <name val="Aptos"/>
    </font>
    <font>
      <sz val="12"/>
      <color rgb="FFFF0000"/>
      <name val="Aptos"/>
      <charset val="1"/>
    </font>
    <font>
      <sz val="11"/>
      <color rgb="FF242424"/>
      <name val="Calibri"/>
      <family val="2"/>
      <charset val="1"/>
    </font>
    <font>
      <sz val="12"/>
      <color rgb="FF000000"/>
      <name val="Aptos"/>
      <family val="2"/>
      <charset val="1"/>
    </font>
    <font>
      <sz val="12"/>
      <color rgb="FF000000"/>
      <name val="Aptos"/>
      <charset val="1"/>
    </font>
    <font>
      <sz val="11"/>
      <color theme="1"/>
      <name val="Calibri"/>
      <charset val="1"/>
    </font>
    <font>
      <sz val="11"/>
      <color rgb="FF000000"/>
      <name val="Aptos Narrow"/>
      <charset val="1"/>
    </font>
    <font>
      <sz val="11"/>
      <color rgb="FF000000"/>
      <name val="Aptos"/>
      <charset val="1"/>
    </font>
    <font>
      <sz val="10"/>
      <color theme="1"/>
      <name val="Aptos"/>
      <family val="2"/>
      <charset val="1"/>
    </font>
    <font>
      <sz val="12"/>
      <color rgb="FF000000"/>
      <name val="Aptos"/>
      <family val="1"/>
      <charset val="1"/>
    </font>
    <font>
      <sz val="11"/>
      <name val="Calibri"/>
      <family val="2"/>
      <charset val="238"/>
      <scheme val="minor"/>
    </font>
    <font>
      <b/>
      <sz val="11"/>
      <name val="Calibri Light"/>
      <family val="2"/>
      <scheme val="major"/>
    </font>
    <font>
      <b/>
      <sz val="11"/>
      <color rgb="FF242424"/>
      <name val="Calibri Light"/>
      <family val="2"/>
      <scheme val="major"/>
    </font>
    <font>
      <sz val="11"/>
      <name val="Calibri"/>
      <family val="2"/>
      <scheme val="minor"/>
    </font>
    <font>
      <b/>
      <sz val="11"/>
      <color rgb="FF242424"/>
      <name val="Aptos Narrow"/>
      <family val="2"/>
    </font>
    <font>
      <b/>
      <sz val="11"/>
      <name val="Calibri"/>
      <family val="2"/>
      <scheme val="minor"/>
    </font>
    <font>
      <b/>
      <sz val="11"/>
      <color rgb="FF242424"/>
      <name val="Aptos Narrow"/>
      <charset val="1"/>
    </font>
    <font>
      <b/>
      <sz val="11"/>
      <color theme="1"/>
      <name val="Calibri"/>
      <family val="2"/>
      <charset val="238"/>
      <scheme val="minor"/>
    </font>
    <font>
      <sz val="10"/>
      <color rgb="FF000000"/>
      <name val="Segoe UI"/>
      <charset val="1"/>
    </font>
  </fonts>
  <fills count="17">
    <fill>
      <patternFill patternType="none"/>
    </fill>
    <fill>
      <patternFill patternType="gray125"/>
    </fill>
    <fill>
      <patternFill patternType="solid">
        <fgColor theme="4" tint="0.79998168889431442"/>
        <bgColor theme="4" tint="0.79998168889431442"/>
      </patternFill>
    </fill>
    <fill>
      <patternFill patternType="solid">
        <fgColor rgb="FF9BC2E6"/>
        <bgColor rgb="FF000000"/>
      </patternFill>
    </fill>
    <fill>
      <patternFill patternType="solid">
        <fgColor rgb="FFFF0000"/>
        <bgColor indexed="64"/>
      </patternFill>
    </fill>
    <fill>
      <patternFill patternType="solid">
        <fgColor rgb="FFD9E1F2"/>
        <bgColor rgb="FFD9E1F2"/>
      </patternFill>
    </fill>
    <fill>
      <patternFill patternType="solid">
        <fgColor rgb="FF92D050"/>
        <bgColor indexed="64"/>
      </patternFill>
    </fill>
    <fill>
      <patternFill patternType="solid">
        <fgColor rgb="FFFFFF00"/>
        <bgColor indexed="64"/>
      </patternFill>
    </fill>
    <fill>
      <patternFill patternType="solid">
        <fgColor rgb="FF7030A0"/>
        <bgColor indexed="64"/>
      </patternFill>
    </fill>
    <fill>
      <patternFill patternType="solid">
        <fgColor theme="0"/>
        <bgColor indexed="64"/>
      </patternFill>
    </fill>
    <fill>
      <patternFill patternType="solid">
        <fgColor rgb="FFFFC000"/>
        <bgColor indexed="64"/>
      </patternFill>
    </fill>
    <fill>
      <patternFill patternType="solid">
        <fgColor rgb="FF00D8F0"/>
        <bgColor indexed="64"/>
      </patternFill>
    </fill>
    <fill>
      <patternFill patternType="solid">
        <fgColor rgb="FFFFFFFF"/>
        <bgColor indexed="64"/>
      </patternFill>
    </fill>
    <fill>
      <patternFill patternType="solid">
        <fgColor rgb="FF00B0F0"/>
        <bgColor indexed="64"/>
      </patternFill>
    </fill>
    <fill>
      <patternFill patternType="solid">
        <fgColor theme="4"/>
        <bgColor theme="4"/>
      </patternFill>
    </fill>
    <fill>
      <patternFill patternType="solid">
        <fgColor rgb="FF0070C0"/>
        <bgColor indexed="64"/>
      </patternFill>
    </fill>
    <fill>
      <patternFill patternType="solid">
        <fgColor rgb="FF00F0E8"/>
        <bgColor indexed="64"/>
      </patternFill>
    </fill>
  </fills>
  <borders count="1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4472C4"/>
      </top>
      <bottom/>
      <diagonal/>
    </border>
    <border>
      <left/>
      <right style="thin">
        <color rgb="FF4472C4"/>
      </right>
      <top style="thin">
        <color rgb="FF4472C4"/>
      </top>
      <bottom/>
      <diagonal/>
    </border>
    <border>
      <left/>
      <right/>
      <top style="thin">
        <color theme="4"/>
      </top>
      <bottom/>
      <diagonal/>
    </border>
    <border>
      <left/>
      <right/>
      <top style="thin">
        <color theme="4"/>
      </top>
      <bottom style="thin">
        <color theme="4"/>
      </bottom>
      <diagonal/>
    </border>
    <border>
      <left/>
      <right style="thin">
        <color theme="4"/>
      </right>
      <top style="thin">
        <color theme="4"/>
      </top>
      <bottom/>
      <diagonal/>
    </border>
    <border>
      <left/>
      <right/>
      <top style="thin">
        <color theme="4" tint="0.39997558519241921"/>
      </top>
      <bottom/>
      <diagonal/>
    </border>
    <border>
      <left/>
      <right style="thin">
        <color theme="4"/>
      </right>
      <top style="thin">
        <color rgb="FF4472C4"/>
      </top>
      <bottom/>
      <diagonal/>
    </border>
    <border>
      <left/>
      <right style="thin">
        <color theme="4"/>
      </right>
      <top style="thin">
        <color theme="4"/>
      </top>
      <bottom style="thin">
        <color theme="4"/>
      </bottom>
      <diagonal/>
    </border>
    <border>
      <left/>
      <right/>
      <top style="thin">
        <color rgb="FF8EA9DB"/>
      </top>
      <bottom style="thin">
        <color rgb="FF8EA9DB"/>
      </bottom>
      <diagonal/>
    </border>
    <border>
      <left/>
      <right/>
      <top style="thin">
        <color rgb="FF4472C4"/>
      </top>
      <bottom style="thin">
        <color rgb="FF8EA9DB"/>
      </bottom>
      <diagonal/>
    </border>
    <border>
      <left/>
      <right style="thin">
        <color rgb="FF8EA9DB"/>
      </right>
      <top style="thin">
        <color rgb="FF8EA9DB"/>
      </top>
      <bottom style="thin">
        <color rgb="FF8EA9DB"/>
      </bottom>
      <diagonal/>
    </border>
    <border>
      <left/>
      <right/>
      <top/>
      <bottom style="thin">
        <color rgb="FF8EA9DB"/>
      </bottom>
      <diagonal/>
    </border>
    <border>
      <left/>
      <right/>
      <top/>
      <bottom style="medium">
        <color rgb="FF44B3E1"/>
      </bottom>
      <diagonal/>
    </border>
    <border>
      <left/>
      <right/>
      <top style="thin">
        <color theme="4"/>
      </top>
      <bottom style="thin">
        <color theme="4" tint="0.39997558519241921"/>
      </bottom>
      <diagonal/>
    </border>
  </borders>
  <cellStyleXfs count="2">
    <xf numFmtId="0" fontId="0" fillId="0" borderId="0"/>
    <xf numFmtId="0" fontId="41" fillId="0" borderId="0" applyNumberFormat="0" applyFill="0" applyBorder="0" applyAlignment="0" applyProtection="0"/>
  </cellStyleXfs>
  <cellXfs count="511">
    <xf numFmtId="0" fontId="0" fillId="0" borderId="0" xfId="0"/>
    <xf numFmtId="0" fontId="4" fillId="3" borderId="0" xfId="0" applyFont="1" applyFill="1"/>
    <xf numFmtId="22" fontId="0" fillId="0" borderId="0" xfId="0" applyNumberFormat="1"/>
    <xf numFmtId="22" fontId="0" fillId="0" borderId="0" xfId="0" applyNumberFormat="1" applyAlignment="1">
      <alignment horizontal="center"/>
    </xf>
    <xf numFmtId="16" fontId="0" fillId="0" borderId="0" xfId="0" applyNumberFormat="1"/>
    <xf numFmtId="0" fontId="0" fillId="0" borderId="0" xfId="0" applyAlignment="1">
      <alignment horizontal="center"/>
    </xf>
    <xf numFmtId="0" fontId="0" fillId="0" borderId="0" xfId="0" applyAlignment="1">
      <alignment horizontal="center" vertical="center"/>
    </xf>
    <xf numFmtId="0" fontId="0" fillId="2" borderId="1" xfId="0" applyFill="1" applyBorder="1"/>
    <xf numFmtId="0" fontId="5" fillId="0" borderId="0" xfId="0" applyFont="1" applyAlignment="1">
      <alignment horizontal="center" vertical="center" wrapText="1"/>
    </xf>
    <xf numFmtId="0" fontId="2" fillId="0" borderId="0" xfId="0" applyFont="1" applyAlignment="1">
      <alignment horizontal="center" vertical="center" wrapText="1"/>
    </xf>
    <xf numFmtId="16" fontId="2" fillId="0" borderId="0" xfId="0" applyNumberFormat="1" applyFont="1" applyAlignment="1">
      <alignment horizontal="center" vertical="center" wrapText="1"/>
    </xf>
    <xf numFmtId="0" fontId="7" fillId="0" borderId="0" xfId="0" applyFont="1"/>
    <xf numFmtId="0" fontId="6" fillId="0" borderId="0" xfId="0" applyFont="1" applyAlignment="1">
      <alignment wrapText="1"/>
    </xf>
    <xf numFmtId="165" fontId="0" fillId="0" borderId="0" xfId="0" applyNumberFormat="1"/>
    <xf numFmtId="16" fontId="5" fillId="0" borderId="0" xfId="0" applyNumberFormat="1" applyFont="1" applyAlignment="1">
      <alignment horizontal="center" vertical="center" wrapText="1"/>
    </xf>
    <xf numFmtId="17" fontId="2" fillId="0" borderId="0" xfId="0" applyNumberFormat="1" applyFont="1" applyAlignment="1">
      <alignment horizontal="center" vertical="center" wrapText="1"/>
    </xf>
    <xf numFmtId="0" fontId="3" fillId="0" borderId="0" xfId="0" applyFont="1" applyAlignment="1">
      <alignment horizontal="center" vertical="center"/>
    </xf>
    <xf numFmtId="0" fontId="10" fillId="0" borderId="0" xfId="0" applyFont="1"/>
    <xf numFmtId="0" fontId="0" fillId="0" borderId="0" xfId="0" applyAlignment="1">
      <alignment horizontal="left"/>
    </xf>
    <xf numFmtId="0" fontId="0" fillId="0" borderId="0" xfId="0" applyAlignment="1">
      <alignment horizontal="left" vertical="center"/>
    </xf>
    <xf numFmtId="164" fontId="0" fillId="0" borderId="0" xfId="0" applyNumberFormat="1" applyAlignment="1">
      <alignment horizontal="center"/>
    </xf>
    <xf numFmtId="0" fontId="0" fillId="0" borderId="0" xfId="0" applyAlignment="1">
      <alignment horizontal="left" vertical="top"/>
    </xf>
    <xf numFmtId="164" fontId="0" fillId="0" borderId="0" xfId="0" applyNumberFormat="1" applyAlignment="1">
      <alignment horizontal="center" vertical="center"/>
    </xf>
    <xf numFmtId="0" fontId="0" fillId="0" borderId="0" xfId="0" applyAlignment="1">
      <alignment vertical="top"/>
    </xf>
    <xf numFmtId="0" fontId="0" fillId="7" borderId="0" xfId="0" applyFill="1"/>
    <xf numFmtId="0" fontId="2" fillId="0" borderId="0" xfId="0" applyFont="1" applyAlignment="1">
      <alignment horizontal="left" vertical="center" wrapText="1"/>
    </xf>
    <xf numFmtId="0" fontId="10" fillId="4" borderId="0" xfId="0" applyFont="1" applyFill="1"/>
    <xf numFmtId="0" fontId="10" fillId="7" borderId="0" xfId="0" applyFont="1" applyFill="1"/>
    <xf numFmtId="0" fontId="2" fillId="2" borderId="2" xfId="0" applyFont="1" applyFill="1" applyBorder="1" applyAlignment="1">
      <alignment horizontal="center" vertical="center" wrapText="1"/>
    </xf>
    <xf numFmtId="0" fontId="0" fillId="4" borderId="0" xfId="0" applyFill="1"/>
    <xf numFmtId="0" fontId="10" fillId="8" borderId="0" xfId="0" applyFont="1" applyFill="1"/>
    <xf numFmtId="0" fontId="0" fillId="8" borderId="0" xfId="0" applyFill="1"/>
    <xf numFmtId="0" fontId="17" fillId="0" borderId="3" xfId="0" applyFont="1" applyBorder="1"/>
    <xf numFmtId="0" fontId="11" fillId="0" borderId="0" xfId="0" applyFont="1" applyAlignment="1">
      <alignment horizontal="center" vertical="center"/>
    </xf>
    <xf numFmtId="0" fontId="10" fillId="9" borderId="0" xfId="0" applyFont="1" applyFill="1"/>
    <xf numFmtId="0" fontId="0" fillId="9" borderId="0" xfId="0" applyFill="1"/>
    <xf numFmtId="0" fontId="0" fillId="10" borderId="0" xfId="0" applyFill="1"/>
    <xf numFmtId="0" fontId="21" fillId="0" borderId="3" xfId="0" applyFont="1" applyBorder="1"/>
    <xf numFmtId="22" fontId="17" fillId="0" borderId="3" xfId="0" applyNumberFormat="1" applyFont="1" applyBorder="1"/>
    <xf numFmtId="0" fontId="17" fillId="0" borderId="4" xfId="0" applyFont="1" applyBorder="1"/>
    <xf numFmtId="0" fontId="17" fillId="0" borderId="3" xfId="0" applyFont="1" applyBorder="1" applyAlignment="1">
      <alignment horizontal="center" vertical="center"/>
    </xf>
    <xf numFmtId="0" fontId="17" fillId="0" borderId="3" xfId="0" applyFont="1" applyBorder="1" applyAlignment="1">
      <alignment wrapText="1"/>
    </xf>
    <xf numFmtId="0" fontId="0" fillId="0" borderId="5" xfId="0" applyBorder="1"/>
    <xf numFmtId="0" fontId="0" fillId="0" borderId="5" xfId="0" applyBorder="1" applyAlignment="1">
      <alignment horizontal="center"/>
    </xf>
    <xf numFmtId="164" fontId="0" fillId="0" borderId="5" xfId="0" applyNumberFormat="1" applyBorder="1" applyAlignment="1">
      <alignment horizontal="center"/>
    </xf>
    <xf numFmtId="0" fontId="0" fillId="0" borderId="6" xfId="0" applyBorder="1" applyAlignment="1">
      <alignment horizontal="center"/>
    </xf>
    <xf numFmtId="0" fontId="0" fillId="6" borderId="5" xfId="0" applyFill="1" applyBorder="1"/>
    <xf numFmtId="0" fontId="0" fillId="7" borderId="5" xfId="0" applyFill="1" applyBorder="1"/>
    <xf numFmtId="0" fontId="5" fillId="14" borderId="5" xfId="0" applyFont="1" applyFill="1" applyBorder="1" applyAlignment="1">
      <alignment horizontal="center" vertical="center" wrapText="1"/>
    </xf>
    <xf numFmtId="0" fontId="24" fillId="14" borderId="5" xfId="0" applyFont="1" applyFill="1" applyBorder="1" applyAlignment="1">
      <alignment horizontal="center" vertical="center"/>
    </xf>
    <xf numFmtId="0" fontId="5" fillId="14" borderId="7" xfId="0" applyFont="1" applyFill="1" applyBorder="1" applyAlignment="1">
      <alignment horizontal="center" vertical="center" wrapText="1"/>
    </xf>
    <xf numFmtId="17" fontId="0" fillId="0" borderId="5" xfId="0" applyNumberFormat="1" applyBorder="1" applyAlignment="1">
      <alignment horizontal="right" vertical="center"/>
    </xf>
    <xf numFmtId="0" fontId="0" fillId="0" borderId="5" xfId="0" applyBorder="1" applyAlignment="1">
      <alignment horizontal="left" vertical="center"/>
    </xf>
    <xf numFmtId="0" fontId="0" fillId="0" borderId="5" xfId="0" applyBorder="1" applyAlignment="1">
      <alignment horizontal="left" vertical="top"/>
    </xf>
    <xf numFmtId="0" fontId="0" fillId="0" borderId="7" xfId="0" applyBorder="1"/>
    <xf numFmtId="0" fontId="0" fillId="0" borderId="5" xfId="0" applyBorder="1" applyAlignment="1">
      <alignment horizontal="left"/>
    </xf>
    <xf numFmtId="22" fontId="0" fillId="0" borderId="5" xfId="0" applyNumberFormat="1" applyBorder="1" applyAlignment="1">
      <alignment horizontal="center"/>
    </xf>
    <xf numFmtId="22" fontId="0" fillId="0" borderId="5" xfId="0" applyNumberFormat="1" applyBorder="1"/>
    <xf numFmtId="164" fontId="0" fillId="0" borderId="5" xfId="0" applyNumberFormat="1" applyBorder="1" applyAlignment="1">
      <alignment horizontal="center" vertical="center"/>
    </xf>
    <xf numFmtId="0" fontId="0" fillId="7" borderId="5" xfId="0" applyFill="1" applyBorder="1" applyAlignment="1">
      <alignment horizontal="left" vertical="center"/>
    </xf>
    <xf numFmtId="0" fontId="10" fillId="0" borderId="5" xfId="0" applyFont="1" applyBorder="1"/>
    <xf numFmtId="17" fontId="10" fillId="0" borderId="5" xfId="0" applyNumberFormat="1" applyFont="1" applyBorder="1" applyAlignment="1">
      <alignment horizontal="right" vertical="center"/>
    </xf>
    <xf numFmtId="0" fontId="0" fillId="9" borderId="5" xfId="0" applyFill="1" applyBorder="1" applyAlignment="1">
      <alignment horizontal="left" vertical="center"/>
    </xf>
    <xf numFmtId="0" fontId="10" fillId="0" borderId="5" xfId="0" applyFont="1" applyBorder="1" applyAlignment="1">
      <alignment horizontal="left" vertical="center"/>
    </xf>
    <xf numFmtId="0" fontId="10" fillId="0" borderId="5" xfId="0" applyFont="1" applyBorder="1" applyAlignment="1">
      <alignment horizontal="center"/>
    </xf>
    <xf numFmtId="164" fontId="10" fillId="0" borderId="5" xfId="0" applyNumberFormat="1" applyFont="1" applyBorder="1" applyAlignment="1">
      <alignment horizontal="center"/>
    </xf>
    <xf numFmtId="22" fontId="10" fillId="0" borderId="5" xfId="0" applyNumberFormat="1" applyFont="1" applyBorder="1" applyAlignment="1">
      <alignment horizontal="center" vertical="center"/>
    </xf>
    <xf numFmtId="0" fontId="10" fillId="0" borderId="5" xfId="0" applyFont="1" applyBorder="1" applyAlignment="1">
      <alignment horizontal="left"/>
    </xf>
    <xf numFmtId="0" fontId="10" fillId="0" borderId="5" xfId="0" applyFont="1" applyBorder="1" applyAlignment="1">
      <alignment horizontal="left" vertical="top"/>
    </xf>
    <xf numFmtId="0" fontId="10" fillId="0" borderId="7" xfId="0" applyFont="1" applyBorder="1"/>
    <xf numFmtId="0" fontId="10" fillId="6" borderId="5" xfId="0" applyFont="1" applyFill="1" applyBorder="1"/>
    <xf numFmtId="22" fontId="10" fillId="0" borderId="5" xfId="0" applyNumberFormat="1" applyFont="1" applyBorder="1" applyAlignment="1">
      <alignment horizontal="center"/>
    </xf>
    <xf numFmtId="22" fontId="10" fillId="0" borderId="5" xfId="0" applyNumberFormat="1" applyFont="1" applyBorder="1"/>
    <xf numFmtId="0" fontId="14" fillId="0" borderId="5" xfId="0" applyFont="1" applyBorder="1"/>
    <xf numFmtId="0" fontId="13" fillId="0" borderId="5" xfId="0" applyFont="1" applyBorder="1"/>
    <xf numFmtId="17" fontId="10" fillId="0" borderId="5" xfId="0" applyNumberFormat="1" applyFont="1" applyBorder="1" applyAlignment="1">
      <alignment vertical="top"/>
    </xf>
    <xf numFmtId="0" fontId="13" fillId="9" borderId="5" xfId="0" applyFont="1" applyFill="1" applyBorder="1"/>
    <xf numFmtId="17" fontId="10" fillId="9" borderId="5" xfId="0" applyNumberFormat="1" applyFont="1" applyFill="1" applyBorder="1" applyAlignment="1">
      <alignment vertical="top"/>
    </xf>
    <xf numFmtId="0" fontId="0" fillId="9" borderId="5" xfId="0" applyFill="1" applyBorder="1"/>
    <xf numFmtId="0" fontId="0" fillId="9" borderId="5" xfId="0" applyFill="1" applyBorder="1" applyAlignment="1">
      <alignment horizontal="center"/>
    </xf>
    <xf numFmtId="0" fontId="10" fillId="9" borderId="5" xfId="0" applyFont="1" applyFill="1" applyBorder="1"/>
    <xf numFmtId="164" fontId="10" fillId="9" borderId="5" xfId="0" applyNumberFormat="1" applyFont="1" applyFill="1" applyBorder="1" applyAlignment="1">
      <alignment horizontal="center"/>
    </xf>
    <xf numFmtId="0" fontId="10" fillId="9" borderId="5" xfId="0" applyFont="1" applyFill="1" applyBorder="1" applyAlignment="1">
      <alignment horizontal="center"/>
    </xf>
    <xf numFmtId="0" fontId="10" fillId="9" borderId="5" xfId="0" applyFont="1" applyFill="1" applyBorder="1" applyAlignment="1">
      <alignment horizontal="center" vertical="center"/>
    </xf>
    <xf numFmtId="0" fontId="10" fillId="9" borderId="5" xfId="0" applyFont="1" applyFill="1" applyBorder="1" applyAlignment="1">
      <alignment horizontal="left"/>
    </xf>
    <xf numFmtId="0" fontId="10" fillId="9" borderId="5" xfId="0" applyFont="1" applyFill="1" applyBorder="1" applyAlignment="1">
      <alignment horizontal="left" vertical="top"/>
    </xf>
    <xf numFmtId="0" fontId="10" fillId="9" borderId="7" xfId="0" applyFont="1" applyFill="1" applyBorder="1"/>
    <xf numFmtId="0" fontId="10" fillId="7" borderId="5" xfId="0" applyFont="1" applyFill="1" applyBorder="1"/>
    <xf numFmtId="17" fontId="10" fillId="7" borderId="5" xfId="0" applyNumberFormat="1" applyFont="1" applyFill="1" applyBorder="1" applyAlignment="1">
      <alignment horizontal="right" vertical="center"/>
    </xf>
    <xf numFmtId="0" fontId="10" fillId="7" borderId="5" xfId="0" applyFont="1" applyFill="1" applyBorder="1" applyAlignment="1">
      <alignment horizontal="left" vertical="center"/>
    </xf>
    <xf numFmtId="0" fontId="0" fillId="7" borderId="5" xfId="0" applyFill="1" applyBorder="1" applyAlignment="1">
      <alignment horizontal="center"/>
    </xf>
    <xf numFmtId="164" fontId="10" fillId="7" borderId="5" xfId="0" applyNumberFormat="1" applyFont="1" applyFill="1" applyBorder="1" applyAlignment="1">
      <alignment horizontal="center"/>
    </xf>
    <xf numFmtId="0" fontId="10" fillId="7" borderId="5" xfId="0" applyFont="1" applyFill="1" applyBorder="1" applyAlignment="1">
      <alignment horizontal="left" vertical="top"/>
    </xf>
    <xf numFmtId="0" fontId="10" fillId="7" borderId="7" xfId="0" applyFont="1" applyFill="1" applyBorder="1"/>
    <xf numFmtId="17" fontId="10" fillId="9" borderId="5" xfId="0" applyNumberFormat="1" applyFont="1" applyFill="1" applyBorder="1" applyAlignment="1">
      <alignment horizontal="right" vertical="center"/>
    </xf>
    <xf numFmtId="0" fontId="10" fillId="9" borderId="5" xfId="0" applyFont="1" applyFill="1" applyBorder="1" applyAlignment="1">
      <alignment horizontal="left" vertical="center"/>
    </xf>
    <xf numFmtId="0" fontId="10" fillId="8" borderId="5" xfId="0" applyFont="1" applyFill="1" applyBorder="1"/>
    <xf numFmtId="17" fontId="10" fillId="8" borderId="5" xfId="0" applyNumberFormat="1" applyFont="1" applyFill="1" applyBorder="1" applyAlignment="1">
      <alignment horizontal="right" vertical="center"/>
    </xf>
    <xf numFmtId="0" fontId="10" fillId="8" borderId="5" xfId="0" applyFont="1" applyFill="1" applyBorder="1" applyAlignment="1">
      <alignment horizontal="left" vertical="center"/>
    </xf>
    <xf numFmtId="0" fontId="0" fillId="8" borderId="5" xfId="0" applyFill="1" applyBorder="1" applyAlignment="1">
      <alignment horizontal="center"/>
    </xf>
    <xf numFmtId="0" fontId="0" fillId="8" borderId="5" xfId="0" applyFill="1" applyBorder="1"/>
    <xf numFmtId="164" fontId="10" fillId="8" borderId="5" xfId="0" applyNumberFormat="1" applyFont="1" applyFill="1" applyBorder="1" applyAlignment="1">
      <alignment horizontal="center"/>
    </xf>
    <xf numFmtId="0" fontId="10" fillId="8" borderId="5" xfId="0" applyFont="1" applyFill="1" applyBorder="1" applyAlignment="1">
      <alignment horizontal="center"/>
    </xf>
    <xf numFmtId="0" fontId="10" fillId="8" borderId="5" xfId="0" applyFont="1" applyFill="1" applyBorder="1" applyAlignment="1">
      <alignment horizontal="center" vertical="center"/>
    </xf>
    <xf numFmtId="0" fontId="10" fillId="8" borderId="5" xfId="0" applyFont="1" applyFill="1" applyBorder="1" applyAlignment="1">
      <alignment horizontal="left" vertical="top"/>
    </xf>
    <xf numFmtId="0" fontId="10" fillId="8" borderId="7" xfId="0" applyFont="1" applyFill="1" applyBorder="1"/>
    <xf numFmtId="0" fontId="10" fillId="8" borderId="5" xfId="0" applyFont="1" applyFill="1" applyBorder="1" applyAlignment="1">
      <alignment horizontal="right" vertical="center"/>
    </xf>
    <xf numFmtId="22" fontId="10" fillId="9" borderId="5" xfId="0" applyNumberFormat="1" applyFont="1" applyFill="1" applyBorder="1" applyAlignment="1">
      <alignment horizontal="center"/>
    </xf>
    <xf numFmtId="22" fontId="10" fillId="9" borderId="5" xfId="0" applyNumberFormat="1" applyFont="1" applyFill="1" applyBorder="1"/>
    <xf numFmtId="22" fontId="10" fillId="9" borderId="5" xfId="0" applyNumberFormat="1" applyFont="1" applyFill="1" applyBorder="1" applyAlignment="1">
      <alignment horizontal="center" vertical="center"/>
    </xf>
    <xf numFmtId="0" fontId="10" fillId="0" borderId="5" xfId="0" applyFont="1" applyBorder="1" applyAlignment="1">
      <alignment horizontal="center" vertical="center"/>
    </xf>
    <xf numFmtId="0" fontId="10" fillId="4" borderId="5" xfId="0" applyFont="1" applyFill="1" applyBorder="1"/>
    <xf numFmtId="17" fontId="10" fillId="4" borderId="5" xfId="0" applyNumberFormat="1" applyFont="1" applyFill="1" applyBorder="1" applyAlignment="1">
      <alignment horizontal="right" vertical="center"/>
    </xf>
    <xf numFmtId="0" fontId="10" fillId="4" borderId="5" xfId="0" applyFont="1" applyFill="1" applyBorder="1" applyAlignment="1">
      <alignment horizontal="left" vertical="center"/>
    </xf>
    <xf numFmtId="0" fontId="0" fillId="4" borderId="5" xfId="0" applyFill="1" applyBorder="1" applyAlignment="1">
      <alignment horizontal="center"/>
    </xf>
    <xf numFmtId="164" fontId="10" fillId="4" borderId="5" xfId="0" applyNumberFormat="1" applyFont="1" applyFill="1" applyBorder="1" applyAlignment="1">
      <alignment horizontal="center"/>
    </xf>
    <xf numFmtId="0" fontId="10" fillId="4" borderId="5" xfId="0" applyFont="1" applyFill="1" applyBorder="1" applyAlignment="1">
      <alignment horizontal="left"/>
    </xf>
    <xf numFmtId="0" fontId="10" fillId="4" borderId="5" xfId="0" applyFont="1" applyFill="1" applyBorder="1" applyAlignment="1">
      <alignment horizontal="left" vertical="top"/>
    </xf>
    <xf numFmtId="0" fontId="10" fillId="4" borderId="7" xfId="0" applyFont="1" applyFill="1" applyBorder="1"/>
    <xf numFmtId="0" fontId="12" fillId="0" borderId="5" xfId="0" applyFont="1" applyBorder="1"/>
    <xf numFmtId="0" fontId="10" fillId="6" borderId="5" xfId="0" applyFont="1" applyFill="1" applyBorder="1" applyAlignment="1">
      <alignment horizontal="left" vertical="center"/>
    </xf>
    <xf numFmtId="164" fontId="10" fillId="0" borderId="5" xfId="0" applyNumberFormat="1" applyFont="1" applyBorder="1" applyAlignment="1">
      <alignment horizontal="center" vertical="center"/>
    </xf>
    <xf numFmtId="0" fontId="14" fillId="4" borderId="5" xfId="0" applyFont="1" applyFill="1" applyBorder="1"/>
    <xf numFmtId="0" fontId="10" fillId="4" borderId="5" xfId="0" applyFont="1" applyFill="1" applyBorder="1" applyAlignment="1">
      <alignment horizontal="center"/>
    </xf>
    <xf numFmtId="22" fontId="10" fillId="4" borderId="5" xfId="0" applyNumberFormat="1" applyFont="1" applyFill="1" applyBorder="1" applyAlignment="1">
      <alignment horizontal="center"/>
    </xf>
    <xf numFmtId="0" fontId="10" fillId="0" borderId="5" xfId="0" applyFont="1" applyBorder="1" applyAlignment="1">
      <alignment horizontal="left" vertical="top" wrapText="1"/>
    </xf>
    <xf numFmtId="0" fontId="10" fillId="0" borderId="5" xfId="0" applyFont="1" applyBorder="1" applyAlignment="1">
      <alignment wrapText="1"/>
    </xf>
    <xf numFmtId="0" fontId="10" fillId="0" borderId="5" xfId="0" applyFont="1" applyBorder="1" applyAlignment="1">
      <alignment horizontal="right" vertical="center"/>
    </xf>
    <xf numFmtId="22" fontId="10" fillId="4" borderId="5" xfId="0" applyNumberFormat="1" applyFont="1" applyFill="1" applyBorder="1"/>
    <xf numFmtId="22" fontId="10" fillId="4" borderId="5" xfId="0" applyNumberFormat="1" applyFont="1" applyFill="1" applyBorder="1" applyAlignment="1">
      <alignment horizontal="center" vertical="center"/>
    </xf>
    <xf numFmtId="0" fontId="25" fillId="0" borderId="5" xfId="0" applyFont="1" applyBorder="1"/>
    <xf numFmtId="0" fontId="26" fillId="0" borderId="5" xfId="0" applyFont="1" applyBorder="1"/>
    <xf numFmtId="22" fontId="0" fillId="0" borderId="5" xfId="0" applyNumberFormat="1" applyBorder="1" applyAlignment="1">
      <alignment horizontal="center" vertical="center"/>
    </xf>
    <xf numFmtId="0" fontId="18" fillId="0" borderId="5" xfId="0" applyFont="1" applyBorder="1"/>
    <xf numFmtId="0" fontId="0" fillId="7" borderId="5" xfId="0" applyFill="1" applyBorder="1" applyAlignment="1">
      <alignment horizontal="left"/>
    </xf>
    <xf numFmtId="0" fontId="26" fillId="7" borderId="5" xfId="0" applyFont="1" applyFill="1" applyBorder="1"/>
    <xf numFmtId="0" fontId="26" fillId="6" borderId="5" xfId="0" applyFont="1" applyFill="1" applyBorder="1"/>
    <xf numFmtId="0" fontId="27" fillId="9" borderId="5" xfId="0" applyFont="1" applyFill="1" applyBorder="1" applyAlignment="1">
      <alignment horizontal="left" vertical="center"/>
    </xf>
    <xf numFmtId="0" fontId="27" fillId="0" borderId="5" xfId="0" applyFont="1" applyBorder="1" applyAlignment="1">
      <alignment horizontal="left" vertical="center"/>
    </xf>
    <xf numFmtId="17" fontId="28" fillId="0" borderId="5" xfId="0" applyNumberFormat="1" applyFont="1" applyBorder="1" applyAlignment="1">
      <alignment horizontal="right" vertical="center"/>
    </xf>
    <xf numFmtId="0" fontId="0" fillId="11" borderId="5" xfId="0" applyFill="1" applyBorder="1"/>
    <xf numFmtId="0" fontId="26" fillId="0" borderId="5" xfId="0" applyFont="1" applyBorder="1" applyAlignment="1">
      <alignment horizontal="left" vertical="center"/>
    </xf>
    <xf numFmtId="164" fontId="0" fillId="7" borderId="5" xfId="0" applyNumberFormat="1" applyFill="1" applyBorder="1" applyAlignment="1">
      <alignment horizontal="center"/>
    </xf>
    <xf numFmtId="22" fontId="0" fillId="7" borderId="5" xfId="0" applyNumberFormat="1" applyFill="1" applyBorder="1" applyAlignment="1">
      <alignment horizontal="center"/>
    </xf>
    <xf numFmtId="22" fontId="0" fillId="7" borderId="5" xfId="0" applyNumberFormat="1" applyFill="1" applyBorder="1"/>
    <xf numFmtId="22" fontId="10" fillId="7" borderId="5" xfId="0" applyNumberFormat="1" applyFont="1" applyFill="1" applyBorder="1" applyAlignment="1">
      <alignment horizontal="center" vertical="center"/>
    </xf>
    <xf numFmtId="0" fontId="29" fillId="0" borderId="5" xfId="0" applyFont="1" applyBorder="1"/>
    <xf numFmtId="0" fontId="29" fillId="6" borderId="5" xfId="0" applyFont="1" applyFill="1" applyBorder="1"/>
    <xf numFmtId="0" fontId="0" fillId="4" borderId="5" xfId="0" applyFill="1" applyBorder="1"/>
    <xf numFmtId="17" fontId="0" fillId="4" borderId="5" xfId="0" applyNumberFormat="1" applyFill="1" applyBorder="1" applyAlignment="1">
      <alignment horizontal="right" vertical="center"/>
    </xf>
    <xf numFmtId="0" fontId="0" fillId="4" borderId="5" xfId="0" applyFill="1" applyBorder="1" applyAlignment="1">
      <alignment horizontal="left" vertical="center"/>
    </xf>
    <xf numFmtId="164" fontId="0" fillId="4" borderId="5" xfId="0" applyNumberFormat="1" applyFill="1" applyBorder="1" applyAlignment="1">
      <alignment horizontal="center"/>
    </xf>
    <xf numFmtId="164" fontId="0" fillId="4" borderId="5" xfId="0" applyNumberFormat="1" applyFill="1" applyBorder="1" applyAlignment="1">
      <alignment horizontal="center" vertical="center"/>
    </xf>
    <xf numFmtId="0" fontId="0" fillId="4" borderId="5" xfId="0" applyFill="1" applyBorder="1" applyAlignment="1">
      <alignment horizontal="left"/>
    </xf>
    <xf numFmtId="0" fontId="0" fillId="4" borderId="5" xfId="0" applyFill="1" applyBorder="1" applyAlignment="1">
      <alignment horizontal="left" vertical="top"/>
    </xf>
    <xf numFmtId="0" fontId="10" fillId="11" borderId="5" xfId="0" applyFont="1" applyFill="1" applyBorder="1"/>
    <xf numFmtId="0" fontId="15" fillId="0" borderId="5" xfId="0" applyFont="1" applyBorder="1" applyAlignment="1">
      <alignment horizontal="left" vertical="center"/>
    </xf>
    <xf numFmtId="0" fontId="30" fillId="7" borderId="5" xfId="0" applyFont="1" applyFill="1" applyBorder="1"/>
    <xf numFmtId="0" fontId="0" fillId="10" borderId="5" xfId="0" applyFill="1" applyBorder="1"/>
    <xf numFmtId="0" fontId="10" fillId="0" borderId="8" xfId="0" applyFont="1" applyBorder="1"/>
    <xf numFmtId="0" fontId="0" fillId="0" borderId="8" xfId="0" applyBorder="1"/>
    <xf numFmtId="0" fontId="0" fillId="0" borderId="5" xfId="0" applyBorder="1" applyAlignment="1">
      <alignment horizontal="right" vertical="center"/>
    </xf>
    <xf numFmtId="0" fontId="0" fillId="0" borderId="5" xfId="0" applyBorder="1" applyAlignment="1">
      <alignment wrapText="1"/>
    </xf>
    <xf numFmtId="17" fontId="0" fillId="0" borderId="5" xfId="0" applyNumberFormat="1" applyBorder="1" applyAlignment="1">
      <alignment vertical="top"/>
    </xf>
    <xf numFmtId="0" fontId="0" fillId="0" borderId="5" xfId="0" applyBorder="1" applyAlignment="1">
      <alignment horizontal="left" vertical="top" wrapText="1"/>
    </xf>
    <xf numFmtId="0" fontId="0" fillId="0" borderId="5" xfId="0" applyBorder="1" applyAlignment="1">
      <alignment vertical="top" wrapText="1"/>
    </xf>
    <xf numFmtId="0" fontId="25" fillId="0" borderId="5" xfId="0" applyFont="1" applyBorder="1" applyAlignment="1">
      <alignment wrapText="1"/>
    </xf>
    <xf numFmtId="0" fontId="18" fillId="0" borderId="5" xfId="0" applyFont="1" applyBorder="1" applyAlignment="1">
      <alignment wrapText="1"/>
    </xf>
    <xf numFmtId="0" fontId="18" fillId="12" borderId="5" xfId="0" applyFont="1" applyFill="1" applyBorder="1" applyAlignment="1">
      <alignment wrapText="1"/>
    </xf>
    <xf numFmtId="164" fontId="0" fillId="0" borderId="5" xfId="0" applyNumberFormat="1" applyBorder="1" applyAlignment="1">
      <alignment horizontal="left"/>
    </xf>
    <xf numFmtId="0" fontId="0" fillId="7" borderId="8" xfId="0" applyFill="1" applyBorder="1"/>
    <xf numFmtId="0" fontId="0" fillId="0" borderId="8" xfId="0" applyBorder="1" applyAlignment="1">
      <alignment horizontal="left" vertical="top" wrapText="1"/>
    </xf>
    <xf numFmtId="17" fontId="0" fillId="10" borderId="5" xfId="0" applyNumberFormat="1" applyFill="1" applyBorder="1" applyAlignment="1">
      <alignment vertical="top"/>
    </xf>
    <xf numFmtId="0" fontId="0" fillId="10" borderId="5" xfId="0" applyFill="1" applyBorder="1" applyAlignment="1">
      <alignment horizontal="left" vertical="center"/>
    </xf>
    <xf numFmtId="0" fontId="0" fillId="10" borderId="5" xfId="0" applyFill="1" applyBorder="1" applyAlignment="1">
      <alignment horizontal="center"/>
    </xf>
    <xf numFmtId="164" fontId="0" fillId="10" borderId="5" xfId="0" applyNumberFormat="1" applyFill="1" applyBorder="1" applyAlignment="1">
      <alignment horizontal="center"/>
    </xf>
    <xf numFmtId="22" fontId="0" fillId="10" borderId="5" xfId="0" applyNumberFormat="1" applyFill="1" applyBorder="1" applyAlignment="1">
      <alignment horizontal="center"/>
    </xf>
    <xf numFmtId="22" fontId="0" fillId="10" borderId="5" xfId="0" applyNumberFormat="1" applyFill="1" applyBorder="1"/>
    <xf numFmtId="22" fontId="0" fillId="10" borderId="5" xfId="0" applyNumberFormat="1" applyFill="1" applyBorder="1" applyAlignment="1">
      <alignment horizontal="center" vertical="center"/>
    </xf>
    <xf numFmtId="0" fontId="0" fillId="10" borderId="5" xfId="0" applyFill="1" applyBorder="1" applyAlignment="1">
      <alignment horizontal="left"/>
    </xf>
    <xf numFmtId="0" fontId="0" fillId="10" borderId="7" xfId="0" applyFill="1" applyBorder="1"/>
    <xf numFmtId="0" fontId="0" fillId="0" borderId="5" xfId="0" applyBorder="1" applyAlignment="1">
      <alignment vertical="top"/>
    </xf>
    <xf numFmtId="0" fontId="0" fillId="6" borderId="5" xfId="0" applyFill="1" applyBorder="1" applyAlignment="1">
      <alignment horizontal="left" vertical="center"/>
    </xf>
    <xf numFmtId="17" fontId="0" fillId="10" borderId="5" xfId="0" applyNumberFormat="1" applyFill="1" applyBorder="1" applyAlignment="1">
      <alignment horizontal="right" vertical="center"/>
    </xf>
    <xf numFmtId="0" fontId="26" fillId="10" borderId="5" xfId="0" applyFont="1" applyFill="1" applyBorder="1"/>
    <xf numFmtId="0" fontId="10" fillId="10" borderId="5" xfId="0" applyFont="1" applyFill="1" applyBorder="1" applyAlignment="1">
      <alignment horizontal="left" vertical="top" wrapText="1"/>
    </xf>
    <xf numFmtId="164" fontId="0" fillId="10" borderId="5" xfId="0" applyNumberFormat="1" applyFill="1" applyBorder="1" applyAlignment="1">
      <alignment horizontal="center" vertical="center"/>
    </xf>
    <xf numFmtId="0" fontId="0" fillId="10" borderId="5" xfId="0" applyFill="1" applyBorder="1" applyAlignment="1">
      <alignment horizontal="left" vertical="top" wrapText="1"/>
    </xf>
    <xf numFmtId="0" fontId="0" fillId="13" borderId="5" xfId="0" applyFill="1" applyBorder="1" applyAlignment="1">
      <alignment horizontal="center"/>
    </xf>
    <xf numFmtId="0" fontId="10" fillId="10" borderId="5" xfId="0" applyFont="1" applyFill="1" applyBorder="1"/>
    <xf numFmtId="0" fontId="14" fillId="6" borderId="5" xfId="0" applyFont="1" applyFill="1" applyBorder="1" applyAlignment="1">
      <alignment horizontal="left" vertical="center"/>
    </xf>
    <xf numFmtId="0" fontId="0" fillId="0" borderId="5" xfId="0" applyBorder="1" applyAlignment="1">
      <alignment horizontal="center" vertical="center"/>
    </xf>
    <xf numFmtId="0" fontId="14" fillId="6" borderId="5" xfId="0" applyFont="1" applyFill="1" applyBorder="1"/>
    <xf numFmtId="0" fontId="0" fillId="4" borderId="7" xfId="0" applyFill="1" applyBorder="1"/>
    <xf numFmtId="0" fontId="20" fillId="4" borderId="5" xfId="0" applyFont="1" applyFill="1" applyBorder="1"/>
    <xf numFmtId="0" fontId="0" fillId="0" borderId="5" xfId="0" applyBorder="1" applyAlignment="1">
      <alignment horizontal="center" vertical="top" wrapText="1"/>
    </xf>
    <xf numFmtId="0" fontId="0" fillId="0" borderId="3" xfId="0" applyBorder="1"/>
    <xf numFmtId="0" fontId="0" fillId="0" borderId="3" xfId="0" applyBorder="1" applyAlignment="1">
      <alignment horizontal="left" vertical="center"/>
    </xf>
    <xf numFmtId="164" fontId="0" fillId="0" borderId="3" xfId="0" applyNumberFormat="1" applyBorder="1" applyAlignment="1">
      <alignment horizontal="center"/>
    </xf>
    <xf numFmtId="0" fontId="0" fillId="0" borderId="3" xfId="0" applyBorder="1" applyAlignment="1">
      <alignment horizontal="left"/>
    </xf>
    <xf numFmtId="0" fontId="0" fillId="0" borderId="9" xfId="0" applyBorder="1"/>
    <xf numFmtId="164" fontId="22" fillId="0" borderId="5" xfId="0" applyNumberFormat="1" applyFont="1" applyBorder="1" applyAlignment="1">
      <alignment horizontal="center"/>
    </xf>
    <xf numFmtId="0" fontId="14" fillId="0" borderId="5" xfId="0" applyFont="1" applyBorder="1" applyAlignment="1">
      <alignment horizontal="left" vertical="center"/>
    </xf>
    <xf numFmtId="0" fontId="0" fillId="0" borderId="6" xfId="0" applyBorder="1"/>
    <xf numFmtId="0" fontId="0" fillId="0" borderId="6" xfId="0" applyBorder="1" applyAlignment="1">
      <alignment horizontal="left" vertical="center"/>
    </xf>
    <xf numFmtId="164" fontId="0" fillId="0" borderId="6" xfId="0" applyNumberFormat="1" applyBorder="1" applyAlignment="1">
      <alignment horizontal="center"/>
    </xf>
    <xf numFmtId="22" fontId="0" fillId="0" borderId="6" xfId="0" applyNumberFormat="1" applyBorder="1" applyAlignment="1">
      <alignment horizontal="center"/>
    </xf>
    <xf numFmtId="164" fontId="0" fillId="0" borderId="6" xfId="0" applyNumberFormat="1" applyBorder="1" applyAlignment="1">
      <alignment horizontal="center" vertical="center"/>
    </xf>
    <xf numFmtId="0" fontId="0" fillId="0" borderId="6" xfId="0" applyBorder="1" applyAlignment="1">
      <alignment horizontal="left" vertical="top"/>
    </xf>
    <xf numFmtId="0" fontId="0" fillId="0" borderId="10" xfId="0" applyBorder="1"/>
    <xf numFmtId="0" fontId="0" fillId="0" borderId="0" xfId="0" applyAlignment="1">
      <alignment wrapText="1"/>
    </xf>
    <xf numFmtId="0" fontId="1" fillId="14" borderId="5" xfId="0" applyFont="1" applyFill="1" applyBorder="1" applyAlignment="1">
      <alignment horizontal="center" vertical="center"/>
    </xf>
    <xf numFmtId="0" fontId="10" fillId="5" borderId="5" xfId="0" applyFont="1" applyFill="1" applyBorder="1"/>
    <xf numFmtId="164" fontId="0" fillId="7" borderId="5" xfId="0" applyNumberFormat="1" applyFill="1" applyBorder="1" applyAlignment="1">
      <alignment horizontal="center" vertical="center"/>
    </xf>
    <xf numFmtId="0" fontId="0" fillId="7" borderId="7" xfId="0" applyFill="1" applyBorder="1"/>
    <xf numFmtId="0" fontId="0" fillId="13" borderId="5" xfId="0" applyFill="1" applyBorder="1"/>
    <xf numFmtId="0" fontId="14" fillId="13" borderId="5" xfId="0" applyFont="1" applyFill="1" applyBorder="1" applyAlignment="1">
      <alignment horizontal="left" vertical="center"/>
    </xf>
    <xf numFmtId="164" fontId="0" fillId="13" borderId="5" xfId="0" applyNumberFormat="1" applyFill="1" applyBorder="1" applyAlignment="1">
      <alignment horizontal="center"/>
    </xf>
    <xf numFmtId="22" fontId="0" fillId="13" borderId="5" xfId="0" applyNumberFormat="1" applyFill="1" applyBorder="1" applyAlignment="1">
      <alignment horizontal="center"/>
    </xf>
    <xf numFmtId="0" fontId="0" fillId="13" borderId="5" xfId="0" applyFill="1" applyBorder="1" applyAlignment="1">
      <alignment horizontal="left" vertical="top"/>
    </xf>
    <xf numFmtId="0" fontId="0" fillId="13" borderId="7" xfId="0" applyFill="1" applyBorder="1"/>
    <xf numFmtId="0" fontId="0" fillId="13" borderId="0" xfId="0" applyFill="1"/>
    <xf numFmtId="17" fontId="10" fillId="0" borderId="5" xfId="0" applyNumberFormat="1" applyFont="1" applyBorder="1" applyAlignment="1">
      <alignment horizontal="center" vertical="center"/>
    </xf>
    <xf numFmtId="0" fontId="32" fillId="0" borderId="0" xfId="0" applyFont="1"/>
    <xf numFmtId="0" fontId="12" fillId="0" borderId="5" xfId="0" applyFont="1" applyBorder="1" applyAlignment="1">
      <alignment horizontal="left" vertical="top"/>
    </xf>
    <xf numFmtId="0" fontId="33" fillId="0" borderId="5" xfId="0" applyFont="1" applyBorder="1" applyAlignment="1">
      <alignment horizontal="center"/>
    </xf>
    <xf numFmtId="0" fontId="33" fillId="0" borderId="5" xfId="0" applyFont="1" applyBorder="1" applyAlignment="1">
      <alignment horizontal="left" vertical="center"/>
    </xf>
    <xf numFmtId="0" fontId="34" fillId="0" borderId="5" xfId="0" applyFont="1" applyBorder="1" applyAlignment="1">
      <alignment horizontal="left" vertical="center"/>
    </xf>
    <xf numFmtId="0" fontId="33" fillId="0" borderId="0" xfId="0" applyFont="1" applyAlignment="1">
      <alignment wrapText="1"/>
    </xf>
    <xf numFmtId="0" fontId="34" fillId="0" borderId="0" xfId="0" applyFont="1" applyAlignment="1">
      <alignment wrapText="1"/>
    </xf>
    <xf numFmtId="0" fontId="35" fillId="0" borderId="0" xfId="0" applyFont="1"/>
    <xf numFmtId="0" fontId="18" fillId="0" borderId="5" xfId="0" applyFont="1" applyBorder="1" applyAlignment="1">
      <alignment horizontal="left" vertical="center"/>
    </xf>
    <xf numFmtId="0" fontId="0" fillId="6" borderId="0" xfId="0" applyFill="1"/>
    <xf numFmtId="0" fontId="17" fillId="0" borderId="0" xfId="0" applyFont="1"/>
    <xf numFmtId="0" fontId="0" fillId="4" borderId="0" xfId="0" applyFill="1" applyAlignment="1">
      <alignment horizontal="left" vertical="center"/>
    </xf>
    <xf numFmtId="0" fontId="0" fillId="4" borderId="0" xfId="0" applyFill="1" applyAlignment="1">
      <alignment horizontal="left"/>
    </xf>
    <xf numFmtId="0" fontId="33" fillId="0" borderId="5" xfId="0" applyFont="1" applyBorder="1"/>
    <xf numFmtId="0" fontId="36" fillId="0" borderId="0" xfId="0" applyFont="1"/>
    <xf numFmtId="0" fontId="33" fillId="0" borderId="0" xfId="0" applyFont="1"/>
    <xf numFmtId="22" fontId="6" fillId="0" borderId="0" xfId="0" applyNumberFormat="1" applyFont="1" applyAlignment="1">
      <alignment horizontal="center"/>
    </xf>
    <xf numFmtId="0" fontId="0" fillId="0" borderId="0" xfId="0" applyAlignment="1">
      <alignment horizontal="left" vertical="top" wrapText="1"/>
    </xf>
    <xf numFmtId="0" fontId="6" fillId="0" borderId="0" xfId="0" applyFont="1"/>
    <xf numFmtId="0" fontId="0" fillId="7" borderId="0" xfId="0" applyFill="1" applyAlignment="1">
      <alignment horizontal="left" vertical="center"/>
    </xf>
    <xf numFmtId="0" fontId="0" fillId="10" borderId="0" xfId="0" applyFill="1" applyAlignment="1">
      <alignment horizontal="left" vertical="center"/>
    </xf>
    <xf numFmtId="22" fontId="0" fillId="0" borderId="0" xfId="0" applyNumberFormat="1" applyAlignment="1">
      <alignment horizontal="center" indent="1"/>
    </xf>
    <xf numFmtId="22" fontId="0" fillId="0" borderId="0" xfId="0" applyNumberFormat="1" applyAlignment="1">
      <alignment horizontal="center" vertical="center"/>
    </xf>
    <xf numFmtId="0" fontId="19" fillId="0" borderId="5" xfId="0" applyFont="1" applyBorder="1" applyAlignment="1">
      <alignment horizontal="left" vertical="center"/>
    </xf>
    <xf numFmtId="0" fontId="20" fillId="0" borderId="0" xfId="0" applyFont="1"/>
    <xf numFmtId="0" fontId="6" fillId="0" borderId="0" xfId="0" applyFont="1" applyAlignment="1">
      <alignment horizontal="left" vertical="center"/>
    </xf>
    <xf numFmtId="0" fontId="13" fillId="0" borderId="5" xfId="0" applyFont="1" applyBorder="1" applyAlignment="1">
      <alignment wrapText="1"/>
    </xf>
    <xf numFmtId="0" fontId="13" fillId="0" borderId="0" xfId="0" applyFont="1"/>
    <xf numFmtId="164" fontId="0" fillId="4" borderId="0" xfId="0" applyNumberFormat="1" applyFill="1" applyAlignment="1">
      <alignment horizontal="center"/>
    </xf>
    <xf numFmtId="0" fontId="0" fillId="4" borderId="0" xfId="0" applyFill="1" applyAlignment="1">
      <alignment horizontal="left" vertical="top"/>
    </xf>
    <xf numFmtId="0" fontId="17" fillId="5" borderId="13" xfId="0" applyFont="1" applyFill="1" applyBorder="1"/>
    <xf numFmtId="0" fontId="22" fillId="7" borderId="5" xfId="0" applyFont="1" applyFill="1" applyBorder="1"/>
    <xf numFmtId="0" fontId="22" fillId="7" borderId="0" xfId="0" applyFont="1" applyFill="1"/>
    <xf numFmtId="0" fontId="0" fillId="7" borderId="0" xfId="0" applyFill="1" applyAlignment="1">
      <alignment horizontal="center"/>
    </xf>
    <xf numFmtId="0" fontId="22" fillId="6" borderId="0" xfId="0" applyFont="1" applyFill="1"/>
    <xf numFmtId="164" fontId="0" fillId="7" borderId="0" xfId="0" applyNumberFormat="1" applyFill="1" applyAlignment="1">
      <alignment horizontal="center"/>
    </xf>
    <xf numFmtId="0" fontId="0" fillId="7" borderId="0" xfId="0" applyFill="1" applyAlignment="1">
      <alignment horizontal="left"/>
    </xf>
    <xf numFmtId="0" fontId="0" fillId="0" borderId="8" xfId="0" applyBorder="1" applyAlignment="1">
      <alignment vertical="top"/>
    </xf>
    <xf numFmtId="17" fontId="10" fillId="0" borderId="5" xfId="0" applyNumberFormat="1" applyFont="1" applyBorder="1" applyAlignment="1">
      <alignment horizontal="left" vertical="center"/>
    </xf>
    <xf numFmtId="0" fontId="5" fillId="14" borderId="0" xfId="0" applyFont="1" applyFill="1" applyAlignment="1">
      <alignment horizontal="center" vertical="center"/>
    </xf>
    <xf numFmtId="0" fontId="5" fillId="14" borderId="0" xfId="0" applyFont="1" applyFill="1" applyAlignment="1">
      <alignment horizontal="center" vertical="center" wrapText="1"/>
    </xf>
    <xf numFmtId="164" fontId="5" fillId="14" borderId="0" xfId="0" applyNumberFormat="1" applyFont="1" applyFill="1" applyAlignment="1">
      <alignment horizontal="center" vertical="center" wrapText="1"/>
    </xf>
    <xf numFmtId="0" fontId="23" fillId="14" borderId="0" xfId="0" applyFont="1" applyFill="1" applyAlignment="1">
      <alignment horizontal="center" vertical="center" wrapText="1"/>
    </xf>
    <xf numFmtId="0" fontId="31" fillId="0" borderId="0" xfId="0" applyFont="1" applyAlignment="1">
      <alignment horizontal="center" vertical="center"/>
    </xf>
    <xf numFmtId="17" fontId="0" fillId="0" borderId="0" xfId="0" applyNumberFormat="1" applyAlignment="1">
      <alignment horizontal="right" vertical="center"/>
    </xf>
    <xf numFmtId="0" fontId="14" fillId="0" borderId="0" xfId="0" applyFont="1"/>
    <xf numFmtId="17" fontId="17" fillId="0" borderId="3" xfId="0" applyNumberFormat="1" applyFont="1" applyBorder="1"/>
    <xf numFmtId="17" fontId="0" fillId="7" borderId="5" xfId="0" applyNumberFormat="1" applyFill="1" applyBorder="1" applyAlignment="1">
      <alignment horizontal="right" vertical="center"/>
    </xf>
    <xf numFmtId="17" fontId="0" fillId="13" borderId="5" xfId="0" applyNumberFormat="1" applyFill="1" applyBorder="1" applyAlignment="1">
      <alignment horizontal="right" vertical="center"/>
    </xf>
    <xf numFmtId="17" fontId="0" fillId="0" borderId="0" xfId="0" applyNumberFormat="1" applyAlignment="1">
      <alignment vertical="top"/>
    </xf>
    <xf numFmtId="17" fontId="33" fillId="0" borderId="5" xfId="0" applyNumberFormat="1" applyFont="1" applyBorder="1" applyAlignment="1">
      <alignment vertical="top"/>
    </xf>
    <xf numFmtId="17" fontId="0" fillId="4" borderId="5" xfId="0" applyNumberFormat="1" applyFill="1" applyBorder="1" applyAlignment="1">
      <alignment vertical="top"/>
    </xf>
    <xf numFmtId="17" fontId="0" fillId="0" borderId="6" xfId="0" applyNumberFormat="1" applyBorder="1" applyAlignment="1">
      <alignment vertical="top"/>
    </xf>
    <xf numFmtId="17" fontId="0" fillId="4" borderId="0" xfId="0" applyNumberFormat="1" applyFill="1" applyAlignment="1">
      <alignment vertical="top"/>
    </xf>
    <xf numFmtId="17" fontId="0" fillId="0" borderId="3" xfId="0" applyNumberFormat="1" applyBorder="1" applyAlignment="1">
      <alignment horizontal="right" vertical="center"/>
    </xf>
    <xf numFmtId="17" fontId="17" fillId="0" borderId="0" xfId="0" applyNumberFormat="1" applyFont="1"/>
    <xf numFmtId="0" fontId="9" fillId="0" borderId="5" xfId="0" applyFont="1" applyBorder="1"/>
    <xf numFmtId="0" fontId="6" fillId="0" borderId="5" xfId="0" applyFont="1" applyBorder="1"/>
    <xf numFmtId="0" fontId="6" fillId="9" borderId="5" xfId="0" applyFont="1" applyFill="1" applyBorder="1"/>
    <xf numFmtId="22" fontId="6" fillId="0" borderId="5" xfId="0" applyNumberFormat="1" applyFont="1" applyBorder="1"/>
    <xf numFmtId="17" fontId="6" fillId="0" borderId="5" xfId="0" applyNumberFormat="1" applyFont="1" applyBorder="1"/>
    <xf numFmtId="0" fontId="6" fillId="0" borderId="3" xfId="0" applyFont="1" applyBorder="1" applyAlignment="1">
      <alignment wrapText="1"/>
    </xf>
    <xf numFmtId="22" fontId="6" fillId="0" borderId="3" xfId="0" applyNumberFormat="1" applyFont="1" applyBorder="1"/>
    <xf numFmtId="0" fontId="6" fillId="0" borderId="3" xfId="0" applyFont="1" applyBorder="1"/>
    <xf numFmtId="17" fontId="6" fillId="0" borderId="3" xfId="0" applyNumberFormat="1" applyFont="1" applyBorder="1"/>
    <xf numFmtId="0" fontId="6" fillId="0" borderId="4" xfId="0" applyFont="1" applyBorder="1"/>
    <xf numFmtId="22" fontId="9" fillId="0" borderId="0" xfId="0" applyNumberFormat="1" applyFont="1"/>
    <xf numFmtId="0" fontId="9" fillId="0" borderId="5" xfId="0" applyFont="1" applyBorder="1" applyAlignment="1">
      <alignment horizontal="left" vertical="top"/>
    </xf>
    <xf numFmtId="0" fontId="9" fillId="0" borderId="0" xfId="0" applyFont="1" applyAlignment="1">
      <alignment horizontal="left" vertical="top"/>
    </xf>
    <xf numFmtId="0" fontId="9" fillId="4" borderId="0" xfId="0" applyFont="1" applyFill="1" applyAlignment="1">
      <alignment horizontal="left" vertical="top"/>
    </xf>
    <xf numFmtId="17" fontId="6" fillId="0" borderId="5" xfId="0" applyNumberFormat="1" applyFont="1" applyBorder="1" applyAlignment="1">
      <alignment vertical="top"/>
    </xf>
    <xf numFmtId="0" fontId="6" fillId="0" borderId="5" xfId="0" applyFont="1" applyBorder="1" applyAlignment="1">
      <alignment horizontal="left" vertical="center"/>
    </xf>
    <xf numFmtId="164" fontId="6" fillId="0" borderId="5" xfId="0" applyNumberFormat="1" applyFont="1" applyBorder="1" applyAlignment="1">
      <alignment horizontal="center"/>
    </xf>
    <xf numFmtId="22" fontId="6" fillId="0" borderId="0" xfId="0" applyNumberFormat="1" applyFont="1"/>
    <xf numFmtId="164" fontId="6" fillId="0" borderId="0" xfId="0" applyNumberFormat="1" applyFont="1" applyAlignment="1">
      <alignment horizontal="center" vertical="center"/>
    </xf>
    <xf numFmtId="0" fontId="6" fillId="0" borderId="0" xfId="0" applyFont="1" applyAlignment="1">
      <alignment horizontal="left"/>
    </xf>
    <xf numFmtId="0" fontId="6" fillId="0" borderId="0" xfId="0" applyFont="1" applyAlignment="1">
      <alignment horizontal="left" vertical="top"/>
    </xf>
    <xf numFmtId="17" fontId="6" fillId="0" borderId="0" xfId="0" applyNumberFormat="1" applyFont="1" applyAlignment="1">
      <alignment vertical="top"/>
    </xf>
    <xf numFmtId="0" fontId="6" fillId="0" borderId="0" xfId="0" applyFont="1" applyAlignment="1">
      <alignment vertical="top"/>
    </xf>
    <xf numFmtId="0" fontId="6" fillId="0" borderId="5" xfId="0" applyFont="1" applyBorder="1" applyAlignment="1">
      <alignment horizontal="left" vertical="top"/>
    </xf>
    <xf numFmtId="164" fontId="6" fillId="0" borderId="0" xfId="0" applyNumberFormat="1" applyFont="1" applyAlignment="1">
      <alignment horizontal="center"/>
    </xf>
    <xf numFmtId="0" fontId="38" fillId="0" borderId="0" xfId="0" applyFont="1"/>
    <xf numFmtId="0" fontId="37" fillId="0" borderId="0" xfId="0" applyFont="1"/>
    <xf numFmtId="0" fontId="39" fillId="0" borderId="0" xfId="0" applyFont="1"/>
    <xf numFmtId="164" fontId="0" fillId="0" borderId="0" xfId="0" applyNumberFormat="1" applyAlignment="1">
      <alignment horizontal="left"/>
    </xf>
    <xf numFmtId="0" fontId="0" fillId="6" borderId="0" xfId="0" applyFill="1" applyAlignment="1">
      <alignment horizontal="left" vertical="center"/>
    </xf>
    <xf numFmtId="17" fontId="17" fillId="0" borderId="0" xfId="0" applyNumberFormat="1" applyFont="1" applyAlignment="1">
      <alignment vertical="top"/>
    </xf>
    <xf numFmtId="0" fontId="17" fillId="0" borderId="0" xfId="0" applyFont="1" applyAlignment="1">
      <alignment horizontal="left" vertical="center"/>
    </xf>
    <xf numFmtId="0" fontId="17" fillId="0" borderId="0" xfId="0" applyFont="1" applyAlignment="1">
      <alignment horizontal="center" vertical="center"/>
    </xf>
    <xf numFmtId="22" fontId="17" fillId="0" borderId="0" xfId="0" applyNumberFormat="1" applyFont="1" applyAlignment="1">
      <alignment horizontal="center"/>
    </xf>
    <xf numFmtId="22" fontId="17" fillId="0" borderId="0" xfId="0" applyNumberFormat="1" applyFont="1"/>
    <xf numFmtId="0" fontId="17" fillId="0" borderId="11" xfId="0" applyFont="1" applyBorder="1"/>
    <xf numFmtId="0" fontId="6" fillId="0" borderId="12" xfId="0" applyFont="1" applyBorder="1" applyAlignment="1">
      <alignment horizontal="center" vertical="center"/>
    </xf>
    <xf numFmtId="0" fontId="6" fillId="0" borderId="11" xfId="0" applyFont="1" applyBorder="1" applyAlignment="1">
      <alignment horizontal="left" vertical="center"/>
    </xf>
    <xf numFmtId="22" fontId="6" fillId="0" borderId="12" xfId="0" applyNumberFormat="1" applyFont="1" applyBorder="1" applyAlignment="1">
      <alignment horizontal="center" vertical="center"/>
    </xf>
    <xf numFmtId="0" fontId="6" fillId="0" borderId="12" xfId="0" applyFont="1" applyBorder="1" applyAlignment="1">
      <alignment horizontal="left" vertical="center"/>
    </xf>
    <xf numFmtId="22" fontId="6" fillId="0" borderId="12" xfId="0" applyNumberFormat="1" applyFont="1" applyBorder="1" applyAlignment="1">
      <alignment horizontal="right" vertical="center"/>
    </xf>
    <xf numFmtId="0" fontId="6" fillId="0" borderId="5" xfId="0" applyFont="1" applyBorder="1" applyAlignment="1">
      <alignment horizontal="left" vertical="top" wrapText="1"/>
    </xf>
    <xf numFmtId="0" fontId="5" fillId="14" borderId="0" xfId="0" applyFont="1" applyFill="1" applyAlignment="1">
      <alignment horizontal="left" vertical="center" wrapText="1"/>
    </xf>
    <xf numFmtId="0" fontId="10" fillId="8" borderId="5" xfId="0" applyFont="1" applyFill="1" applyBorder="1" applyAlignment="1">
      <alignment horizontal="left"/>
    </xf>
    <xf numFmtId="0" fontId="10" fillId="7" borderId="5" xfId="0" applyFont="1" applyFill="1" applyBorder="1" applyAlignment="1">
      <alignment horizontal="left"/>
    </xf>
    <xf numFmtId="0" fontId="10" fillId="10" borderId="5" xfId="0" applyFont="1" applyFill="1" applyBorder="1" applyAlignment="1">
      <alignment horizontal="left"/>
    </xf>
    <xf numFmtId="0" fontId="0" fillId="0" borderId="5" xfId="0" applyBorder="1" applyAlignment="1">
      <alignment horizontal="left" wrapText="1"/>
    </xf>
    <xf numFmtId="0" fontId="17" fillId="0" borderId="3" xfId="0" applyFont="1" applyBorder="1" applyAlignment="1">
      <alignment horizontal="left"/>
    </xf>
    <xf numFmtId="0" fontId="0" fillId="13" borderId="5" xfId="0" applyFill="1" applyBorder="1" applyAlignment="1">
      <alignment horizontal="left"/>
    </xf>
    <xf numFmtId="0" fontId="0" fillId="0" borderId="6" xfId="0" applyBorder="1" applyAlignment="1">
      <alignment horizontal="left"/>
    </xf>
    <xf numFmtId="0" fontId="17" fillId="0" borderId="0" xfId="0" applyFont="1" applyAlignment="1">
      <alignment horizontal="left"/>
    </xf>
    <xf numFmtId="0" fontId="6" fillId="0" borderId="5" xfId="0" applyFont="1" applyBorder="1" applyAlignment="1">
      <alignment horizontal="left"/>
    </xf>
    <xf numFmtId="0" fontId="40" fillId="0" borderId="0" xfId="0" applyFont="1"/>
    <xf numFmtId="0" fontId="22" fillId="15" borderId="0" xfId="0" applyFont="1" applyFill="1" applyAlignment="1">
      <alignment horizontal="left" vertical="center"/>
    </xf>
    <xf numFmtId="0" fontId="0" fillId="15" borderId="5" xfId="0" applyFill="1" applyBorder="1" applyAlignment="1">
      <alignment horizontal="left" vertical="center"/>
    </xf>
    <xf numFmtId="0" fontId="10" fillId="10" borderId="0" xfId="1" applyFont="1" applyFill="1" applyAlignment="1">
      <alignment horizontal="left" vertical="center"/>
    </xf>
    <xf numFmtId="0" fontId="0" fillId="9" borderId="5" xfId="0" applyFill="1" applyBorder="1" applyAlignment="1">
      <alignment horizontal="left"/>
    </xf>
    <xf numFmtId="0" fontId="0" fillId="8" borderId="5" xfId="0" applyFill="1" applyBorder="1" applyAlignment="1">
      <alignment horizontal="left"/>
    </xf>
    <xf numFmtId="0" fontId="6" fillId="0" borderId="3" xfId="0" applyFont="1" applyBorder="1" applyAlignment="1">
      <alignment horizontal="left"/>
    </xf>
    <xf numFmtId="0" fontId="22" fillId="7" borderId="0" xfId="0" applyFont="1" applyFill="1" applyAlignment="1">
      <alignment horizontal="left"/>
    </xf>
    <xf numFmtId="0" fontId="42" fillId="0" borderId="0" xfId="0" applyFont="1"/>
    <xf numFmtId="0" fontId="10" fillId="0" borderId="0" xfId="0" applyFont="1" applyAlignment="1">
      <alignment horizontal="left" vertical="center"/>
    </xf>
    <xf numFmtId="0" fontId="0" fillId="7" borderId="5" xfId="0" applyFill="1" applyBorder="1" applyAlignment="1">
      <alignment horizontal="left" vertical="top"/>
    </xf>
    <xf numFmtId="0" fontId="0" fillId="0" borderId="0" xfId="0" applyAlignment="1">
      <alignment horizontal="center" wrapText="1"/>
    </xf>
    <xf numFmtId="0" fontId="0" fillId="7" borderId="0" xfId="0" applyFill="1" applyAlignment="1">
      <alignment vertical="top"/>
    </xf>
    <xf numFmtId="22" fontId="0" fillId="7" borderId="0" xfId="0" applyNumberFormat="1" applyFill="1" applyAlignment="1">
      <alignment horizontal="center"/>
    </xf>
    <xf numFmtId="0" fontId="0" fillId="7" borderId="0" xfId="0" applyFill="1" applyAlignment="1">
      <alignment horizontal="left" vertical="top"/>
    </xf>
    <xf numFmtId="164" fontId="0" fillId="7" borderId="0" xfId="0" applyNumberFormat="1" applyFill="1" applyAlignment="1">
      <alignment horizontal="center" vertical="center"/>
    </xf>
    <xf numFmtId="17" fontId="22" fillId="7" borderId="0" xfId="0" applyNumberFormat="1" applyFont="1" applyFill="1" applyAlignment="1">
      <alignment vertical="top"/>
    </xf>
    <xf numFmtId="17" fontId="0" fillId="7" borderId="5" xfId="0" applyNumberFormat="1" applyFill="1" applyBorder="1" applyAlignment="1">
      <alignment vertical="top"/>
    </xf>
    <xf numFmtId="164" fontId="0" fillId="0" borderId="0" xfId="0" applyNumberFormat="1"/>
    <xf numFmtId="0" fontId="45" fillId="0" borderId="0" xfId="0" applyFont="1"/>
    <xf numFmtId="0" fontId="45" fillId="0" borderId="0" xfId="0" applyFont="1" applyAlignment="1">
      <alignment vertical="center"/>
    </xf>
    <xf numFmtId="0" fontId="48" fillId="0" borderId="0" xfId="0" applyFont="1"/>
    <xf numFmtId="0" fontId="49" fillId="0" borderId="0" xfId="0" applyFont="1"/>
    <xf numFmtId="22" fontId="17" fillId="0" borderId="14" xfId="0" applyNumberFormat="1" applyFont="1" applyBorder="1"/>
    <xf numFmtId="0" fontId="50" fillId="0" borderId="0" xfId="0" applyFont="1"/>
    <xf numFmtId="22" fontId="0" fillId="6" borderId="0" xfId="0" applyNumberFormat="1" applyFill="1"/>
    <xf numFmtId="0" fontId="52" fillId="0" borderId="15" xfId="0" applyFont="1" applyBorder="1"/>
    <xf numFmtId="0" fontId="39" fillId="0" borderId="5" xfId="0" applyFont="1" applyBorder="1" applyAlignment="1">
      <alignment horizontal="left"/>
    </xf>
    <xf numFmtId="0" fontId="43" fillId="0" borderId="5" xfId="0" applyFont="1" applyBorder="1" applyAlignment="1">
      <alignment horizontal="left" vertical="top"/>
    </xf>
    <xf numFmtId="22" fontId="0" fillId="4" borderId="5" xfId="0" applyNumberFormat="1" applyFill="1" applyBorder="1" applyAlignment="1">
      <alignment horizontal="center"/>
    </xf>
    <xf numFmtId="22" fontId="0" fillId="4" borderId="0" xfId="0" applyNumberFormat="1" applyFill="1"/>
    <xf numFmtId="22" fontId="0" fillId="7" borderId="0" xfId="0" applyNumberFormat="1" applyFill="1"/>
    <xf numFmtId="164" fontId="0" fillId="0" borderId="5" xfId="0" applyNumberFormat="1" applyBorder="1" applyAlignment="1">
      <alignment horizontal="left" vertical="top"/>
    </xf>
    <xf numFmtId="164" fontId="0" fillId="0" borderId="0" xfId="0" applyNumberFormat="1" applyAlignment="1">
      <alignment horizontal="left" vertical="top"/>
    </xf>
    <xf numFmtId="164" fontId="0" fillId="0" borderId="0" xfId="0" applyNumberFormat="1" applyAlignment="1">
      <alignment horizontal="left" vertical="top" wrapText="1"/>
    </xf>
    <xf numFmtId="17" fontId="0" fillId="7" borderId="0" xfId="0" applyNumberFormat="1" applyFill="1" applyAlignment="1">
      <alignment vertical="top"/>
    </xf>
    <xf numFmtId="0" fontId="38" fillId="0" borderId="5" xfId="0" applyFont="1" applyBorder="1" applyAlignment="1">
      <alignment horizontal="left" vertical="center"/>
    </xf>
    <xf numFmtId="0" fontId="44" fillId="0" borderId="5" xfId="0" applyFont="1" applyBorder="1" applyAlignment="1">
      <alignment horizontal="left" vertical="center"/>
    </xf>
    <xf numFmtId="14" fontId="10" fillId="0" borderId="5" xfId="0" applyNumberFormat="1" applyFont="1" applyBorder="1"/>
    <xf numFmtId="0" fontId="27" fillId="0" borderId="5" xfId="0" applyFont="1" applyBorder="1"/>
    <xf numFmtId="0" fontId="54" fillId="0" borderId="0" xfId="0" applyFont="1"/>
    <xf numFmtId="0" fontId="0" fillId="10" borderId="0" xfId="0" applyFill="1" applyAlignment="1">
      <alignment horizontal="left"/>
    </xf>
    <xf numFmtId="164" fontId="0" fillId="10" borderId="0" xfId="0" applyNumberFormat="1" applyFill="1" applyAlignment="1">
      <alignment horizontal="center" vertical="center"/>
    </xf>
    <xf numFmtId="0" fontId="0" fillId="10" borderId="0" xfId="0" applyFill="1" applyAlignment="1">
      <alignment horizontal="left" vertical="top"/>
    </xf>
    <xf numFmtId="0" fontId="0" fillId="10" borderId="5" xfId="0" applyFill="1" applyBorder="1" applyAlignment="1">
      <alignment horizontal="left" vertical="top"/>
    </xf>
    <xf numFmtId="0" fontId="14" fillId="0" borderId="5" xfId="0" applyFont="1" applyBorder="1" applyAlignment="1">
      <alignment horizontal="left" vertical="top"/>
    </xf>
    <xf numFmtId="0" fontId="25" fillId="0" borderId="5" xfId="0" applyFont="1" applyBorder="1" applyAlignment="1">
      <alignment horizontal="left" vertical="top"/>
    </xf>
    <xf numFmtId="0" fontId="12" fillId="7" borderId="5" xfId="0" applyFont="1" applyFill="1" applyBorder="1" applyAlignment="1">
      <alignment horizontal="left" vertical="top"/>
    </xf>
    <xf numFmtId="0" fontId="0" fillId="0" borderId="8" xfId="0" applyBorder="1" applyAlignment="1">
      <alignment horizontal="left" vertical="top"/>
    </xf>
    <xf numFmtId="22" fontId="0" fillId="0" borderId="5" xfId="0" applyNumberFormat="1" applyBorder="1" applyAlignment="1">
      <alignment horizontal="left" vertical="top"/>
    </xf>
    <xf numFmtId="0" fontId="13" fillId="0" borderId="5" xfId="0" applyFont="1" applyBorder="1" applyAlignment="1">
      <alignment horizontal="left" vertical="top"/>
    </xf>
    <xf numFmtId="0" fontId="17" fillId="0" borderId="3" xfId="0" applyFont="1" applyBorder="1" applyAlignment="1">
      <alignment horizontal="left" vertical="top"/>
    </xf>
    <xf numFmtId="0" fontId="6" fillId="0" borderId="3" xfId="0" applyFont="1" applyBorder="1" applyAlignment="1">
      <alignment horizontal="left" vertical="top"/>
    </xf>
    <xf numFmtId="0" fontId="0" fillId="0" borderId="3" xfId="0" applyBorder="1" applyAlignment="1">
      <alignment horizontal="left" vertical="top"/>
    </xf>
    <xf numFmtId="0" fontId="17" fillId="0" borderId="0" xfId="0" applyFont="1" applyAlignment="1">
      <alignment horizontal="left" vertical="top"/>
    </xf>
    <xf numFmtId="0" fontId="6" fillId="0" borderId="11" xfId="0" applyFont="1" applyBorder="1" applyAlignment="1">
      <alignment horizontal="left" vertical="top"/>
    </xf>
    <xf numFmtId="0" fontId="12" fillId="0" borderId="0" xfId="0" applyFont="1" applyAlignment="1">
      <alignment horizontal="left" vertical="top"/>
    </xf>
    <xf numFmtId="0" fontId="37" fillId="0" borderId="0" xfId="0" applyFont="1" applyAlignment="1">
      <alignment horizontal="left" vertical="top"/>
    </xf>
    <xf numFmtId="0" fontId="35" fillId="0" borderId="0" xfId="0" applyFont="1" applyAlignment="1">
      <alignment horizontal="left" vertical="top"/>
    </xf>
    <xf numFmtId="0" fontId="10" fillId="0" borderId="0" xfId="1" applyFont="1" applyFill="1" applyAlignment="1">
      <alignment horizontal="left" vertical="top"/>
    </xf>
    <xf numFmtId="0" fontId="51" fillId="0" borderId="0" xfId="0" applyFont="1" applyAlignment="1">
      <alignment horizontal="left" vertical="top"/>
    </xf>
    <xf numFmtId="0" fontId="43" fillId="0" borderId="0" xfId="0" applyFont="1" applyAlignment="1">
      <alignment horizontal="left" vertical="top"/>
    </xf>
    <xf numFmtId="0" fontId="53" fillId="0" borderId="0" xfId="0" applyFont="1" applyAlignment="1">
      <alignment horizontal="left" vertical="top"/>
    </xf>
    <xf numFmtId="22" fontId="0" fillId="0" borderId="0" xfId="0" applyNumberFormat="1" applyAlignment="1">
      <alignment horizontal="left" vertical="top"/>
    </xf>
    <xf numFmtId="0" fontId="17" fillId="0" borderId="3" xfId="0" applyFont="1" applyBorder="1" applyAlignment="1">
      <alignment horizontal="left" vertical="top" wrapText="1"/>
    </xf>
    <xf numFmtId="0" fontId="6" fillId="0" borderId="12" xfId="0" applyFont="1" applyBorder="1" applyAlignment="1">
      <alignment horizontal="left" vertical="top"/>
    </xf>
    <xf numFmtId="0" fontId="44" fillId="0" borderId="0" xfId="0" applyFont="1" applyAlignment="1">
      <alignment horizontal="left" vertical="top"/>
    </xf>
    <xf numFmtId="0" fontId="41" fillId="0" borderId="0" xfId="1"/>
    <xf numFmtId="0" fontId="43" fillId="0" borderId="0" xfId="0" applyFont="1" applyAlignment="1">
      <alignment horizontal="left"/>
    </xf>
    <xf numFmtId="0" fontId="54" fillId="0" borderId="0" xfId="0" applyFont="1" applyAlignment="1">
      <alignment horizontal="left"/>
    </xf>
    <xf numFmtId="22" fontId="0" fillId="0" borderId="5" xfId="0" applyNumberFormat="1" applyBorder="1" applyAlignment="1">
      <alignment horizontal="right"/>
    </xf>
    <xf numFmtId="22" fontId="0" fillId="0" borderId="0" xfId="0" applyNumberFormat="1" applyAlignment="1">
      <alignment horizontal="left"/>
    </xf>
    <xf numFmtId="0" fontId="43" fillId="0" borderId="0" xfId="0" applyFont="1"/>
    <xf numFmtId="0" fontId="55" fillId="0" borderId="0" xfId="0" applyFont="1"/>
    <xf numFmtId="0" fontId="56" fillId="0" borderId="0" xfId="0" applyFont="1"/>
    <xf numFmtId="0" fontId="0" fillId="7" borderId="0" xfId="0" applyFill="1" applyAlignment="1">
      <alignment wrapText="1"/>
    </xf>
    <xf numFmtId="164" fontId="0" fillId="7" borderId="5" xfId="0" applyNumberFormat="1" applyFill="1" applyBorder="1" applyAlignment="1">
      <alignment horizontal="left"/>
    </xf>
    <xf numFmtId="0" fontId="0" fillId="4" borderId="0" xfId="0" applyFill="1" applyAlignment="1">
      <alignment horizontal="left" vertical="top" wrapText="1"/>
    </xf>
    <xf numFmtId="0" fontId="0" fillId="4" borderId="0" xfId="0" applyFill="1" applyAlignment="1">
      <alignment vertical="top"/>
    </xf>
    <xf numFmtId="0" fontId="0" fillId="4" borderId="0" xfId="0" applyFill="1" applyAlignment="1">
      <alignment horizontal="center"/>
    </xf>
    <xf numFmtId="22" fontId="0" fillId="4" borderId="0" xfId="0" applyNumberFormat="1" applyFill="1" applyAlignment="1">
      <alignment horizontal="center"/>
    </xf>
    <xf numFmtId="164" fontId="0" fillId="4" borderId="0" xfId="0" applyNumberFormat="1" applyFill="1" applyAlignment="1">
      <alignment horizontal="center" vertical="center"/>
    </xf>
    <xf numFmtId="0" fontId="57" fillId="0" borderId="0" xfId="0" applyFont="1"/>
    <xf numFmtId="17" fontId="43" fillId="0" borderId="0" xfId="0" applyNumberFormat="1" applyFont="1" applyAlignment="1">
      <alignment horizontal="center" vertical="center"/>
    </xf>
    <xf numFmtId="0" fontId="37" fillId="0" borderId="5" xfId="0" applyFont="1" applyBorder="1" applyAlignment="1">
      <alignment horizontal="left" vertical="center"/>
    </xf>
    <xf numFmtId="0" fontId="37" fillId="0" borderId="0" xfId="0" applyFont="1" applyAlignment="1">
      <alignment horizontal="left" vertical="center"/>
    </xf>
    <xf numFmtId="0" fontId="0" fillId="0" borderId="0" xfId="1" quotePrefix="1" applyFont="1" applyFill="1"/>
    <xf numFmtId="0" fontId="19" fillId="0" borderId="0" xfId="0" applyFont="1" applyAlignment="1">
      <alignment horizontal="left" vertical="center"/>
    </xf>
    <xf numFmtId="164" fontId="22" fillId="0" borderId="0" xfId="0" applyNumberFormat="1" applyFont="1" applyAlignment="1">
      <alignment horizontal="left"/>
    </xf>
    <xf numFmtId="164" fontId="22" fillId="0" borderId="5" xfId="0" applyNumberFormat="1" applyFont="1" applyBorder="1" applyAlignment="1">
      <alignment horizontal="left"/>
    </xf>
    <xf numFmtId="0" fontId="0" fillId="0" borderId="2" xfId="0" applyBorder="1"/>
    <xf numFmtId="0" fontId="0" fillId="0" borderId="2" xfId="0" applyBorder="1" applyAlignment="1">
      <alignment horizontal="center"/>
    </xf>
    <xf numFmtId="0" fontId="0" fillId="0" borderId="16" xfId="0" applyBorder="1" applyAlignment="1">
      <alignment horizontal="center"/>
    </xf>
    <xf numFmtId="0" fontId="0" fillId="0" borderId="2" xfId="0" applyBorder="1" applyAlignment="1">
      <alignment horizontal="left"/>
    </xf>
    <xf numFmtId="164" fontId="0" fillId="0" borderId="16" xfId="0" applyNumberFormat="1" applyBorder="1" applyAlignment="1">
      <alignment horizontal="center"/>
    </xf>
    <xf numFmtId="0" fontId="22" fillId="0" borderId="0" xfId="0" applyFont="1" applyAlignment="1">
      <alignment horizontal="center"/>
    </xf>
    <xf numFmtId="0" fontId="10" fillId="0" borderId="0" xfId="0" applyFont="1" applyAlignment="1">
      <alignment horizontal="center"/>
    </xf>
    <xf numFmtId="0" fontId="9" fillId="0" borderId="0" xfId="0" applyFont="1" applyAlignment="1">
      <alignment vertical="center"/>
    </xf>
    <xf numFmtId="0" fontId="58" fillId="0" borderId="0" xfId="0" applyFont="1" applyAlignment="1">
      <alignment vertical="center" wrapText="1"/>
    </xf>
    <xf numFmtId="0" fontId="59" fillId="0" borderId="0" xfId="0" applyFont="1" applyAlignment="1">
      <alignment vertical="center" wrapText="1"/>
    </xf>
    <xf numFmtId="0" fontId="60" fillId="0" borderId="0" xfId="0" applyFont="1" applyAlignment="1">
      <alignment vertical="center"/>
    </xf>
    <xf numFmtId="0" fontId="61" fillId="0" borderId="0" xfId="0" applyFont="1" applyAlignment="1">
      <alignment vertical="center" wrapText="1"/>
    </xf>
    <xf numFmtId="0" fontId="0" fillId="0" borderId="0" xfId="0" applyAlignment="1">
      <alignment vertical="center"/>
    </xf>
    <xf numFmtId="0" fontId="62" fillId="0" borderId="0" xfId="0" applyFont="1" applyAlignment="1">
      <alignment vertical="center"/>
    </xf>
    <xf numFmtId="0" fontId="63" fillId="0" borderId="0" xfId="0" applyFont="1" applyAlignment="1">
      <alignment vertical="center" wrapText="1"/>
    </xf>
    <xf numFmtId="0" fontId="64" fillId="0" borderId="0" xfId="0" applyFont="1" applyAlignment="1">
      <alignment vertical="center"/>
    </xf>
    <xf numFmtId="0" fontId="65" fillId="0" borderId="0" xfId="0" applyFont="1" applyAlignment="1">
      <alignment vertical="center"/>
    </xf>
    <xf numFmtId="0" fontId="0" fillId="4" borderId="5" xfId="0" applyFill="1" applyBorder="1" applyAlignment="1">
      <alignment vertical="top"/>
    </xf>
    <xf numFmtId="0" fontId="0" fillId="4" borderId="0" xfId="0" applyFill="1" applyAlignment="1">
      <alignment wrapText="1"/>
    </xf>
    <xf numFmtId="0" fontId="37" fillId="6" borderId="0" xfId="0" applyFont="1" applyFill="1"/>
    <xf numFmtId="0" fontId="44" fillId="0" borderId="0" xfId="0" applyFont="1"/>
    <xf numFmtId="0" fontId="0" fillId="10" borderId="0" xfId="0" applyFill="1" applyAlignment="1">
      <alignment vertical="top"/>
    </xf>
    <xf numFmtId="0" fontId="0" fillId="10" borderId="0" xfId="0" applyFill="1" applyAlignment="1">
      <alignment horizontal="center"/>
    </xf>
    <xf numFmtId="164" fontId="0" fillId="10" borderId="0" xfId="0" applyNumberFormat="1" applyFill="1" applyAlignment="1">
      <alignment horizontal="center"/>
    </xf>
    <xf numFmtId="22" fontId="0" fillId="10" borderId="0" xfId="0" applyNumberFormat="1" applyFill="1" applyAlignment="1">
      <alignment horizontal="center"/>
    </xf>
    <xf numFmtId="164" fontId="0" fillId="10" borderId="0" xfId="0" applyNumberFormat="1" applyFill="1" applyAlignment="1">
      <alignment horizontal="left"/>
    </xf>
    <xf numFmtId="0" fontId="43" fillId="4" borderId="0" xfId="0" applyFont="1" applyFill="1"/>
    <xf numFmtId="164" fontId="0" fillId="4" borderId="5" xfId="0" applyNumberFormat="1" applyFill="1" applyBorder="1" applyAlignment="1">
      <alignment horizontal="left" vertical="top"/>
    </xf>
    <xf numFmtId="164" fontId="0" fillId="4" borderId="0" xfId="0" applyNumberFormat="1" applyFill="1" applyAlignment="1">
      <alignment horizontal="left" vertical="top"/>
    </xf>
    <xf numFmtId="0" fontId="53" fillId="0" borderId="0" xfId="0" applyFont="1"/>
    <xf numFmtId="0" fontId="0" fillId="11" borderId="0" xfId="0" applyFill="1"/>
    <xf numFmtId="0" fontId="0" fillId="11" borderId="0" xfId="0" applyFill="1" applyAlignment="1">
      <alignment vertical="top"/>
    </xf>
    <xf numFmtId="0" fontId="0" fillId="11" borderId="0" xfId="0" applyFill="1" applyAlignment="1">
      <alignment horizontal="left" vertical="center"/>
    </xf>
    <xf numFmtId="0" fontId="0" fillId="11" borderId="0" xfId="0" applyFill="1" applyAlignment="1">
      <alignment horizontal="center"/>
    </xf>
    <xf numFmtId="0" fontId="0" fillId="11" borderId="0" xfId="0" applyFill="1" applyAlignment="1">
      <alignment horizontal="left"/>
    </xf>
    <xf numFmtId="164" fontId="0" fillId="11" borderId="0" xfId="0" applyNumberFormat="1" applyFill="1" applyAlignment="1">
      <alignment horizontal="center"/>
    </xf>
    <xf numFmtId="0" fontId="0" fillId="11" borderId="0" xfId="0" applyFill="1" applyAlignment="1">
      <alignment horizontal="left" vertical="top"/>
    </xf>
    <xf numFmtId="0" fontId="0" fillId="11" borderId="5" xfId="0" applyFill="1" applyBorder="1" applyAlignment="1">
      <alignment horizontal="left"/>
    </xf>
    <xf numFmtId="0" fontId="0" fillId="11" borderId="5" xfId="0" applyFill="1" applyBorder="1" applyAlignment="1">
      <alignment vertical="top"/>
    </xf>
    <xf numFmtId="0" fontId="0" fillId="11" borderId="5" xfId="0" applyFill="1" applyBorder="1" applyAlignment="1">
      <alignment horizontal="left" vertical="center"/>
    </xf>
    <xf numFmtId="164" fontId="0" fillId="11" borderId="5" xfId="0" applyNumberFormat="1" applyFill="1" applyBorder="1" applyAlignment="1">
      <alignment horizontal="center"/>
    </xf>
    <xf numFmtId="0" fontId="0" fillId="11" borderId="5" xfId="0" applyFill="1" applyBorder="1" applyAlignment="1">
      <alignment horizontal="left" vertical="top"/>
    </xf>
    <xf numFmtId="0" fontId="10" fillId="16" borderId="5" xfId="0" applyFont="1" applyFill="1" applyBorder="1"/>
    <xf numFmtId="0" fontId="0" fillId="16" borderId="0" xfId="0" applyFill="1"/>
    <xf numFmtId="0" fontId="0" fillId="16" borderId="0" xfId="0" applyFill="1" applyAlignment="1">
      <alignment vertical="top"/>
    </xf>
    <xf numFmtId="0" fontId="0" fillId="16" borderId="0" xfId="0" applyFill="1" applyAlignment="1">
      <alignment horizontal="left" vertical="center"/>
    </xf>
    <xf numFmtId="0" fontId="0" fillId="16" borderId="0" xfId="0" applyFill="1" applyAlignment="1">
      <alignment horizontal="center"/>
    </xf>
    <xf numFmtId="0" fontId="0" fillId="16" borderId="0" xfId="0" applyFill="1" applyAlignment="1">
      <alignment horizontal="left"/>
    </xf>
    <xf numFmtId="164" fontId="0" fillId="16" borderId="5" xfId="0" applyNumberFormat="1" applyFill="1" applyBorder="1" applyAlignment="1">
      <alignment horizontal="center"/>
    </xf>
    <xf numFmtId="164" fontId="0" fillId="16" borderId="0" xfId="0" applyNumberFormat="1" applyFill="1" applyAlignment="1">
      <alignment horizontal="center"/>
    </xf>
    <xf numFmtId="0" fontId="0" fillId="16" borderId="5" xfId="0" applyFill="1" applyBorder="1" applyAlignment="1">
      <alignment horizontal="left"/>
    </xf>
    <xf numFmtId="0" fontId="0" fillId="16" borderId="0" xfId="0" applyFill="1" applyAlignment="1">
      <alignment horizontal="left" vertical="top"/>
    </xf>
    <xf numFmtId="0" fontId="0" fillId="16" borderId="5" xfId="0" applyFill="1" applyBorder="1" applyAlignment="1">
      <alignment horizontal="left" vertical="top"/>
    </xf>
    <xf numFmtId="164" fontId="22" fillId="16" borderId="0" xfId="0" applyNumberFormat="1" applyFont="1" applyFill="1" applyAlignment="1">
      <alignment horizontal="center"/>
    </xf>
    <xf numFmtId="0" fontId="0" fillId="16" borderId="0" xfId="0" applyFill="1" applyAlignment="1">
      <alignment horizontal="left" vertical="top" wrapText="1"/>
    </xf>
    <xf numFmtId="17" fontId="10" fillId="16" borderId="5" xfId="0" applyNumberFormat="1" applyFont="1" applyFill="1" applyBorder="1" applyAlignment="1">
      <alignment horizontal="right" vertical="center"/>
    </xf>
    <xf numFmtId="0" fontId="10" fillId="16" borderId="5" xfId="0" applyFont="1" applyFill="1" applyBorder="1" applyAlignment="1">
      <alignment horizontal="left" vertical="center"/>
    </xf>
    <xf numFmtId="0" fontId="0" fillId="16" borderId="5" xfId="0" applyFill="1" applyBorder="1" applyAlignment="1">
      <alignment horizontal="center"/>
    </xf>
    <xf numFmtId="0" fontId="0" fillId="16" borderId="5" xfId="0" applyFill="1" applyBorder="1"/>
    <xf numFmtId="0" fontId="10" fillId="16" borderId="5" xfId="0" applyFont="1" applyFill="1" applyBorder="1" applyAlignment="1">
      <alignment horizontal="left"/>
    </xf>
    <xf numFmtId="164" fontId="10" fillId="16" borderId="5" xfId="0" applyNumberFormat="1" applyFont="1" applyFill="1" applyBorder="1" applyAlignment="1">
      <alignment horizontal="center"/>
    </xf>
    <xf numFmtId="0" fontId="10" fillId="16" borderId="5" xfId="0" applyFont="1" applyFill="1" applyBorder="1" applyAlignment="1">
      <alignment horizontal="left" vertical="top"/>
    </xf>
    <xf numFmtId="0" fontId="10" fillId="16" borderId="7" xfId="0" applyFont="1" applyFill="1" applyBorder="1"/>
    <xf numFmtId="0" fontId="10" fillId="16" borderId="0" xfId="0" applyFont="1" applyFill="1"/>
    <xf numFmtId="0" fontId="10" fillId="16" borderId="5" xfId="0" applyFont="1" applyFill="1" applyBorder="1" applyAlignment="1">
      <alignment horizontal="center"/>
    </xf>
    <xf numFmtId="22" fontId="10" fillId="16" borderId="5" xfId="0" applyNumberFormat="1" applyFont="1" applyFill="1" applyBorder="1" applyAlignment="1">
      <alignment horizontal="center"/>
    </xf>
    <xf numFmtId="22" fontId="10" fillId="16" borderId="5" xfId="0" applyNumberFormat="1" applyFont="1" applyFill="1" applyBorder="1"/>
    <xf numFmtId="22" fontId="10" fillId="16" borderId="5" xfId="0" applyNumberFormat="1" applyFont="1" applyFill="1" applyBorder="1" applyAlignment="1">
      <alignment horizontal="center" vertical="center"/>
    </xf>
    <xf numFmtId="0" fontId="16" fillId="16" borderId="5" xfId="0" applyFont="1" applyFill="1" applyBorder="1" applyAlignment="1">
      <alignment horizontal="left" vertical="top"/>
    </xf>
    <xf numFmtId="0" fontId="10" fillId="16" borderId="5" xfId="0" applyFont="1" applyFill="1" applyBorder="1" applyAlignment="1">
      <alignment horizontal="center" wrapText="1"/>
    </xf>
    <xf numFmtId="0" fontId="6" fillId="16" borderId="5" xfId="0" applyFont="1" applyFill="1" applyBorder="1"/>
    <xf numFmtId="0" fontId="9" fillId="16" borderId="5" xfId="0" applyFont="1" applyFill="1" applyBorder="1"/>
    <xf numFmtId="0" fontId="29" fillId="16" borderId="5" xfId="0" applyFont="1" applyFill="1" applyBorder="1"/>
    <xf numFmtId="17" fontId="28" fillId="16" borderId="5" xfId="0" applyNumberFormat="1" applyFont="1" applyFill="1" applyBorder="1" applyAlignment="1">
      <alignment horizontal="right" vertical="center"/>
    </xf>
    <xf numFmtId="22" fontId="0" fillId="16" borderId="5" xfId="0" applyNumberFormat="1" applyFill="1" applyBorder="1" applyAlignment="1">
      <alignment horizontal="center"/>
    </xf>
    <xf numFmtId="22" fontId="0" fillId="16" borderId="5" xfId="0" applyNumberFormat="1" applyFill="1" applyBorder="1"/>
    <xf numFmtId="0" fontId="12" fillId="16" borderId="5" xfId="0" applyFont="1" applyFill="1" applyBorder="1" applyAlignment="1">
      <alignment horizontal="left" vertical="top"/>
    </xf>
    <xf numFmtId="17" fontId="0" fillId="16" borderId="5" xfId="0" applyNumberFormat="1" applyFill="1" applyBorder="1" applyAlignment="1">
      <alignment horizontal="right" vertical="center"/>
    </xf>
    <xf numFmtId="0" fontId="0" fillId="16" borderId="5" xfId="0" applyFill="1" applyBorder="1" applyAlignment="1">
      <alignment horizontal="left" vertical="center"/>
    </xf>
    <xf numFmtId="164" fontId="0" fillId="16" borderId="5" xfId="0" applyNumberFormat="1" applyFill="1" applyBorder="1" applyAlignment="1">
      <alignment horizontal="center" vertical="center"/>
    </xf>
    <xf numFmtId="17" fontId="0" fillId="16" borderId="5" xfId="0" applyNumberFormat="1" applyFill="1" applyBorder="1" applyAlignment="1">
      <alignment vertical="top"/>
    </xf>
    <xf numFmtId="0" fontId="0" fillId="16" borderId="8" xfId="0" applyFill="1" applyBorder="1"/>
    <xf numFmtId="22" fontId="0" fillId="16" borderId="5" xfId="0" applyNumberFormat="1" applyFill="1" applyBorder="1" applyAlignment="1">
      <alignment horizontal="center" vertical="center"/>
    </xf>
    <xf numFmtId="0" fontId="0" fillId="16" borderId="5" xfId="0" applyFill="1" applyBorder="1" applyAlignment="1">
      <alignment horizontal="left" vertical="top" wrapText="1"/>
    </xf>
    <xf numFmtId="0" fontId="0" fillId="16" borderId="7" xfId="0" applyFill="1" applyBorder="1"/>
    <xf numFmtId="0" fontId="13" fillId="16" borderId="5" xfId="0" applyFont="1" applyFill="1" applyBorder="1"/>
    <xf numFmtId="0" fontId="66" fillId="0" borderId="5" xfId="0" applyFont="1" applyBorder="1" applyAlignment="1">
      <alignment horizontal="left" vertical="center"/>
    </xf>
    <xf numFmtId="0" fontId="0" fillId="0" borderId="0" xfId="0" applyAlignment="1">
      <alignment horizontal="center" vertical="center"/>
    </xf>
    <xf numFmtId="0" fontId="19" fillId="6" borderId="5" xfId="0" applyFont="1" applyFill="1" applyBorder="1" applyAlignment="1">
      <alignment horizontal="center"/>
    </xf>
    <xf numFmtId="0" fontId="0" fillId="6" borderId="5" xfId="0" applyFill="1" applyBorder="1" applyAlignment="1">
      <alignment horizontal="center"/>
    </xf>
  </cellXfs>
  <cellStyles count="2">
    <cellStyle name="Hyperlink" xfId="1" builtinId="8"/>
    <cellStyle name="Normal" xfId="0" builtinId="0"/>
  </cellStyles>
  <dxfs count="113">
    <dxf>
      <font>
        <b/>
        <i val="0"/>
        <strike val="0"/>
        <condense val="0"/>
        <extend val="0"/>
        <outline val="0"/>
        <shadow val="0"/>
        <u val="none"/>
        <vertAlign val="baseline"/>
        <sz val="11"/>
        <color auto="1"/>
        <name val="Calibri"/>
        <family val="2"/>
        <charset val="238"/>
        <scheme val="minor"/>
      </font>
      <fill>
        <patternFill patternType="solid">
          <fgColor rgb="FF000000"/>
          <bgColor rgb="FF9BC2E6"/>
        </patternFill>
      </fill>
    </dxf>
    <dxf>
      <alignment horizontal="left" vertical="top" textRotation="0" wrapText="0" indent="0" justifyLastLine="0" shrinkToFit="0" readingOrder="0"/>
      <border diagonalUp="0" diagonalDown="0">
        <left/>
        <right/>
        <top style="thin">
          <color theme="4"/>
        </top>
        <bottom/>
        <vertical/>
        <horizontal/>
      </border>
    </dxf>
    <dxf>
      <alignment horizontal="left" vertical="bottom" textRotation="0" wrapText="0" indent="0" justifyLastLine="0" shrinkToFit="0" readingOrder="0"/>
      <border diagonalUp="0" diagonalDown="0">
        <left/>
        <right/>
        <top style="thin">
          <color theme="4"/>
        </top>
        <bottom/>
        <vertical/>
        <horizontal/>
      </border>
    </dxf>
    <dxf>
      <alignment horizontal="left" vertical="top"/>
    </dxf>
    <dxf>
      <numFmt numFmtId="164" formatCode="d/m/yy\ h:mm;@"/>
      <alignment horizontal="center" vertical="center" textRotation="0" wrapText="0" indent="0" justifyLastLine="0" shrinkToFit="0" readingOrder="0"/>
      <border diagonalUp="0" diagonalDown="0">
        <left/>
        <right/>
        <top style="thin">
          <color theme="4"/>
        </top>
        <bottom/>
        <vertical/>
        <horizontal/>
      </border>
    </dxf>
    <dxf>
      <numFmt numFmtId="27" formatCode="dd/mm/yyyy\ hh:mm"/>
      <alignment horizontal="center" vertical="bottom" textRotation="0" wrapText="0" indent="0" justifyLastLine="0" shrinkToFit="0" readingOrder="0"/>
      <border diagonalUp="0" diagonalDown="0">
        <left/>
        <right/>
        <top style="thin">
          <color theme="4"/>
        </top>
        <bottom/>
        <vertical/>
        <horizontal/>
      </border>
    </dxf>
    <dxf>
      <alignment horizontal="left"/>
      <border diagonalUp="0" diagonalDown="0">
        <left/>
        <right/>
        <top style="thin">
          <color theme="4"/>
        </top>
        <bottom/>
        <vertical/>
        <horizontal/>
      </border>
    </dxf>
    <dxf>
      <alignment horizontal="left"/>
      <border diagonalUp="0" diagonalDown="0">
        <left/>
        <right/>
        <top style="thin">
          <color theme="4"/>
        </top>
        <bottom/>
        <vertical/>
        <horizontal/>
      </border>
    </dxf>
    <dxf>
      <numFmt numFmtId="164" formatCode="d/m/yy\ h:mm;@"/>
      <alignment horizontal="center" vertical="bottom" textRotation="0" wrapText="0" indent="0" justifyLastLine="0" shrinkToFit="0" readingOrder="0"/>
      <border diagonalUp="0" diagonalDown="0">
        <left/>
        <right/>
        <top style="thin">
          <color theme="4"/>
        </top>
        <bottom/>
        <vertical/>
        <horizontal/>
      </border>
    </dxf>
    <dxf>
      <border diagonalUp="0" diagonalDown="0">
        <left/>
        <right/>
        <top style="thin">
          <color theme="4"/>
        </top>
        <bottom/>
        <vertical/>
        <horizontal/>
      </border>
    </dxf>
    <dxf>
      <alignment horizontal="left"/>
    </dxf>
    <dxf>
      <alignment horizontal="left"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theme="4"/>
        </top>
        <bottom/>
        <vertical/>
        <horizontal/>
      </border>
    </dxf>
    <dxf>
      <alignment horizontal="left" vertical="center" textRotation="0" wrapText="0" indent="0" justifyLastLine="0" shrinkToFit="0" readingOrder="0"/>
      <border diagonalUp="0" diagonalDown="0">
        <left/>
        <right/>
        <top style="thin">
          <color theme="4"/>
        </top>
        <bottom/>
        <vertical/>
        <horizontal/>
      </border>
    </dxf>
    <dxf>
      <alignment horizontal="general" vertical="top"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rgb="FF000000"/>
        <name val="Calibri"/>
        <family val="2"/>
        <charset val="238"/>
        <scheme val="minor"/>
      </font>
      <border diagonalUp="0" diagonalDown="0">
        <left/>
        <right/>
        <top style="thin">
          <color theme="4"/>
        </top>
        <bottom/>
        <vertical/>
        <horizontal/>
      </border>
    </dxf>
    <dxf>
      <border outline="0">
        <left style="thin">
          <color theme="4"/>
        </left>
      </border>
    </dxf>
    <dxf>
      <font>
        <b/>
        <i val="0"/>
        <strike val="0"/>
        <condense val="0"/>
        <extend val="0"/>
        <outline val="0"/>
        <shadow val="0"/>
        <u val="none"/>
        <vertAlign val="baseline"/>
        <sz val="9"/>
        <color auto="1"/>
        <name val="Calibri"/>
        <family val="2"/>
        <charset val="238"/>
        <scheme val="minor"/>
      </font>
      <fill>
        <patternFill patternType="solid">
          <fgColor theme="4"/>
          <bgColor theme="4"/>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166" formatCode="m/d/yyyy\ h:mm"/>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ill>
    </dxf>
    <dxf>
      <fill>
        <patternFill patternType="none"/>
      </fill>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indexed="64"/>
          <bgColor rgb="FFFFFF00"/>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rgb="FF666699"/>
          <bgColor rgb="FF8EA9DB"/>
        </patternFill>
      </fill>
      <alignment horizontal="general"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b/>
        <i val="0"/>
        <strike val="0"/>
        <condense val="0"/>
        <extend val="0"/>
        <outline val="0"/>
        <shadow val="0"/>
        <u val="none"/>
        <vertAlign val="baseline"/>
        <sz val="9"/>
        <color auto="1"/>
        <name val="Calibri"/>
        <family val="2"/>
        <scheme val="minor"/>
      </font>
      <fill>
        <patternFill patternType="none">
          <fgColor rgb="FF666699"/>
          <bgColor rgb="FF8EA9DB"/>
        </patternFill>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00F0E8"/>
      <color rgb="FF00D8F0"/>
      <color rgb="FFE87A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 Id="rId22" Type="http://schemas.openxmlformats.org/officeDocument/2006/relationships/customXml" Target="../customXml/item1.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HziHQCenLtPhDcAVkQU9mO4rc-sSlZuKp8-CoGhhy4A&amp;qlt=95" TargetMode="External"/><Relationship Id="rId21" Type="http://schemas.openxmlformats.org/officeDocument/2006/relationships/hyperlink" Target="https://www.bing.com/th?id=OSK.b554d385ffa2879b1e8c616ed9a7b9eb&amp;qlt=95" TargetMode="External"/><Relationship Id="rId324" Type="http://schemas.openxmlformats.org/officeDocument/2006/relationships/hyperlink" Target="https://www.bing.com/images/search?form=xlimg&amp;q=Potcoava" TargetMode="External"/><Relationship Id="rId531" Type="http://schemas.openxmlformats.org/officeDocument/2006/relationships/hyperlink" Target="https://www.bing.com/th?id=OSK.ad9f2412e036c054566d2c4b05653f18&amp;qlt=95" TargetMode="External"/><Relationship Id="rId170" Type="http://schemas.openxmlformats.org/officeDocument/2006/relationships/hyperlink" Target="https://www.bing.com/images/search?form=xlimg&amp;q=Schitu,%20Olt" TargetMode="External"/><Relationship Id="rId268" Type="http://schemas.openxmlformats.org/officeDocument/2006/relationships/hyperlink" Target="https://www.bing.com/images/search?form=xlimg&amp;q=Segarcea" TargetMode="External"/><Relationship Id="rId475" Type="http://schemas.openxmlformats.org/officeDocument/2006/relationships/hyperlink" Target="https://www.bing.com/th?id=OSK.f52354572cd92fc3c49733346faa8ebf&amp;qlt=95" TargetMode="External"/><Relationship Id="rId32" Type="http://schemas.openxmlformats.org/officeDocument/2006/relationships/hyperlink" Target="https://www.bing.com/images/search?form=xlimg&amp;q=Arad,%20Romania" TargetMode="External"/><Relationship Id="rId128" Type="http://schemas.openxmlformats.org/officeDocument/2006/relationships/hyperlink" Target="https://www.bing.com/images/search?form=xlimg&amp;q=Zal%c4%83u" TargetMode="External"/><Relationship Id="rId335" Type="http://schemas.openxmlformats.org/officeDocument/2006/relationships/hyperlink" Target="https://www.bing.com/th?id=OSK.h_IpdwZR6uxFxMLXJEHh30Ygo7OtKz9SOkgMd-bW27Y&amp;qlt=95" TargetMode="External"/><Relationship Id="rId542" Type="http://schemas.openxmlformats.org/officeDocument/2006/relationships/hyperlink" Target="https://www.bing.com/images/search?form=xlimg&amp;q=Pomi" TargetMode="External"/><Relationship Id="rId181" Type="http://schemas.openxmlformats.org/officeDocument/2006/relationships/hyperlink" Target="https://www.bing.com/th?id=OSK.5fe3bdce0f91891d9eef82936bc5335e&amp;qlt=95" TargetMode="External"/><Relationship Id="rId402" Type="http://schemas.openxmlformats.org/officeDocument/2006/relationships/hyperlink" Target="https://www.bing.com/images/search?form=xlimg&amp;q=Prejmer" TargetMode="External"/><Relationship Id="rId279" Type="http://schemas.openxmlformats.org/officeDocument/2006/relationships/hyperlink" Target="https://www.bing.com/th?id=OSK.f5e02d94c61c2457fcb7afa7bef7a8c6&amp;qlt=95" TargetMode="External"/><Relationship Id="rId486" Type="http://schemas.openxmlformats.org/officeDocument/2006/relationships/hyperlink" Target="https://www.bing.com/images/search?form=xlimg&amp;q=Dob%c3%a2rl%c4%83u" TargetMode="External"/><Relationship Id="rId43" Type="http://schemas.openxmlformats.org/officeDocument/2006/relationships/hyperlink" Target="https://www.bing.com/th?id=OSK.dc43163a6de1b27f009a0e322855f1ff&amp;qlt=95" TargetMode="External"/><Relationship Id="rId139" Type="http://schemas.openxmlformats.org/officeDocument/2006/relationships/hyperlink" Target="https://www.bing.com/th?id=OSK.c6a3aa8ff8b087bf6ad8100c31e8fafb&amp;qlt=95" TargetMode="External"/><Relationship Id="rId346" Type="http://schemas.openxmlformats.org/officeDocument/2006/relationships/hyperlink" Target="https://www.bing.com/images/search?form=xlimg&amp;q=S%c3%a2ndominic" TargetMode="External"/><Relationship Id="rId553" Type="http://schemas.openxmlformats.org/officeDocument/2006/relationships/hyperlink" Target="https://www.bing.com/th?id=OSK.88f159a5cec9e8d39db720088437b5be&amp;qlt=95" TargetMode="External"/><Relationship Id="rId192" Type="http://schemas.openxmlformats.org/officeDocument/2006/relationships/hyperlink" Target="https://www.bing.com/images/search?form=xlimg&amp;q=%c8%98imian,%20Bihor" TargetMode="External"/><Relationship Id="rId206" Type="http://schemas.openxmlformats.org/officeDocument/2006/relationships/hyperlink" Target="https://www.bing.com/images/search?form=xlimg&amp;q=Mo%c8%99oaia" TargetMode="External"/><Relationship Id="rId413" Type="http://schemas.openxmlformats.org/officeDocument/2006/relationships/hyperlink" Target="https://www.bing.com/th?id=OSK.bf153585bb51cc9cfc5c9559763dfe81&amp;qlt=95" TargetMode="External"/><Relationship Id="rId497" Type="http://schemas.openxmlformats.org/officeDocument/2006/relationships/hyperlink" Target="https://www.bing.com/th?id=OSK.08c1b982fbf7989d42f537c3fa352f96&amp;qlt=95" TargetMode="External"/><Relationship Id="rId357" Type="http://schemas.openxmlformats.org/officeDocument/2006/relationships/hyperlink" Target="https://www.bing.com/th?id=OSK.e5c239237cfcaec0704e9714ecbfc81e&amp;qlt=95" TargetMode="External"/><Relationship Id="rId54" Type="http://schemas.openxmlformats.org/officeDocument/2006/relationships/hyperlink" Target="https://www.bing.com/images/search?form=xlimg&amp;q=T%c3%a2rgu%20Jiu" TargetMode="External"/><Relationship Id="rId217" Type="http://schemas.openxmlformats.org/officeDocument/2006/relationships/hyperlink" Target="https://www.bing.com/th?id=OSK.80b7f64348ebfdbf77909d49a148c541&amp;qlt=95" TargetMode="External"/><Relationship Id="rId564" Type="http://schemas.openxmlformats.org/officeDocument/2006/relationships/hyperlink" Target="https://www.bing.com/images/search?form=xlimg&amp;q=D%c4%83rm%c4%83ne%c8%99ti" TargetMode="External"/><Relationship Id="rId424" Type="http://schemas.openxmlformats.org/officeDocument/2006/relationships/hyperlink" Target="https://www.bing.com/images/search?form=xlimg&amp;q=S%c4%83pata" TargetMode="External"/><Relationship Id="rId270" Type="http://schemas.openxmlformats.org/officeDocument/2006/relationships/hyperlink" Target="https://www.bing.com/images/search?form=xlimg&amp;q=Baia%20Sprie" TargetMode="External"/><Relationship Id="rId65" Type="http://schemas.openxmlformats.org/officeDocument/2006/relationships/hyperlink" Target="https://www.bing.com/th?id=OSK.341b0129bd9a7569aad211ae81e89ec1&amp;qlt=95" TargetMode="External"/><Relationship Id="rId130" Type="http://schemas.openxmlformats.org/officeDocument/2006/relationships/hyperlink" Target="https://www.bing.com/images/search?form=xlimg&amp;q=Vl%c4%83hi%c8%9ba" TargetMode="External"/><Relationship Id="rId368" Type="http://schemas.openxmlformats.org/officeDocument/2006/relationships/hyperlink" Target="https://www.bing.com/images/search?form=xlimg&amp;q=Vi%c8%99eu%20de%20Sus" TargetMode="External"/><Relationship Id="rId575" Type="http://schemas.openxmlformats.org/officeDocument/2006/relationships/hyperlink" Target="https://www.bing.com/th?id=OSK.90388fbe4b6546720e90c1f69d399eba&amp;qlt=95" TargetMode="External"/><Relationship Id="rId228" Type="http://schemas.openxmlformats.org/officeDocument/2006/relationships/hyperlink" Target="https://www.bing.com/images/search?form=xlimg&amp;q=Ac%c4%83%c8%9bari" TargetMode="External"/><Relationship Id="rId435" Type="http://schemas.openxmlformats.org/officeDocument/2006/relationships/hyperlink" Target="https://www.bing.com/th?id=OSK.QAOKh6ts5j2C2mKSd-j7zNL9mqcBp7ro5GhExHElymA&amp;qlt=95" TargetMode="External"/><Relationship Id="rId281" Type="http://schemas.openxmlformats.org/officeDocument/2006/relationships/hyperlink" Target="https://www.bing.com/th?id=OSK.a42625ca7657f2cbfb4508f1b9ecfa8c&amp;qlt=95" TargetMode="External"/><Relationship Id="rId502" Type="http://schemas.openxmlformats.org/officeDocument/2006/relationships/hyperlink" Target="https://www.bing.com/images/search?form=xlimg&amp;q=Valea%20M%c4%83rului" TargetMode="External"/><Relationship Id="rId76" Type="http://schemas.openxmlformats.org/officeDocument/2006/relationships/hyperlink" Target="https://www.bing.com/images/search?form=xlimg&amp;q=Giroc" TargetMode="External"/><Relationship Id="rId141" Type="http://schemas.openxmlformats.org/officeDocument/2006/relationships/hyperlink" Target="https://www.bing.com/th?id=OSK.06a0de09c4ad3bda554ec1be9cdb1785&amp;qlt=95" TargetMode="External"/><Relationship Id="rId379" Type="http://schemas.openxmlformats.org/officeDocument/2006/relationships/hyperlink" Target="https://www.bing.com/th?id=OSK.d8cc7180a2efb8db0a3bb76c2167ff3d&amp;qlt=95" TargetMode="External"/><Relationship Id="rId586" Type="http://schemas.openxmlformats.org/officeDocument/2006/relationships/hyperlink" Target="https://www.bing.com/images/search?form=xlimg&amp;q=Ciofr%c3%a2ngeni" TargetMode="External"/><Relationship Id="rId7" Type="http://schemas.openxmlformats.org/officeDocument/2006/relationships/hyperlink" Target="https://www.bing.com/th?id=OSK.3dbf331e53e5abf2e689d6a758ab56e6&amp;qlt=95" TargetMode="External"/><Relationship Id="rId239" Type="http://schemas.openxmlformats.org/officeDocument/2006/relationships/hyperlink" Target="https://www.bing.com/th?id=OSK.e80ee3798d89556b0049a1731a4e72bc&amp;qlt=95" TargetMode="External"/><Relationship Id="rId446" Type="http://schemas.openxmlformats.org/officeDocument/2006/relationships/hyperlink" Target="https://www.bing.com/images/search?form=xlimg&amp;q=B%c4%83l%c4%83u%c8%99eri" TargetMode="External"/><Relationship Id="rId292" Type="http://schemas.openxmlformats.org/officeDocument/2006/relationships/hyperlink" Target="https://www.bing.com/images/search?form=xlimg&amp;q=T%c4%83lmaciu" TargetMode="External"/><Relationship Id="rId306" Type="http://schemas.openxmlformats.org/officeDocument/2006/relationships/hyperlink" Target="https://www.bing.com/images/search?form=xlimg&amp;q=S%c3%a2npetru" TargetMode="External"/><Relationship Id="rId87" Type="http://schemas.openxmlformats.org/officeDocument/2006/relationships/hyperlink" Target="https://www.bing.com/th?id=OSK.78db616938aa988803b56a6a0416dc0b&amp;qlt=95" TargetMode="External"/><Relationship Id="rId513" Type="http://schemas.openxmlformats.org/officeDocument/2006/relationships/hyperlink" Target="https://www.bing.com/th?id=OSK.e31ad8d0ad437cfdc4dcb36f297c0e22&amp;qlt=95" TargetMode="External"/><Relationship Id="rId597" Type="http://schemas.openxmlformats.org/officeDocument/2006/relationships/hyperlink" Target="https://www.bing.com/th?id=OSK.uqJh13n-USlGGuzfGnJMBguJFUKNYh3qI3DRd6sDnME&amp;qlt=95" TargetMode="External"/><Relationship Id="rId152" Type="http://schemas.openxmlformats.org/officeDocument/2006/relationships/hyperlink" Target="https://www.bing.com/images/search?form=xlimg&amp;q=Giurgiu" TargetMode="External"/><Relationship Id="rId457" Type="http://schemas.openxmlformats.org/officeDocument/2006/relationships/hyperlink" Target="https://www.bing.com/th?id=OSK.fcf174385b172ede0e0b05a9f5c77592&amp;qlt=95" TargetMode="External"/><Relationship Id="rId14" Type="http://schemas.openxmlformats.org/officeDocument/2006/relationships/hyperlink" Target="https://www.bing.com/images/search?form=xlimg&amp;q=Bihor%20County" TargetMode="External"/><Relationship Id="rId56" Type="http://schemas.openxmlformats.org/officeDocument/2006/relationships/hyperlink" Target="https://www.bing.com/images/search?form=xlimg&amp;q=Bor%c8%99a" TargetMode="External"/><Relationship Id="rId317" Type="http://schemas.openxmlformats.org/officeDocument/2006/relationships/hyperlink" Target="https://www.bing.com/th?id=OSK.16728dee033e5b71788a93a9570d8376&amp;qlt=95" TargetMode="External"/><Relationship Id="rId359" Type="http://schemas.openxmlformats.org/officeDocument/2006/relationships/hyperlink" Target="https://www.bing.com/th?id=OSK.07f438d845304fec4ef0924db4f531c3&amp;qlt=95" TargetMode="External"/><Relationship Id="rId524" Type="http://schemas.openxmlformats.org/officeDocument/2006/relationships/hyperlink" Target="https://www.bing.com/images/search?form=xlimg&amp;q=S%c3%a2ngeorgiu%20de%20P%c4%83dure" TargetMode="External"/><Relationship Id="rId566" Type="http://schemas.openxmlformats.org/officeDocument/2006/relationships/hyperlink" Target="https://www.bing.com/images/search?form=xlimg&amp;q=S%c3%bator" TargetMode="External"/><Relationship Id="rId98" Type="http://schemas.openxmlformats.org/officeDocument/2006/relationships/hyperlink" Target="https://www.bing.com/images/search?form=xlimg&amp;q=Ia%c8%99i%20County" TargetMode="External"/><Relationship Id="rId121" Type="http://schemas.openxmlformats.org/officeDocument/2006/relationships/hyperlink" Target="https://www.bing.com/th?id=OSK.VqiWdHCsKHPVq8grXPokjWbAkfpuz_l_eKbdZJ8fLh0&amp;qlt=95" TargetMode="External"/><Relationship Id="rId163" Type="http://schemas.openxmlformats.org/officeDocument/2006/relationships/hyperlink" Target="https://www.bing.com/th?id=OSK.c1abdddefdaea0f99cc6c2707124587d&amp;qlt=95" TargetMode="External"/><Relationship Id="rId219" Type="http://schemas.openxmlformats.org/officeDocument/2006/relationships/hyperlink" Target="https://www.bing.com/th?id=OSK.77a07b8a3e739cfbb1d4f8d0f3f41e20&amp;qlt=95" TargetMode="External"/><Relationship Id="rId370" Type="http://schemas.openxmlformats.org/officeDocument/2006/relationships/hyperlink" Target="https://www.bing.com/images/search?form=xlimg&amp;q=Gro%c8%99i" TargetMode="External"/><Relationship Id="rId426" Type="http://schemas.openxmlformats.org/officeDocument/2006/relationships/hyperlink" Target="https://www.bing.com/images/search?form=xlimg&amp;q=Cristian,%20Bra%c8%99ov" TargetMode="External"/><Relationship Id="rId230" Type="http://schemas.openxmlformats.org/officeDocument/2006/relationships/hyperlink" Target="https://www.bing.com/images/search?form=xlimg&amp;q=%c8%98omcuta%20Mare" TargetMode="External"/><Relationship Id="rId468" Type="http://schemas.openxmlformats.org/officeDocument/2006/relationships/hyperlink" Target="https://www.bing.com/images/search?form=xlimg&amp;q=S%c3%a2ncraiu%20de%20Mure%c8%99" TargetMode="External"/><Relationship Id="rId25" Type="http://schemas.openxmlformats.org/officeDocument/2006/relationships/hyperlink" Target="https://www.bing.com/th?id=OSK.f11cc8ad4a94116e7b094d4443c06507&amp;qlt=95" TargetMode="External"/><Relationship Id="rId67" Type="http://schemas.openxmlformats.org/officeDocument/2006/relationships/hyperlink" Target="https://www.bing.com/th?id=OSK.uyInJKrK3tywUcjfZsDi29HmbdraExqXM5z5jiFsuNA&amp;qlt=95" TargetMode="External"/><Relationship Id="rId272" Type="http://schemas.openxmlformats.org/officeDocument/2006/relationships/hyperlink" Target="https://www.bing.com/images/search?form=xlimg&amp;q=Prigoria" TargetMode="External"/><Relationship Id="rId328" Type="http://schemas.openxmlformats.org/officeDocument/2006/relationships/hyperlink" Target="https://www.bing.com/images/search?form=xlimg&amp;q=Poieni,%20Cluj" TargetMode="External"/><Relationship Id="rId535" Type="http://schemas.openxmlformats.org/officeDocument/2006/relationships/hyperlink" Target="https://www.bing.com/th?id=OSK.9f2dbea2ce937e63f7b9bc8da310bda9&amp;qlt=95" TargetMode="External"/><Relationship Id="rId577" Type="http://schemas.openxmlformats.org/officeDocument/2006/relationships/hyperlink" Target="https://www.bing.com/th?id=OSK.f783a296579ba9f248aa3e57949f8012&amp;qlt=95" TargetMode="External"/><Relationship Id="rId132" Type="http://schemas.openxmlformats.org/officeDocument/2006/relationships/hyperlink" Target="https://www.bing.com/images/search?form=xlimg&amp;q=Dealu" TargetMode="External"/><Relationship Id="rId174" Type="http://schemas.openxmlformats.org/officeDocument/2006/relationships/hyperlink" Target="https://www.bing.com/images/search?form=xlimg&amp;q=D%c4%83neasa" TargetMode="External"/><Relationship Id="rId381" Type="http://schemas.openxmlformats.org/officeDocument/2006/relationships/hyperlink" Target="https://www.bing.com/th?id=OSK.c6a545d22b472eb93655b33c33d8bf62&amp;qlt=95" TargetMode="External"/><Relationship Id="rId602" Type="http://schemas.openxmlformats.org/officeDocument/2006/relationships/hyperlink" Target="https://www.bing.com/images/search?form=xlimg&amp;q=Dese%c8%99ti" TargetMode="External"/><Relationship Id="rId241" Type="http://schemas.openxmlformats.org/officeDocument/2006/relationships/hyperlink" Target="https://www.bing.com/th?id=OSK.7a0cffa1a82d6c936cf64161f106e62d&amp;qlt=95" TargetMode="External"/><Relationship Id="rId437" Type="http://schemas.openxmlformats.org/officeDocument/2006/relationships/hyperlink" Target="https://www.bing.com/th?id=OSK.e2a10c7e08bbad4866884c6dec3fede9&amp;qlt=95" TargetMode="External"/><Relationship Id="rId479" Type="http://schemas.openxmlformats.org/officeDocument/2006/relationships/hyperlink" Target="https://www.bing.com/th?id=OSK.7750fa53cc2ae6cd47c369d74328ad33&amp;qlt=95" TargetMode="External"/><Relationship Id="rId36" Type="http://schemas.openxmlformats.org/officeDocument/2006/relationships/hyperlink" Target="https://www.bing.com/images/search?form=xlimg&amp;q=Poplaca" TargetMode="External"/><Relationship Id="rId283" Type="http://schemas.openxmlformats.org/officeDocument/2006/relationships/hyperlink" Target="https://www.bing.com/th?id=OSK.19be5d4b223c1c9b8b415fc03c4119f2&amp;qlt=95" TargetMode="External"/><Relationship Id="rId339" Type="http://schemas.openxmlformats.org/officeDocument/2006/relationships/hyperlink" Target="https://www.bing.com/th?id=OSK.af2b8f35b0a1f3158a9cca263a586693&amp;qlt=95" TargetMode="External"/><Relationship Id="rId490" Type="http://schemas.openxmlformats.org/officeDocument/2006/relationships/hyperlink" Target="https://www.bing.com/images/search?form=xlimg&amp;q=Saco%c8%99u%20Turcesc" TargetMode="External"/><Relationship Id="rId504" Type="http://schemas.openxmlformats.org/officeDocument/2006/relationships/hyperlink" Target="https://www.bing.com/images/search?form=xlimg&amp;q=Zimandu%20Nou" TargetMode="External"/><Relationship Id="rId546" Type="http://schemas.openxmlformats.org/officeDocument/2006/relationships/hyperlink" Target="https://www.bing.com/images/search?form=xlimg&amp;q=Mih%c4%83e%c8%99ti,%20Arge%c8%99" TargetMode="External"/><Relationship Id="rId78" Type="http://schemas.openxmlformats.org/officeDocument/2006/relationships/hyperlink" Target="https://www.bing.com/images/search?form=xlimg&amp;q=Dolj%20County" TargetMode="External"/><Relationship Id="rId101" Type="http://schemas.openxmlformats.org/officeDocument/2006/relationships/hyperlink" Target="https://www.bing.com/th?id=OSK.rWwITR8xvmwV3CZGakt5Sjeii_rsIAzn_HGhpJWWlsQ&amp;qlt=95" TargetMode="External"/><Relationship Id="rId143" Type="http://schemas.openxmlformats.org/officeDocument/2006/relationships/hyperlink" Target="https://www.bing.com/th?id=OSK.7yl_ndRsVoQKQvzmltO6yXMEg4E2QGUpVO4CC1yf9eI&amp;qlt=95" TargetMode="External"/><Relationship Id="rId185" Type="http://schemas.openxmlformats.org/officeDocument/2006/relationships/hyperlink" Target="https://www.bing.com/th?id=OSK.588a98b70101079129fb70e67e1f6ef4&amp;qlt=95" TargetMode="External"/><Relationship Id="rId350" Type="http://schemas.openxmlformats.org/officeDocument/2006/relationships/hyperlink" Target="https://www.bing.com/images/search?form=xlimg&amp;q=Albota" TargetMode="External"/><Relationship Id="rId406" Type="http://schemas.openxmlformats.org/officeDocument/2006/relationships/hyperlink" Target="https://www.bing.com/images/search?form=xlimg&amp;q=Codlea" TargetMode="External"/><Relationship Id="rId588" Type="http://schemas.openxmlformats.org/officeDocument/2006/relationships/hyperlink" Target="https://www.bing.com/images/search?form=xlimg&amp;q=Sandra,%20Estonia" TargetMode="External"/><Relationship Id="rId9" Type="http://schemas.openxmlformats.org/officeDocument/2006/relationships/hyperlink" Target="https://www.bing.com/th?id=OSK.666389fe4aed5534b02a50396ee2391b&amp;qlt=95" TargetMode="External"/><Relationship Id="rId210" Type="http://schemas.openxmlformats.org/officeDocument/2006/relationships/hyperlink" Target="https://www.bing.com/images/search?form=xlimg&amp;q=S%c3%a2nandrei" TargetMode="External"/><Relationship Id="rId392" Type="http://schemas.openxmlformats.org/officeDocument/2006/relationships/hyperlink" Target="https://www.bing.com/images/search?form=xlimg&amp;q=Logre%c8%99ti" TargetMode="External"/><Relationship Id="rId448" Type="http://schemas.openxmlformats.org/officeDocument/2006/relationships/hyperlink" Target="https://www.bing.com/images/search?form=xlimg&amp;q=B%c3%a2cle%c8%99" TargetMode="External"/><Relationship Id="rId252" Type="http://schemas.openxmlformats.org/officeDocument/2006/relationships/hyperlink" Target="https://www.bing.com/images/search?form=xlimg&amp;q=Sauvo" TargetMode="External"/><Relationship Id="rId294" Type="http://schemas.openxmlformats.org/officeDocument/2006/relationships/hyperlink" Target="https://www.bing.com/images/search?form=xlimg&amp;q=Dobra,%20Hunedoara" TargetMode="External"/><Relationship Id="rId308" Type="http://schemas.openxmlformats.org/officeDocument/2006/relationships/hyperlink" Target="https://www.bing.com/images/search?form=xlimg&amp;q=Vadu%20Cri%c8%99ului" TargetMode="External"/><Relationship Id="rId515" Type="http://schemas.openxmlformats.org/officeDocument/2006/relationships/hyperlink" Target="https://www.bing.com/th?id=OSK.6a5321b0a5a2637c34c3776ad0d4e82e&amp;qlt=95" TargetMode="External"/><Relationship Id="rId47" Type="http://schemas.openxmlformats.org/officeDocument/2006/relationships/hyperlink" Target="https://www.bing.com/th?id=OSK.b1fbe8d04b0aee46d3b728d6a2d334cb&amp;qlt=95" TargetMode="External"/><Relationship Id="rId89" Type="http://schemas.openxmlformats.org/officeDocument/2006/relationships/hyperlink" Target="https://www.bing.com/th?id=OSK.6b2869b68f08b744881de6d609990315&amp;qlt=95" TargetMode="External"/><Relationship Id="rId112" Type="http://schemas.openxmlformats.org/officeDocument/2006/relationships/hyperlink" Target="https://www.bing.com/images/search?form=xlimg&amp;q=Caracal,%20Romania" TargetMode="External"/><Relationship Id="rId154" Type="http://schemas.openxmlformats.org/officeDocument/2006/relationships/hyperlink" Target="https://www.bing.com/images/search?form=xlimg&amp;q=S%c3%a2nmihaiu%20Rom%c3%a2n" TargetMode="External"/><Relationship Id="rId361" Type="http://schemas.openxmlformats.org/officeDocument/2006/relationships/hyperlink" Target="https://www.bing.com/th?id=OSK.8hQ4LbPmphQNRvzEPAZSZGCIJtc3kemxkYU92pS61vo&amp;qlt=95" TargetMode="External"/><Relationship Id="rId557" Type="http://schemas.openxmlformats.org/officeDocument/2006/relationships/hyperlink" Target="https://www.bing.com/th?id=OSK.dJug1xshP_pE86UGUIMiRnLx799MJ942TschKTVR8Cc&amp;qlt=95" TargetMode="External"/><Relationship Id="rId599" Type="http://schemas.openxmlformats.org/officeDocument/2006/relationships/hyperlink" Target="https://www.bing.com/th?id=OSK.10ba9589b9e0869a4e0276fb6c19f5ca&amp;qlt=95" TargetMode="External"/><Relationship Id="rId196" Type="http://schemas.openxmlformats.org/officeDocument/2006/relationships/hyperlink" Target="https://www.bing.com/images/search?form=xlimg&amp;q=Ale%c8%99d" TargetMode="External"/><Relationship Id="rId417" Type="http://schemas.openxmlformats.org/officeDocument/2006/relationships/hyperlink" Target="https://www.bing.com/th?id=OSK.758f9940c01c90ec18fa1961288d0c63&amp;qlt=95" TargetMode="External"/><Relationship Id="rId459" Type="http://schemas.openxmlformats.org/officeDocument/2006/relationships/hyperlink" Target="https://www.bing.com/th?id=OSK.9ea03a6ddd60d179b087fd7014161361&amp;qlt=95" TargetMode="External"/><Relationship Id="rId16" Type="http://schemas.openxmlformats.org/officeDocument/2006/relationships/hyperlink" Target="https://www.bing.com/images/search?form=xlimg&amp;q=Oradea" TargetMode="External"/><Relationship Id="rId221" Type="http://schemas.openxmlformats.org/officeDocument/2006/relationships/hyperlink" Target="https://www.bing.com/th?id=OSK.cE5QbrahRPYzHBzIYg8CM36gdANZ5eRb-jq9e6s6I9k&amp;qlt=95" TargetMode="External"/><Relationship Id="rId263" Type="http://schemas.openxmlformats.org/officeDocument/2006/relationships/hyperlink" Target="https://www.bing.com/th?id=OSK.2fcd8428442c82aef3da159715bc6819&amp;qlt=95" TargetMode="External"/><Relationship Id="rId319" Type="http://schemas.openxmlformats.org/officeDocument/2006/relationships/hyperlink" Target="https://www.bing.com/th?id=OSK.4af32cf0db5fae66d8524dbc93343f09&amp;qlt=95" TargetMode="External"/><Relationship Id="rId470" Type="http://schemas.openxmlformats.org/officeDocument/2006/relationships/hyperlink" Target="https://www.bing.com/images/search?form=xlimg&amp;q=C%c3%a2r%c8%9ba,%20Sibiu" TargetMode="External"/><Relationship Id="rId526" Type="http://schemas.openxmlformats.org/officeDocument/2006/relationships/hyperlink" Target="https://www.bing.com/images/search?form=xlimg&amp;q=Margina" TargetMode="External"/><Relationship Id="rId58" Type="http://schemas.openxmlformats.org/officeDocument/2006/relationships/hyperlink" Target="https://www.bing.com/images/search?form=xlimg&amp;q=Maramure%c8%99%20County" TargetMode="External"/><Relationship Id="rId123" Type="http://schemas.openxmlformats.org/officeDocument/2006/relationships/hyperlink" Target="https://www.bing.com/th?id=OSK.3033a9f01d0a2a1642573f645b898dfa&amp;qlt=95" TargetMode="External"/><Relationship Id="rId330" Type="http://schemas.openxmlformats.org/officeDocument/2006/relationships/hyperlink" Target="https://www.bing.com/images/search?form=xlimg&amp;q=Jucu" TargetMode="External"/><Relationship Id="rId568" Type="http://schemas.openxmlformats.org/officeDocument/2006/relationships/hyperlink" Target="https://www.bing.com/images/search?form=xlimg&amp;q=M%c4%83ri%c8%99elu" TargetMode="External"/><Relationship Id="rId165" Type="http://schemas.openxmlformats.org/officeDocument/2006/relationships/hyperlink" Target="https://www.bing.com/th?id=OSK.ctvVg_PMyLHjVqm2DMTc3dYOqIKHlZE9Xn6g2KQZ2Dg&amp;qlt=95" TargetMode="External"/><Relationship Id="rId372" Type="http://schemas.openxmlformats.org/officeDocument/2006/relationships/hyperlink" Target="https://www.bing.com/images/search?form=xlimg&amp;q=Bumbe%c8%99ti-Jiu" TargetMode="External"/><Relationship Id="rId428" Type="http://schemas.openxmlformats.org/officeDocument/2006/relationships/hyperlink" Target="https://www.bing.com/images/search?form=xlimg&amp;q=Breasta" TargetMode="External"/><Relationship Id="rId232" Type="http://schemas.openxmlformats.org/officeDocument/2006/relationships/hyperlink" Target="https://www.bing.com/images/search?form=xlimg&amp;q=Livezi,%20V%c3%a2lcea" TargetMode="External"/><Relationship Id="rId274" Type="http://schemas.openxmlformats.org/officeDocument/2006/relationships/hyperlink" Target="https://www.bing.com/images/search?form=xlimg&amp;q=Cr%c4%83ciune%c8%99ti" TargetMode="External"/><Relationship Id="rId481" Type="http://schemas.openxmlformats.org/officeDocument/2006/relationships/hyperlink" Target="https://www.bing.com/th?id=OSK.6c04109ffd1fa4f05de7e310554471df&amp;qlt=95" TargetMode="External"/><Relationship Id="rId27" Type="http://schemas.openxmlformats.org/officeDocument/2006/relationships/hyperlink" Target="https://www.bing.com/th?id=OSK.XTJ_lay4imxkPaGBxnx_sS00jzcj_4MJeI_WvS6gDMA&amp;qlt=95" TargetMode="External"/><Relationship Id="rId69" Type="http://schemas.openxmlformats.org/officeDocument/2006/relationships/hyperlink" Target="https://www.bing.com/th?id=OSK.T3JqkKeDLJuwMl5wC8yUpFySjpCDr5nCL4HdZEpH6Yg&amp;qlt=95" TargetMode="External"/><Relationship Id="rId134" Type="http://schemas.openxmlformats.org/officeDocument/2006/relationships/hyperlink" Target="https://www.bing.com/images/search?form=xlimg&amp;q=Suceava%20County" TargetMode="External"/><Relationship Id="rId537" Type="http://schemas.openxmlformats.org/officeDocument/2006/relationships/hyperlink" Target="https://www.bing.com/th?id=OSK.06c5c7e12f0720cc9157154b75ca2cf6&amp;qlt=95" TargetMode="External"/><Relationship Id="rId579" Type="http://schemas.openxmlformats.org/officeDocument/2006/relationships/hyperlink" Target="https://www.bing.com/th?id=OSK.76a65d472cce179e4a1b96c5e8d0d0ee&amp;qlt=95" TargetMode="External"/><Relationship Id="rId80" Type="http://schemas.openxmlformats.org/officeDocument/2006/relationships/hyperlink" Target="https://www.bing.com/images/search?form=xlimg&amp;q=Craiova" TargetMode="External"/><Relationship Id="rId176" Type="http://schemas.openxmlformats.org/officeDocument/2006/relationships/hyperlink" Target="https://www.bing.com/images/search?form=xlimg&amp;q=Ulmeni,%20Maramure%c8%99" TargetMode="External"/><Relationship Id="rId341" Type="http://schemas.openxmlformats.org/officeDocument/2006/relationships/hyperlink" Target="https://www.bing.com/th?id=OSK.e22c1dd91684ef53292f9d526fb461bd&amp;qlt=95" TargetMode="External"/><Relationship Id="rId383" Type="http://schemas.openxmlformats.org/officeDocument/2006/relationships/hyperlink" Target="https://www.bing.com/th?id=OSK.cf2fefe21d5df070a5fa8072ae5cbc07&amp;qlt=95" TargetMode="External"/><Relationship Id="rId439" Type="http://schemas.openxmlformats.org/officeDocument/2006/relationships/hyperlink" Target="https://www.bing.com/th?id=OSK.F6So1jYfa-_nf43ddDeiNzcFZBCOC-sTQlMSM9ViBdo&amp;qlt=95" TargetMode="External"/><Relationship Id="rId590" Type="http://schemas.openxmlformats.org/officeDocument/2006/relationships/hyperlink" Target="https://www.bing.com/images/search?form=xlimg&amp;q=Berbe%c8%99ti" TargetMode="External"/><Relationship Id="rId201" Type="http://schemas.openxmlformats.org/officeDocument/2006/relationships/hyperlink" Target="https://www.bing.com/th?id=OSK.aac2018b7e862795470b45331d1199c2&amp;qlt=95" TargetMode="External"/><Relationship Id="rId243" Type="http://schemas.openxmlformats.org/officeDocument/2006/relationships/hyperlink" Target="https://www.bing.com/th?id=OSK.022fe2997f204ad877c54b330bed8a6e&amp;qlt=95" TargetMode="External"/><Relationship Id="rId285" Type="http://schemas.openxmlformats.org/officeDocument/2006/relationships/hyperlink" Target="https://www.bing.com/th?id=OSK.4476c730ff9945c314654e4e221677bd&amp;qlt=95" TargetMode="External"/><Relationship Id="rId450" Type="http://schemas.openxmlformats.org/officeDocument/2006/relationships/hyperlink" Target="https://www.bing.com/images/search?form=xlimg&amp;q=I%c8%99alni%c8%9ba" TargetMode="External"/><Relationship Id="rId506" Type="http://schemas.openxmlformats.org/officeDocument/2006/relationships/hyperlink" Target="https://www.bing.com/images/search?form=xlimg&amp;q=Z%c4%83rne%c8%99ti" TargetMode="External"/><Relationship Id="rId38" Type="http://schemas.openxmlformats.org/officeDocument/2006/relationships/hyperlink" Target="https://www.bing.com/images/search?form=xlimg&amp;q=Bran,%20Bra%c8%99ov" TargetMode="External"/><Relationship Id="rId103" Type="http://schemas.openxmlformats.org/officeDocument/2006/relationships/hyperlink" Target="https://www.bing.com/th?id=OSK.bwwj9aU5jErWgg5IUQnxq4rME9NSwGj_LeME2zHhJfQ&amp;qlt=95" TargetMode="External"/><Relationship Id="rId310" Type="http://schemas.openxmlformats.org/officeDocument/2006/relationships/hyperlink" Target="https://www.bing.com/images/search?form=xlimg&amp;q=Ardud" TargetMode="External"/><Relationship Id="rId492" Type="http://schemas.openxmlformats.org/officeDocument/2006/relationships/hyperlink" Target="https://www.bing.com/images/search?form=xlimg&amp;q=Lipova,%20Arad" TargetMode="External"/><Relationship Id="rId548" Type="http://schemas.openxmlformats.org/officeDocument/2006/relationships/hyperlink" Target="https://www.bing.com/images/search?form=xlimg&amp;q=Ilva%20Mare" TargetMode="External"/><Relationship Id="rId91" Type="http://schemas.openxmlformats.org/officeDocument/2006/relationships/hyperlink" Target="https://www.bing.com/th?id=OSK.wbhLD0tIWh5gAxSY7ZO_Ap9DDF1x3iURxvIEKaMBLQg&amp;qlt=95" TargetMode="External"/><Relationship Id="rId145" Type="http://schemas.openxmlformats.org/officeDocument/2006/relationships/hyperlink" Target="https://www.bing.com/th?id=OSK.5c35f2b2b89f1b60d0d45e2c55db43f1&amp;qlt=95" TargetMode="External"/><Relationship Id="rId187" Type="http://schemas.openxmlformats.org/officeDocument/2006/relationships/hyperlink" Target="https://www.bing.com/th?id=OSK.N6H9T_Tyb3R18nQlSlcj1fAUzxaVwk4zbUkYFZq94SU&amp;qlt=95" TargetMode="External"/><Relationship Id="rId352" Type="http://schemas.openxmlformats.org/officeDocument/2006/relationships/hyperlink" Target="https://www.bing.com/images/search?form=xlimg&amp;q=Cilieni" TargetMode="External"/><Relationship Id="rId394" Type="http://schemas.openxmlformats.org/officeDocument/2006/relationships/hyperlink" Target="https://www.bing.com/images/search?form=xlimg&amp;q=Dr%c4%83g%c4%83ne%c8%99ti-Olt" TargetMode="External"/><Relationship Id="rId408" Type="http://schemas.openxmlformats.org/officeDocument/2006/relationships/hyperlink" Target="https://www.bing.com/images/search?form=xlimg&amp;q=Ieud" TargetMode="External"/><Relationship Id="rId212" Type="http://schemas.openxmlformats.org/officeDocument/2006/relationships/hyperlink" Target="https://www.bing.com/images/search?form=xlimg&amp;q=S%c4%83c%c4%83laz" TargetMode="External"/><Relationship Id="rId254" Type="http://schemas.openxmlformats.org/officeDocument/2006/relationships/hyperlink" Target="https://www.bing.com/images/search?form=xlimg&amp;q=Albe%c8%99tii%20de%20Arge%c8%99" TargetMode="External"/><Relationship Id="rId49" Type="http://schemas.openxmlformats.org/officeDocument/2006/relationships/hyperlink" Target="https://www.bing.com/th?id=OSK.4d1b9eea6d30d4e0d78ee2f47ff934c2&amp;qlt=95" TargetMode="External"/><Relationship Id="rId114" Type="http://schemas.openxmlformats.org/officeDocument/2006/relationships/hyperlink" Target="https://www.bing.com/images/search?form=xlimg&amp;q=Poroina%20Mare" TargetMode="External"/><Relationship Id="rId296" Type="http://schemas.openxmlformats.org/officeDocument/2006/relationships/hyperlink" Target="https://www.bing.com/images/search?form=xlimg&amp;q=Or%c8%9bi%c8%99oara" TargetMode="External"/><Relationship Id="rId461" Type="http://schemas.openxmlformats.org/officeDocument/2006/relationships/hyperlink" Target="https://www.bing.com/th?id=OSK.a986460f4a31e37de971828d164eadb9&amp;qlt=95" TargetMode="External"/><Relationship Id="rId517" Type="http://schemas.openxmlformats.org/officeDocument/2006/relationships/hyperlink" Target="https://www.bing.com/th?id=OSK.9997bdc54277ab55c3ca440df023443e&amp;qlt=95" TargetMode="External"/><Relationship Id="rId559" Type="http://schemas.openxmlformats.org/officeDocument/2006/relationships/hyperlink" Target="https://www.bing.com/th?id=OSK.e65a4cc13c340beb0b22aaa72eaa7f9d&amp;qlt=95" TargetMode="External"/><Relationship Id="rId60" Type="http://schemas.openxmlformats.org/officeDocument/2006/relationships/hyperlink" Target="https://www.bing.com/images/search?form=xlimg&amp;q=Baia%20Mare" TargetMode="External"/><Relationship Id="rId156" Type="http://schemas.openxmlformats.org/officeDocument/2006/relationships/hyperlink" Target="https://www.bing.com/images/search?form=xlimg&amp;q=Livezeni" TargetMode="External"/><Relationship Id="rId198" Type="http://schemas.openxmlformats.org/officeDocument/2006/relationships/hyperlink" Target="https://www.bing.com/images/search?form=xlimg&amp;q=Bistri%c8%9ba%20B%c3%a2rg%c4%83ului" TargetMode="External"/><Relationship Id="rId321" Type="http://schemas.openxmlformats.org/officeDocument/2006/relationships/hyperlink" Target="https://www.bing.com/th?id=OSK.41a0520e4b974abf81be2d5581cdfd3b&amp;qlt=95" TargetMode="External"/><Relationship Id="rId363" Type="http://schemas.openxmlformats.org/officeDocument/2006/relationships/hyperlink" Target="https://www.bing.com/th?id=OSK.ctvVg_PMyLHjVqm2DMTc3dYOqIKHlZE9Xn6g2KQZ2Dg&amp;qlt=95" TargetMode="External"/><Relationship Id="rId419" Type="http://schemas.openxmlformats.org/officeDocument/2006/relationships/hyperlink" Target="https://www.bing.com/th?id=OSK.2e3c09f2b189366e923bd11867a286c8&amp;qlt=95" TargetMode="External"/><Relationship Id="rId570" Type="http://schemas.openxmlformats.org/officeDocument/2006/relationships/hyperlink" Target="https://www.bing.com/images/search?form=xlimg&amp;q=Bon%c8%9bida" TargetMode="External"/><Relationship Id="rId223" Type="http://schemas.openxmlformats.org/officeDocument/2006/relationships/hyperlink" Target="https://www.bing.com/th?id=OSK.77a0660516dcd05df7cdf8d7a4a55ed7&amp;qlt=95" TargetMode="External"/><Relationship Id="rId430" Type="http://schemas.openxmlformats.org/officeDocument/2006/relationships/hyperlink" Target="https://www.bing.com/images/search?form=xlimg&amp;q=Carei" TargetMode="External"/><Relationship Id="rId18" Type="http://schemas.openxmlformats.org/officeDocument/2006/relationships/hyperlink" Target="https://www.bing.com/images/search?form=xlimg&amp;q=Cristuru%20Secuiesc" TargetMode="External"/><Relationship Id="rId265" Type="http://schemas.openxmlformats.org/officeDocument/2006/relationships/hyperlink" Target="https://www.bing.com/th?id=OSK.6b06733b72c9d95020ff1ece34c3aa67&amp;qlt=95" TargetMode="External"/><Relationship Id="rId472" Type="http://schemas.openxmlformats.org/officeDocument/2006/relationships/hyperlink" Target="https://www.bing.com/images/search?form=xlimg&amp;q=Sighi%c8%99oara" TargetMode="External"/><Relationship Id="rId528" Type="http://schemas.openxmlformats.org/officeDocument/2006/relationships/hyperlink" Target="https://www.bing.com/images/search?form=xlimg&amp;q=Dannet" TargetMode="External"/><Relationship Id="rId125" Type="http://schemas.openxmlformats.org/officeDocument/2006/relationships/hyperlink" Target="https://www.bing.com/th?id=OSK.63b80ee2bcc1d4f51d85bbeb4c17bac8&amp;qlt=95" TargetMode="External"/><Relationship Id="rId167" Type="http://schemas.openxmlformats.org/officeDocument/2006/relationships/hyperlink" Target="https://www.bing.com/th?id=OSK.a97958dfa911ed1a2cd63b324caa8eb6&amp;qlt=95" TargetMode="External"/><Relationship Id="rId332" Type="http://schemas.openxmlformats.org/officeDocument/2006/relationships/hyperlink" Target="https://www.bing.com/images/search?form=xlimg&amp;q=Dr%c4%83g%c4%83%c8%99ani" TargetMode="External"/><Relationship Id="rId374" Type="http://schemas.openxmlformats.org/officeDocument/2006/relationships/hyperlink" Target="https://www.bing.com/images/search?form=xlimg&amp;q=Caransebe%c8%99" TargetMode="External"/><Relationship Id="rId581" Type="http://schemas.openxmlformats.org/officeDocument/2006/relationships/hyperlink" Target="https://www.bing.com/th?id=OSK.virReQEatgHgkBL0HkIYgtzXB5tlOrIt27Rm4qDmufg&amp;qlt=95" TargetMode="External"/><Relationship Id="rId71" Type="http://schemas.openxmlformats.org/officeDocument/2006/relationships/hyperlink" Target="https://www.bing.com/th?id=OSK.030a8bc6dd714264f410c7836e2f93d9&amp;qlt=95" TargetMode="External"/><Relationship Id="rId234" Type="http://schemas.openxmlformats.org/officeDocument/2006/relationships/hyperlink" Target="https://www.bing.com/images/search?form=xlimg&amp;q=Ocna%20%c8%98ugatag" TargetMode="External"/><Relationship Id="rId2" Type="http://schemas.openxmlformats.org/officeDocument/2006/relationships/hyperlink" Target="https://www.bing.com/images/search?form=xlimg&amp;q=Sibiu%20County" TargetMode="External"/><Relationship Id="rId29" Type="http://schemas.openxmlformats.org/officeDocument/2006/relationships/hyperlink" Target="https://www.bing.com/th?id=OSK.UpFKWlJbwnU6sl9uMt4Id5tpQroBv_03yp0EogZTnNU&amp;qlt=95" TargetMode="External"/><Relationship Id="rId276" Type="http://schemas.openxmlformats.org/officeDocument/2006/relationships/hyperlink" Target="https://www.bing.com/images/search?form=xlimg&amp;q=Mica,%20Mure%c8%99" TargetMode="External"/><Relationship Id="rId441" Type="http://schemas.openxmlformats.org/officeDocument/2006/relationships/hyperlink" Target="https://www.bing.com/th?id=OSK.afaae4fa0f6ba9f0b26ccfe593253c7f&amp;qlt=95" TargetMode="External"/><Relationship Id="rId483" Type="http://schemas.openxmlformats.org/officeDocument/2006/relationships/hyperlink" Target="https://www.bing.com/th?id=OSK.76ee5a01fa59ac83b53f1de9b3780d51&amp;qlt=95" TargetMode="External"/><Relationship Id="rId539" Type="http://schemas.openxmlformats.org/officeDocument/2006/relationships/hyperlink" Target="https://www.bing.com/th?id=OSK.af381993817200744e3d64054ae3242a&amp;qlt=95" TargetMode="External"/><Relationship Id="rId40" Type="http://schemas.openxmlformats.org/officeDocument/2006/relationships/hyperlink" Target="https://www.bing.com/images/search?form=xlimg&amp;q=Bra%c8%99ov%20County" TargetMode="External"/><Relationship Id="rId136" Type="http://schemas.openxmlformats.org/officeDocument/2006/relationships/hyperlink" Target="https://www.bing.com/images/search?form=xlimg&amp;q=Teleorman%20County" TargetMode="External"/><Relationship Id="rId178" Type="http://schemas.openxmlformats.org/officeDocument/2006/relationships/hyperlink" Target="https://www.bing.com/images/search?form=xlimg&amp;q=C%c3%a2mpulung" TargetMode="External"/><Relationship Id="rId301" Type="http://schemas.openxmlformats.org/officeDocument/2006/relationships/hyperlink" Target="https://www.bing.com/th?id=OSK.3e125453059e8f7ea1441ac047acf2a0&amp;qlt=95" TargetMode="External"/><Relationship Id="rId343" Type="http://schemas.openxmlformats.org/officeDocument/2006/relationships/hyperlink" Target="https://www.bing.com/th?id=OSK.cc463f1d81d04319190fb9461d9257df&amp;qlt=95" TargetMode="External"/><Relationship Id="rId550" Type="http://schemas.openxmlformats.org/officeDocument/2006/relationships/hyperlink" Target="https://www.bing.com/images/search?form=xlimg&amp;q=F%c4%83get" TargetMode="External"/><Relationship Id="rId82" Type="http://schemas.openxmlformats.org/officeDocument/2006/relationships/hyperlink" Target="https://www.bing.com/images/search?form=xlimg&amp;q=V%c3%a2nju%20Mare" TargetMode="External"/><Relationship Id="rId203" Type="http://schemas.openxmlformats.org/officeDocument/2006/relationships/hyperlink" Target="https://www.bing.com/th?id=OSK.1d1bafc0759064a3aead4b7dd0880039&amp;qlt=95" TargetMode="External"/><Relationship Id="rId385" Type="http://schemas.openxmlformats.org/officeDocument/2006/relationships/hyperlink" Target="https://www.bing.com/th?id=OSK.UHw2ELtD-lqLl-37Dq1j9d9ogQKmlqhqEATinTjvhyw&amp;qlt=95" TargetMode="External"/><Relationship Id="rId592" Type="http://schemas.openxmlformats.org/officeDocument/2006/relationships/hyperlink" Target="https://www.bing.com/images/search?form=xlimg&amp;q=Chisindia" TargetMode="External"/><Relationship Id="rId245" Type="http://schemas.openxmlformats.org/officeDocument/2006/relationships/hyperlink" Target="https://www.bing.com/th?id=OSK.cd395c9a9fcdc85d6af308e2a092250d&amp;qlt=95" TargetMode="External"/><Relationship Id="rId287" Type="http://schemas.openxmlformats.org/officeDocument/2006/relationships/hyperlink" Target="https://www.bing.com/th?id=OSK.fd5f249140a4374b986804c3655fb6a1&amp;qlt=95" TargetMode="External"/><Relationship Id="rId410" Type="http://schemas.openxmlformats.org/officeDocument/2006/relationships/hyperlink" Target="https://www.bing.com/images/search?form=xlimg&amp;q=Maieru" TargetMode="External"/><Relationship Id="rId452" Type="http://schemas.openxmlformats.org/officeDocument/2006/relationships/hyperlink" Target="https://www.bing.com/images/search?form=xlimg&amp;q=Negre%c8%99ti-Oa%c8%99" TargetMode="External"/><Relationship Id="rId494" Type="http://schemas.openxmlformats.org/officeDocument/2006/relationships/hyperlink" Target="https://www.bing.com/images/search?form=xlimg&amp;q=C%c3%a2mpulung%20la%20Tisa" TargetMode="External"/><Relationship Id="rId508" Type="http://schemas.openxmlformats.org/officeDocument/2006/relationships/hyperlink" Target="https://www.bing.com/images/search?form=xlimg&amp;q=Ciacova" TargetMode="External"/><Relationship Id="rId105" Type="http://schemas.openxmlformats.org/officeDocument/2006/relationships/hyperlink" Target="https://www.bing.com/th?id=OSK.34d37814d879802884d2a23c00c66dfd&amp;qlt=95" TargetMode="External"/><Relationship Id="rId147" Type="http://schemas.openxmlformats.org/officeDocument/2006/relationships/hyperlink" Target="https://www.bing.com/th?id=OSK.e87b55b916355ce032ecb83be2e3b9ac&amp;qlt=95" TargetMode="External"/><Relationship Id="rId312" Type="http://schemas.openxmlformats.org/officeDocument/2006/relationships/hyperlink" Target="https://www.bing.com/images/search?form=xlimg&amp;q=Giri%c8%99u%20de%20Cri%c8%99" TargetMode="External"/><Relationship Id="rId354" Type="http://schemas.openxmlformats.org/officeDocument/2006/relationships/hyperlink" Target="https://www.bing.com/images/search?form=xlimg&amp;q=Miercurea%20Nirajului" TargetMode="External"/><Relationship Id="rId51" Type="http://schemas.openxmlformats.org/officeDocument/2006/relationships/hyperlink" Target="https://www.bing.com/th?id=OSK.773fb1fd6864073cf6d1c4e703afcca1&amp;qlt=95" TargetMode="External"/><Relationship Id="rId93" Type="http://schemas.openxmlformats.org/officeDocument/2006/relationships/hyperlink" Target="https://www.bing.com/th?id=OSK.5ba7171d91e8aeecdc9d34bb082b8d6b&amp;qlt=95" TargetMode="External"/><Relationship Id="rId189" Type="http://schemas.openxmlformats.org/officeDocument/2006/relationships/hyperlink" Target="https://www.bing.com/th?id=OSK.sKKnMNhX8HLSMPXB66hokrAd9mhm8i56vwj2iw2KSUY&amp;qlt=95" TargetMode="External"/><Relationship Id="rId396" Type="http://schemas.openxmlformats.org/officeDocument/2006/relationships/hyperlink" Target="https://www.bing.com/images/search?form=xlimg&amp;q=Scornice%c8%99ti" TargetMode="External"/><Relationship Id="rId561" Type="http://schemas.openxmlformats.org/officeDocument/2006/relationships/hyperlink" Target="https://www.bing.com/th?id=OSK.b5f64b83c805bb777b44a7995edb2e33&amp;qlt=95" TargetMode="External"/><Relationship Id="rId214" Type="http://schemas.openxmlformats.org/officeDocument/2006/relationships/hyperlink" Target="https://www.bing.com/images/search?form=xlimg&amp;q=Ghimbav" TargetMode="External"/><Relationship Id="rId256" Type="http://schemas.openxmlformats.org/officeDocument/2006/relationships/hyperlink" Target="https://www.bing.com/images/search?form=xlimg&amp;q=Reca%c8%99" TargetMode="External"/><Relationship Id="rId298" Type="http://schemas.openxmlformats.org/officeDocument/2006/relationships/hyperlink" Target="https://www.bing.com/images/search?form=xlimg&amp;q=Poiana%20Lacului" TargetMode="External"/><Relationship Id="rId421" Type="http://schemas.openxmlformats.org/officeDocument/2006/relationships/hyperlink" Target="https://www.bing.com/th?id=OSK.32f587325895fa81ee6828553345acd2&amp;qlt=95" TargetMode="External"/><Relationship Id="rId463" Type="http://schemas.openxmlformats.org/officeDocument/2006/relationships/hyperlink" Target="https://www.bing.com/th?id=OSK.ctvVg_PMyLHjVqm2DMTc3dYOqIKHlZE9Xn6g2KQZ2Dg&amp;qlt=95" TargetMode="External"/><Relationship Id="rId519" Type="http://schemas.openxmlformats.org/officeDocument/2006/relationships/hyperlink" Target="https://www.bing.com/th?id=OSK.692bdf1ac0d242fa448afcc1bf1bc096&amp;qlt=95" TargetMode="External"/><Relationship Id="rId116" Type="http://schemas.openxmlformats.org/officeDocument/2006/relationships/hyperlink" Target="https://www.bing.com/images/search?form=xlimg&amp;q=V%c3%a2lcea%20County" TargetMode="External"/><Relationship Id="rId158" Type="http://schemas.openxmlformats.org/officeDocument/2006/relationships/hyperlink" Target="https://www.bing.com/images/search?form=xlimg&amp;q=Syria" TargetMode="External"/><Relationship Id="rId323" Type="http://schemas.openxmlformats.org/officeDocument/2006/relationships/hyperlink" Target="https://www.bing.com/th?id=OSK.a0aa52039187fa897dff3b8d2456705a&amp;qlt=95" TargetMode="External"/><Relationship Id="rId530" Type="http://schemas.openxmlformats.org/officeDocument/2006/relationships/hyperlink" Target="https://www.bing.com/images/search?form=xlimg&amp;q=Budacu%20de%20Jos" TargetMode="External"/><Relationship Id="rId20" Type="http://schemas.openxmlformats.org/officeDocument/2006/relationships/hyperlink" Target="https://www.bing.com/images/search?form=xlimg&amp;q=Harghita%20County" TargetMode="External"/><Relationship Id="rId62" Type="http://schemas.openxmlformats.org/officeDocument/2006/relationships/hyperlink" Target="https://www.bing.com/images/search?form=xlimg&amp;q=Cara%c8%99-Severin%20County" TargetMode="External"/><Relationship Id="rId365" Type="http://schemas.openxmlformats.org/officeDocument/2006/relationships/hyperlink" Target="https://www.bing.com/th?id=OSK.dd5e0e6fc27a375aa1c196330da4bcb9&amp;qlt=95" TargetMode="External"/><Relationship Id="rId572" Type="http://schemas.openxmlformats.org/officeDocument/2006/relationships/hyperlink" Target="https://www.bing.com/images/search?form=xlimg&amp;q=%c8%98imnicu%20de%20Sus" TargetMode="External"/><Relationship Id="rId225" Type="http://schemas.openxmlformats.org/officeDocument/2006/relationships/hyperlink" Target="https://www.bing.com/th?id=OSK.a0bed0a09655258babacc58814c97121&amp;qlt=95" TargetMode="External"/><Relationship Id="rId267" Type="http://schemas.openxmlformats.org/officeDocument/2006/relationships/hyperlink" Target="https://www.bing.com/th?id=OSK.484c75b9d17d3e3810c40ae425a88003&amp;qlt=95" TargetMode="External"/><Relationship Id="rId432" Type="http://schemas.openxmlformats.org/officeDocument/2006/relationships/hyperlink" Target="https://www.bing.com/images/search?form=xlimg&amp;q=Petro%c8%99ani" TargetMode="External"/><Relationship Id="rId474" Type="http://schemas.openxmlformats.org/officeDocument/2006/relationships/hyperlink" Target="https://www.bing.com/images/search?form=xlimg&amp;q=Sita%20Buz%c4%83ului" TargetMode="External"/><Relationship Id="rId127" Type="http://schemas.openxmlformats.org/officeDocument/2006/relationships/hyperlink" Target="https://www.bing.com/th?id=OSK.T0drSQyX_HqVDsE61_y2gGUCzAS7YDRWFNSUTzULRlg&amp;qlt=95" TargetMode="External"/><Relationship Id="rId31" Type="http://schemas.openxmlformats.org/officeDocument/2006/relationships/hyperlink" Target="https://www.bing.com/th?id=OSK.sUS3MrqKfocUUth335CzhZDT6WY-y1OT5yQrQhRxUvQ&amp;qlt=95" TargetMode="External"/><Relationship Id="rId73" Type="http://schemas.openxmlformats.org/officeDocument/2006/relationships/hyperlink" Target="https://www.bing.com/th?id=OSK.432a6118d9e048bf1cc4f9aab26a890c&amp;qlt=95" TargetMode="External"/><Relationship Id="rId169" Type="http://schemas.openxmlformats.org/officeDocument/2006/relationships/hyperlink" Target="https://www.bing.com/th?id=OSK.1298ca0c61b8eb60d881e250f389a3cf&amp;qlt=95" TargetMode="External"/><Relationship Id="rId334" Type="http://schemas.openxmlformats.org/officeDocument/2006/relationships/hyperlink" Target="https://www.bing.com/images/search?form=xlimg&amp;q=Oravi%c8%9ba" TargetMode="External"/><Relationship Id="rId376" Type="http://schemas.openxmlformats.org/officeDocument/2006/relationships/hyperlink" Target="https://www.bing.com/images/search?form=xlimg&amp;q=Nojorid" TargetMode="External"/><Relationship Id="rId541" Type="http://schemas.openxmlformats.org/officeDocument/2006/relationships/hyperlink" Target="https://www.bing.com/th?id=OSK.7f542b8baf8ad17bcafef59feeb63a21&amp;qlt=95" TargetMode="External"/><Relationship Id="rId583" Type="http://schemas.openxmlformats.org/officeDocument/2006/relationships/hyperlink" Target="https://www.bing.com/th?id=OSK.e82116d7442dd04fdf6a1ad6f9e27606&amp;qlt=95" TargetMode="External"/><Relationship Id="rId4" Type="http://schemas.openxmlformats.org/officeDocument/2006/relationships/hyperlink" Target="https://www.bing.com/images/search?form=xlimg&amp;q=Sibiu" TargetMode="External"/><Relationship Id="rId180" Type="http://schemas.openxmlformats.org/officeDocument/2006/relationships/hyperlink" Target="https://www.bing.com/images/search?form=xlimg&amp;q=Corabia" TargetMode="External"/><Relationship Id="rId236" Type="http://schemas.openxmlformats.org/officeDocument/2006/relationships/hyperlink" Target="https://www.bing.com/images/search?form=xlimg&amp;q=Rom%c3%a2na%c8%99i" TargetMode="External"/><Relationship Id="rId278" Type="http://schemas.openxmlformats.org/officeDocument/2006/relationships/hyperlink" Target="https://www.bing.com/images/search?form=xlimg&amp;q=Jimbolia" TargetMode="External"/><Relationship Id="rId401" Type="http://schemas.openxmlformats.org/officeDocument/2006/relationships/hyperlink" Target="https://www.bing.com/th?id=OSK.c514c20b2f017e59af41343558663465&amp;qlt=95" TargetMode="External"/><Relationship Id="rId443" Type="http://schemas.openxmlformats.org/officeDocument/2006/relationships/hyperlink" Target="https://www.bing.com/th?id=OSK.4801c3642bd5fd26e19c226230785d76&amp;qlt=95" TargetMode="External"/><Relationship Id="rId303" Type="http://schemas.openxmlformats.org/officeDocument/2006/relationships/hyperlink" Target="https://www.bing.com/th?id=OSK.e18425b053fe1caf8dea548b5e31aa92&amp;qlt=95" TargetMode="External"/><Relationship Id="rId485" Type="http://schemas.openxmlformats.org/officeDocument/2006/relationships/hyperlink" Target="https://www.bing.com/th?id=OSK.bb2f36b2bc86e0446a78226d35fea4c4&amp;qlt=95" TargetMode="External"/><Relationship Id="rId42" Type="http://schemas.openxmlformats.org/officeDocument/2006/relationships/hyperlink" Target="https://www.bing.com/images/search?form=xlimg&amp;q=Bra%c8%99ov" TargetMode="External"/><Relationship Id="rId84" Type="http://schemas.openxmlformats.org/officeDocument/2006/relationships/hyperlink" Target="https://www.bing.com/images/search?form=xlimg&amp;q=Slobozia" TargetMode="External"/><Relationship Id="rId138" Type="http://schemas.openxmlformats.org/officeDocument/2006/relationships/hyperlink" Target="https://www.bing.com/images/search?form=xlimg&amp;q=Alexandria,%20Romania" TargetMode="External"/><Relationship Id="rId345" Type="http://schemas.openxmlformats.org/officeDocument/2006/relationships/hyperlink" Target="https://www.bing.com/th?id=OSK.2b76a9a5bb304c86471f31ff8d50bfee&amp;qlt=95" TargetMode="External"/><Relationship Id="rId387" Type="http://schemas.openxmlformats.org/officeDocument/2006/relationships/hyperlink" Target="https://www.bing.com/th?id=OSK.94d34696aad89e66b24fe57673a00ae5&amp;qlt=95" TargetMode="External"/><Relationship Id="rId510" Type="http://schemas.openxmlformats.org/officeDocument/2006/relationships/hyperlink" Target="https://www.bing.com/images/search?form=xlimg&amp;q=Apele%20Vii" TargetMode="External"/><Relationship Id="rId552" Type="http://schemas.openxmlformats.org/officeDocument/2006/relationships/hyperlink" Target="https://www.bing.com/images/search?form=xlimg&amp;q=Ruc%c4%83r" TargetMode="External"/><Relationship Id="rId594" Type="http://schemas.openxmlformats.org/officeDocument/2006/relationships/hyperlink" Target="https://www.bing.com/images/search?form=xlimg&amp;q=%c8%98imian,%20Mehedin%c8%9bi" TargetMode="External"/><Relationship Id="rId191" Type="http://schemas.openxmlformats.org/officeDocument/2006/relationships/hyperlink" Target="https://www.bing.com/th?id=OSK.8208a3d4df650cf5837f0df0d51eb7af&amp;qlt=95" TargetMode="External"/><Relationship Id="rId205" Type="http://schemas.openxmlformats.org/officeDocument/2006/relationships/hyperlink" Target="https://www.bing.com/th?id=OSK.ctvVg_PMyLHjVqm2DMTc3dYOqIKHlZE9Xn6g2KQZ2Dg&amp;qlt=95" TargetMode="External"/><Relationship Id="rId247" Type="http://schemas.openxmlformats.org/officeDocument/2006/relationships/hyperlink" Target="https://www.bing.com/th?id=OSK.602f4062b189e3db2a9919a698dbdbf5&amp;qlt=95" TargetMode="External"/><Relationship Id="rId412" Type="http://schemas.openxmlformats.org/officeDocument/2006/relationships/hyperlink" Target="https://www.bing.com/images/search?form=xlimg&amp;q=Corbi" TargetMode="External"/><Relationship Id="rId107" Type="http://schemas.openxmlformats.org/officeDocument/2006/relationships/hyperlink" Target="https://www.bing.com/th?id=OSK.f761c23a10f393ca39fdc4be794eed08&amp;qlt=95" TargetMode="External"/><Relationship Id="rId289" Type="http://schemas.openxmlformats.org/officeDocument/2006/relationships/hyperlink" Target="https://www.bing.com/th?id=OSK.6508fd5c51c9338b6bb34d4db9d755de&amp;qlt=95" TargetMode="External"/><Relationship Id="rId454" Type="http://schemas.openxmlformats.org/officeDocument/2006/relationships/hyperlink" Target="https://www.bing.com/images/search?form=xlimg&amp;q=Rupea" TargetMode="External"/><Relationship Id="rId496" Type="http://schemas.openxmlformats.org/officeDocument/2006/relationships/hyperlink" Target="https://www.bing.com/images/search?form=xlimg&amp;q=Bogdan%20Vod%c4%83" TargetMode="External"/><Relationship Id="rId11" Type="http://schemas.openxmlformats.org/officeDocument/2006/relationships/hyperlink" Target="https://www.bing.com/th?id=OSK.becb60f4ee11eaf09818ffbe3b0ef7e9&amp;qlt=95" TargetMode="External"/><Relationship Id="rId53" Type="http://schemas.openxmlformats.org/officeDocument/2006/relationships/hyperlink" Target="https://www.bing.com/th?id=OSK.h67aCX0RpkQX1Uhl8ADpcW6GQ7iikrUBTdv7dtWFtlE&amp;qlt=95" TargetMode="External"/><Relationship Id="rId149" Type="http://schemas.openxmlformats.org/officeDocument/2006/relationships/hyperlink" Target="https://www.bing.com/th?id=OSK.2204e5e3256ff8bd2382727bb4470128&amp;qlt=95" TargetMode="External"/><Relationship Id="rId314" Type="http://schemas.openxmlformats.org/officeDocument/2006/relationships/hyperlink" Target="https://www.bing.com/images/search?form=xlimg&amp;q=Vinga,%20Arad" TargetMode="External"/><Relationship Id="rId356" Type="http://schemas.openxmlformats.org/officeDocument/2006/relationships/hyperlink" Target="https://www.bing.com/images/search?form=xlimg&amp;q=Boc%c8%99a" TargetMode="External"/><Relationship Id="rId398" Type="http://schemas.openxmlformats.org/officeDocument/2006/relationships/hyperlink" Target="https://www.bing.com/images/search?form=xlimg&amp;q=Ghindari" TargetMode="External"/><Relationship Id="rId521" Type="http://schemas.openxmlformats.org/officeDocument/2006/relationships/hyperlink" Target="https://www.bing.com/th?id=OSK.42992f56d02de239f0fe50251daa7e1d&amp;qlt=95" TargetMode="External"/><Relationship Id="rId563" Type="http://schemas.openxmlformats.org/officeDocument/2006/relationships/hyperlink" Target="https://www.bing.com/th?id=OSK.77e80a673f42785aac9e1c2dd56565c4&amp;qlt=95" TargetMode="External"/><Relationship Id="rId95" Type="http://schemas.openxmlformats.org/officeDocument/2006/relationships/hyperlink" Target="https://www.bing.com/th?id=OSK.94449897c22abe55479f3a7de55628b6&amp;qlt=95" TargetMode="External"/><Relationship Id="rId160" Type="http://schemas.openxmlformats.org/officeDocument/2006/relationships/hyperlink" Target="https://www.bing.com/images/search?form=xlimg&amp;q=Giarmata" TargetMode="External"/><Relationship Id="rId216" Type="http://schemas.openxmlformats.org/officeDocument/2006/relationships/hyperlink" Target="https://www.bing.com/images/search?form=xlimg&amp;q=Chi%c8%99ineu-Cri%c8%99" TargetMode="External"/><Relationship Id="rId423" Type="http://schemas.openxmlformats.org/officeDocument/2006/relationships/hyperlink" Target="https://www.bing.com/th?id=OSK.ctvVg_PMyLHjVqm2DMTc3dYOqIKHlZE9Xn6g2KQZ2Dg&amp;qlt=95" TargetMode="External"/><Relationship Id="rId258" Type="http://schemas.openxmlformats.org/officeDocument/2006/relationships/hyperlink" Target="https://www.bing.com/images/search?form=xlimg&amp;q=Moieciu" TargetMode="External"/><Relationship Id="rId465" Type="http://schemas.openxmlformats.org/officeDocument/2006/relationships/hyperlink" Target="https://www.bing.com/th?id=OSK.403252d78bde0f3999f611827ccd53e3&amp;qlt=95" TargetMode="External"/><Relationship Id="rId22" Type="http://schemas.openxmlformats.org/officeDocument/2006/relationships/hyperlink" Target="https://www.bing.com/images/search?form=xlimg&amp;q=Beiu%c8%99" TargetMode="External"/><Relationship Id="rId64" Type="http://schemas.openxmlformats.org/officeDocument/2006/relationships/hyperlink" Target="https://www.bing.com/images/search?form=xlimg&amp;q=Lugoj" TargetMode="External"/><Relationship Id="rId118" Type="http://schemas.openxmlformats.org/officeDocument/2006/relationships/hyperlink" Target="https://www.bing.com/images/search?form=xlimg&amp;q=R%c3%a2mnicu%20V%c3%a2lcea" TargetMode="External"/><Relationship Id="rId325" Type="http://schemas.openxmlformats.org/officeDocument/2006/relationships/hyperlink" Target="https://www.bing.com/th?id=OSK.d03ebe89470c432149c827da4e3af5ff&amp;qlt=95" TargetMode="External"/><Relationship Id="rId367" Type="http://schemas.openxmlformats.org/officeDocument/2006/relationships/hyperlink" Target="https://www.bing.com/th?id=OSK.LPV7_gPQ9SAgpe4a8ZUwfbADMcHQWDlWn3hE_QXgFQo&amp;qlt=95" TargetMode="External"/><Relationship Id="rId532" Type="http://schemas.openxmlformats.org/officeDocument/2006/relationships/hyperlink" Target="https://www.bing.com/images/search?form=xlimg&amp;q=Ro%c8%99iorii%20de%20Vede" TargetMode="External"/><Relationship Id="rId574" Type="http://schemas.openxmlformats.org/officeDocument/2006/relationships/hyperlink" Target="https://www.bing.com/images/search?form=xlimg&amp;q=Hoghiz" TargetMode="External"/><Relationship Id="rId171" Type="http://schemas.openxmlformats.org/officeDocument/2006/relationships/hyperlink" Target="https://www.bing.com/th?id=OSK.b84a0addc9231baa418f4dccb02cb46b&amp;qlt=95" TargetMode="External"/><Relationship Id="rId227" Type="http://schemas.openxmlformats.org/officeDocument/2006/relationships/hyperlink" Target="https://www.bing.com/th?id=OSK.8beb90b8daaea33d332e32eb5f039124&amp;qlt=95" TargetMode="External"/><Relationship Id="rId269" Type="http://schemas.openxmlformats.org/officeDocument/2006/relationships/hyperlink" Target="https://www.bing.com/th?id=OSK.2a26ff073e30c86b483a606410019902&amp;qlt=95" TargetMode="External"/><Relationship Id="rId434" Type="http://schemas.openxmlformats.org/officeDocument/2006/relationships/hyperlink" Target="https://www.bing.com/images/search?form=xlimg&amp;q=Recea,%20Arge%c8%99" TargetMode="External"/><Relationship Id="rId476" Type="http://schemas.openxmlformats.org/officeDocument/2006/relationships/hyperlink" Target="https://www.bing.com/images/search?form=xlimg&amp;q=Izvoru%20B%c3%a2rzii" TargetMode="External"/><Relationship Id="rId33" Type="http://schemas.openxmlformats.org/officeDocument/2006/relationships/hyperlink" Target="https://www.bing.com/th?id=OSK.92f7250f171dc053994db0900cb56fc3&amp;qlt=95" TargetMode="External"/><Relationship Id="rId129" Type="http://schemas.openxmlformats.org/officeDocument/2006/relationships/hyperlink" Target="https://www.bing.com/th?id=OSK.q82hSSNLiqFEFV1A2Hkgc7G4V_AJYWmlz4RVVMliFaU&amp;qlt=95" TargetMode="External"/><Relationship Id="rId280" Type="http://schemas.openxmlformats.org/officeDocument/2006/relationships/hyperlink" Target="https://www.bing.com/images/search?form=xlimg&amp;q=%c8%98imleu%20Silvaniei" TargetMode="External"/><Relationship Id="rId336" Type="http://schemas.openxmlformats.org/officeDocument/2006/relationships/hyperlink" Target="https://www.bing.com/images/search?form=xlimg&amp;q=Rebri%c8%99oara" TargetMode="External"/><Relationship Id="rId501" Type="http://schemas.openxmlformats.org/officeDocument/2006/relationships/hyperlink" Target="https://www.bing.com/th?id=OSK.802baf9c93e630925a732325da903647&amp;qlt=95" TargetMode="External"/><Relationship Id="rId543" Type="http://schemas.openxmlformats.org/officeDocument/2006/relationships/hyperlink" Target="https://www.bing.com/th?id=OSK.06de3e4b3c947635fdae721ef002b4e2&amp;qlt=95" TargetMode="External"/><Relationship Id="rId75" Type="http://schemas.openxmlformats.org/officeDocument/2006/relationships/hyperlink" Target="https://www.bing.com/th?id=OSK.498f00486019329684aefb6d7d0373b0&amp;qlt=95" TargetMode="External"/><Relationship Id="rId140" Type="http://schemas.openxmlformats.org/officeDocument/2006/relationships/hyperlink" Target="https://www.bing.com/images/search?form=xlimg&amp;q=Gepiu" TargetMode="External"/><Relationship Id="rId182" Type="http://schemas.openxmlformats.org/officeDocument/2006/relationships/hyperlink" Target="https://www.bing.com/images/search?form=xlimg&amp;q=Mihai%20Viteazu,%20Cluj" TargetMode="External"/><Relationship Id="rId378" Type="http://schemas.openxmlformats.org/officeDocument/2006/relationships/hyperlink" Target="https://www.bing.com/images/search?form=xlimg&amp;q=F%c3%a2nt%c3%a2nele,%20Arad" TargetMode="External"/><Relationship Id="rId403" Type="http://schemas.openxmlformats.org/officeDocument/2006/relationships/hyperlink" Target="https://www.bing.com/th?id=OSK.29c5eadefcbb9411242096d0e3df73e3&amp;qlt=95" TargetMode="External"/><Relationship Id="rId585" Type="http://schemas.openxmlformats.org/officeDocument/2006/relationships/hyperlink" Target="https://www.bing.com/th?id=OSK.7f00de60ecc8a7d27c1e56c5bcc67f54&amp;qlt=95" TargetMode="External"/><Relationship Id="rId6" Type="http://schemas.openxmlformats.org/officeDocument/2006/relationships/hyperlink" Target="https://www.bing.com/images/search?form=xlimg&amp;q=Arge%c8%99%20County" TargetMode="External"/><Relationship Id="rId238" Type="http://schemas.openxmlformats.org/officeDocument/2006/relationships/hyperlink" Target="https://www.bing.com/images/search?form=xlimg&amp;q=Marghita" TargetMode="External"/><Relationship Id="rId445" Type="http://schemas.openxmlformats.org/officeDocument/2006/relationships/hyperlink" Target="https://www.bing.com/th?id=OSK.c1d2d8fed9af82b3739d0c83ec320133&amp;qlt=95" TargetMode="External"/><Relationship Id="rId487" Type="http://schemas.openxmlformats.org/officeDocument/2006/relationships/hyperlink" Target="https://www.bing.com/th?id=OSK.348034d201092484457aa99b0f507fb6&amp;qlt=95" TargetMode="External"/><Relationship Id="rId291" Type="http://schemas.openxmlformats.org/officeDocument/2006/relationships/hyperlink" Target="https://www.bing.com/th?id=OSK.6f54f90eea497f968fac4d90a96926af&amp;qlt=95" TargetMode="External"/><Relationship Id="rId305" Type="http://schemas.openxmlformats.org/officeDocument/2006/relationships/hyperlink" Target="https://www.bing.com/th?id=OSK.1a16755431974c75929d254dd936c221&amp;qlt=95" TargetMode="External"/><Relationship Id="rId347" Type="http://schemas.openxmlformats.org/officeDocument/2006/relationships/hyperlink" Target="https://www.bing.com/th?id=OSK.b8c48d46c4c3ab6729a4871a5b5483e7&amp;qlt=95" TargetMode="External"/><Relationship Id="rId512" Type="http://schemas.openxmlformats.org/officeDocument/2006/relationships/hyperlink" Target="https://www.bing.com/images/search?form=xlimg&amp;q=Bal%c8%99" TargetMode="External"/><Relationship Id="rId44" Type="http://schemas.openxmlformats.org/officeDocument/2006/relationships/hyperlink" Target="https://www.bing.com/images/search?form=xlimg&amp;q=Bistri%c8%9ba-N%c4%83s%c4%83ud%20County" TargetMode="External"/><Relationship Id="rId86" Type="http://schemas.openxmlformats.org/officeDocument/2006/relationships/hyperlink" Target="https://www.bing.com/images/search?form=xlimg&amp;q=Ialomi%c8%9ba%20County" TargetMode="External"/><Relationship Id="rId151" Type="http://schemas.openxmlformats.org/officeDocument/2006/relationships/hyperlink" Target="https://www.bing.com/th?id=OSK.c18f91a5c0952ad98e074a517881f207&amp;qlt=95" TargetMode="External"/><Relationship Id="rId389" Type="http://schemas.openxmlformats.org/officeDocument/2006/relationships/hyperlink" Target="https://www.bing.com/th?id=OSK.9Brf4ZZ9je3aji4Jj_zjbvt4b9MHTCiAoVnuCNMFTwI&amp;qlt=95" TargetMode="External"/><Relationship Id="rId554" Type="http://schemas.openxmlformats.org/officeDocument/2006/relationships/hyperlink" Target="https://www.bing.com/images/search?form=xlimg&amp;q=Brastav%c4%83%c8%9bu" TargetMode="External"/><Relationship Id="rId596" Type="http://schemas.openxmlformats.org/officeDocument/2006/relationships/hyperlink" Target="https://www.bing.com/images/search?form=xlimg&amp;q=S%c4%83p%c3%a2n%c8%9ba" TargetMode="External"/><Relationship Id="rId193" Type="http://schemas.openxmlformats.org/officeDocument/2006/relationships/hyperlink" Target="https://www.bing.com/th?id=OSK.e618a53c46df8ce8d9106e8dd3be292d&amp;qlt=95" TargetMode="External"/><Relationship Id="rId207" Type="http://schemas.openxmlformats.org/officeDocument/2006/relationships/hyperlink" Target="https://www.bing.com/th?id=OSK.ctvVg_PMyLHjVqm2DMTc3dYOqIKHlZE9Xn6g2KQZ2Dg&amp;qlt=95" TargetMode="External"/><Relationship Id="rId249" Type="http://schemas.openxmlformats.org/officeDocument/2006/relationships/hyperlink" Target="https://www.bing.com/th?id=OSK.25a9066227f8930f630c7a69eb746336&amp;qlt=95" TargetMode="External"/><Relationship Id="rId414" Type="http://schemas.openxmlformats.org/officeDocument/2006/relationships/hyperlink" Target="https://www.bing.com/images/search?form=xlimg&amp;q=Pruni%c8%99or" TargetMode="External"/><Relationship Id="rId456" Type="http://schemas.openxmlformats.org/officeDocument/2006/relationships/hyperlink" Target="https://www.bing.com/images/search?form=xlimg&amp;q=Creaca" TargetMode="External"/><Relationship Id="rId498" Type="http://schemas.openxmlformats.org/officeDocument/2006/relationships/hyperlink" Target="https://www.bing.com/images/search?form=xlimg&amp;q=H%c4%83lchiu" TargetMode="External"/><Relationship Id="rId13" Type="http://schemas.openxmlformats.org/officeDocument/2006/relationships/hyperlink" Target="https://www.bing.com/th?id=OSK.03d4b23730c73491715f31de033801fd&amp;qlt=95" TargetMode="External"/><Relationship Id="rId109" Type="http://schemas.openxmlformats.org/officeDocument/2006/relationships/hyperlink" Target="https://www.bing.com/th?id=OSK.vZkxq7-i_rXAx5eYniF615Ge-DaSJB16-STOcVLVo6g&amp;qlt=95" TargetMode="External"/><Relationship Id="rId260" Type="http://schemas.openxmlformats.org/officeDocument/2006/relationships/hyperlink" Target="https://www.bing.com/images/search?form=xlimg&amp;q=Pecica" TargetMode="External"/><Relationship Id="rId316" Type="http://schemas.openxmlformats.org/officeDocument/2006/relationships/hyperlink" Target="https://www.bing.com/images/search?form=xlimg&amp;q=Curtea%20de%20Arge%c8%99" TargetMode="External"/><Relationship Id="rId523" Type="http://schemas.openxmlformats.org/officeDocument/2006/relationships/hyperlink" Target="https://www.bing.com/th?id=OSK.420a5b68b3fb47f10f8cc19d3e88940e&amp;qlt=95" TargetMode="External"/><Relationship Id="rId55" Type="http://schemas.openxmlformats.org/officeDocument/2006/relationships/hyperlink" Target="https://www.bing.com/th?id=OSK.6bdfcca4fc8131c79a005b5e6ce0f63c&amp;qlt=95" TargetMode="External"/><Relationship Id="rId97" Type="http://schemas.openxmlformats.org/officeDocument/2006/relationships/hyperlink" Target="https://www.bing.com/th?id=OSK.42057296cbca124fcc344917720d8860&amp;qlt=95" TargetMode="External"/><Relationship Id="rId120" Type="http://schemas.openxmlformats.org/officeDocument/2006/relationships/hyperlink" Target="https://www.bing.com/images/search?form=xlimg&amp;q=Satu%20Mare%20County" TargetMode="External"/><Relationship Id="rId358" Type="http://schemas.openxmlformats.org/officeDocument/2006/relationships/hyperlink" Target="https://www.bing.com/images/search?form=xlimg&amp;q=Apahida" TargetMode="External"/><Relationship Id="rId565" Type="http://schemas.openxmlformats.org/officeDocument/2006/relationships/hyperlink" Target="https://www.bing.com/th?id=OSK.k2SWYPiZLndsIwvlSmBHvZ_3e5MwrQaJWY4OiLLB0yU&amp;qlt=95" TargetMode="External"/><Relationship Id="rId162" Type="http://schemas.openxmlformats.org/officeDocument/2006/relationships/hyperlink" Target="https://www.bing.com/images/search?form=xlimg&amp;q=Mo%c8%99ni%c8%9ba%20Nou%c4%83" TargetMode="External"/><Relationship Id="rId218" Type="http://schemas.openxmlformats.org/officeDocument/2006/relationships/hyperlink" Target="https://www.bing.com/images/search?form=xlimg&amp;q=N%c4%83s%c4%83ud" TargetMode="External"/><Relationship Id="rId425" Type="http://schemas.openxmlformats.org/officeDocument/2006/relationships/hyperlink" Target="https://www.bing.com/th?id=OSK.480994fb7719a7f0316591eb4c0b4150&amp;qlt=95" TargetMode="External"/><Relationship Id="rId467" Type="http://schemas.openxmlformats.org/officeDocument/2006/relationships/hyperlink" Target="https://www.bing.com/th?id=OSK.13bd5977deaf8707c178a0944d6f977b&amp;qlt=95" TargetMode="External"/><Relationship Id="rId271" Type="http://schemas.openxmlformats.org/officeDocument/2006/relationships/hyperlink" Target="https://www.bing.com/th?id=OSK.Mp4e8PMlO-rYVIPXDynm8cHEFedL1wdSjBvMvjvbJ8Y&amp;qlt=95" TargetMode="External"/><Relationship Id="rId24" Type="http://schemas.openxmlformats.org/officeDocument/2006/relationships/hyperlink" Target="https://www.bing.com/images/search?form=xlimg&amp;q=Drobeta-Turnu%20Severin" TargetMode="External"/><Relationship Id="rId66" Type="http://schemas.openxmlformats.org/officeDocument/2006/relationships/hyperlink" Target="https://www.bing.com/images/search?form=xlimg&amp;q=Re%c8%99i%c8%9ba" TargetMode="External"/><Relationship Id="rId131" Type="http://schemas.openxmlformats.org/officeDocument/2006/relationships/hyperlink" Target="https://www.bing.com/th?id=OSK.6217849de613d93494212c0344e6e750&amp;qlt=95" TargetMode="External"/><Relationship Id="rId327" Type="http://schemas.openxmlformats.org/officeDocument/2006/relationships/hyperlink" Target="https://www.bing.com/th?id=OSK.b1b4360c77168c00579f8e595ec520e1&amp;qlt=95" TargetMode="External"/><Relationship Id="rId369" Type="http://schemas.openxmlformats.org/officeDocument/2006/relationships/hyperlink" Target="https://www.bing.com/th?id=OSK.aa5efedf5f16e38279a50b16d0810c8d&amp;qlt=95" TargetMode="External"/><Relationship Id="rId534" Type="http://schemas.openxmlformats.org/officeDocument/2006/relationships/hyperlink" Target="https://www.bing.com/images/search?form=xlimg&amp;q=Negreni,%20Cluj" TargetMode="External"/><Relationship Id="rId576" Type="http://schemas.openxmlformats.org/officeDocument/2006/relationships/hyperlink" Target="https://www.bing.com/images/search?form=xlimg&amp;q=Periam" TargetMode="External"/><Relationship Id="rId173" Type="http://schemas.openxmlformats.org/officeDocument/2006/relationships/hyperlink" Target="https://www.bing.com/th?id=OSK.c64587b79a3a9d98452873ae773481b8&amp;qlt=95" TargetMode="External"/><Relationship Id="rId229" Type="http://schemas.openxmlformats.org/officeDocument/2006/relationships/hyperlink" Target="https://www.bing.com/th?id=OSK.aA-u0yNsZSOFnoWyWzUgq9GfLsdLID4x_DQRtDZGT1U&amp;qlt=95" TargetMode="External"/><Relationship Id="rId380" Type="http://schemas.openxmlformats.org/officeDocument/2006/relationships/hyperlink" Target="https://www.bing.com/images/search?form=xlimg&amp;q=F%c4%83g%c4%83ra%c8%99" TargetMode="External"/><Relationship Id="rId436" Type="http://schemas.openxmlformats.org/officeDocument/2006/relationships/hyperlink" Target="https://www.bing.com/images/search?form=xlimg&amp;q=Remetea%20Mare" TargetMode="External"/><Relationship Id="rId601" Type="http://schemas.openxmlformats.org/officeDocument/2006/relationships/hyperlink" Target="https://www.bing.com/th?id=OSK.9b317593ca87dad3916c73aa8d24d0f4&amp;qlt=95" TargetMode="External"/><Relationship Id="rId240" Type="http://schemas.openxmlformats.org/officeDocument/2006/relationships/hyperlink" Target="https://www.bing.com/images/search?form=xlimg&amp;q=Aita%20Mare" TargetMode="External"/><Relationship Id="rId478" Type="http://schemas.openxmlformats.org/officeDocument/2006/relationships/hyperlink" Target="https://www.bing.com/images/search?form=xlimg&amp;q=B%c4%83lile%c8%99ti" TargetMode="External"/><Relationship Id="rId35" Type="http://schemas.openxmlformats.org/officeDocument/2006/relationships/hyperlink" Target="https://www.bing.com/th?id=OSK.e9c728d68f527959eafc5a000ba285f0&amp;qlt=95" TargetMode="External"/><Relationship Id="rId77" Type="http://schemas.openxmlformats.org/officeDocument/2006/relationships/hyperlink" Target="https://www.bing.com/th?id=OSK.1CtUIm6LC3lMHj47tuiubosLyOCoHa7ZfD4_Fm8BTws&amp;qlt=95" TargetMode="External"/><Relationship Id="rId100" Type="http://schemas.openxmlformats.org/officeDocument/2006/relationships/hyperlink" Target="https://www.bing.com/images/search?form=xlimg&amp;q=Ocna%20Mure%c8%99" TargetMode="External"/><Relationship Id="rId282" Type="http://schemas.openxmlformats.org/officeDocument/2006/relationships/hyperlink" Target="https://www.bing.com/images/search?form=xlimg&amp;q=B%c3%a2lteni" TargetMode="External"/><Relationship Id="rId338" Type="http://schemas.openxmlformats.org/officeDocument/2006/relationships/hyperlink" Target="https://www.bing.com/images/search?form=xlimg&amp;q=Odorheiu%20Secuiesc" TargetMode="External"/><Relationship Id="rId503" Type="http://schemas.openxmlformats.org/officeDocument/2006/relationships/hyperlink" Target="https://www.bing.com/th?id=OSK.4KoDQ8OcIVNZbL1Np1XkO3mPsx2pE-S3H-Cync1huUk&amp;qlt=95" TargetMode="External"/><Relationship Id="rId545" Type="http://schemas.openxmlformats.org/officeDocument/2006/relationships/hyperlink" Target="https://www.bing.com/th?id=OSK.74c8821b1611fcbd76d031ad53f3b15b&amp;qlt=95" TargetMode="External"/><Relationship Id="rId587" Type="http://schemas.openxmlformats.org/officeDocument/2006/relationships/hyperlink" Target="https://www.bing.com/th?id=OSK.610c2509d13b9ff943a1539ff3db8b2b&amp;qlt=95" TargetMode="External"/><Relationship Id="rId8" Type="http://schemas.openxmlformats.org/officeDocument/2006/relationships/hyperlink" Target="https://www.bing.com/images/search?form=xlimg&amp;q=Pite%c8%99ti" TargetMode="External"/><Relationship Id="rId142" Type="http://schemas.openxmlformats.org/officeDocument/2006/relationships/hyperlink" Target="https://www.bing.com/images/search?form=xlimg&amp;q=Biharia" TargetMode="External"/><Relationship Id="rId184" Type="http://schemas.openxmlformats.org/officeDocument/2006/relationships/hyperlink" Target="https://www.bing.com/images/search?form=xlimg&amp;q=Turda" TargetMode="External"/><Relationship Id="rId391" Type="http://schemas.openxmlformats.org/officeDocument/2006/relationships/hyperlink" Target="https://www.bing.com/th?id=OSK.c03b750cc8ba266dfbaf5b000f7f9f08&amp;qlt=95" TargetMode="External"/><Relationship Id="rId405" Type="http://schemas.openxmlformats.org/officeDocument/2006/relationships/hyperlink" Target="https://www.bing.com/th?id=OSK.GLKX13MAtKfKGlbhcPu-r5I4S7cilz6Zx_IabKiLZD0&amp;qlt=95" TargetMode="External"/><Relationship Id="rId447" Type="http://schemas.openxmlformats.org/officeDocument/2006/relationships/hyperlink" Target="https://www.bing.com/th?id=OSK.b85db84433ec2dfb47b18d2b936a4fe4&amp;qlt=95" TargetMode="External"/><Relationship Id="rId251" Type="http://schemas.openxmlformats.org/officeDocument/2006/relationships/hyperlink" Target="https://www.bing.com/th?id=OSK.7x9ufgcum-KnnTZmhGaiCEQhVNKdKUuZRv69Dx3O2ro&amp;qlt=95" TargetMode="External"/><Relationship Id="rId489" Type="http://schemas.openxmlformats.org/officeDocument/2006/relationships/hyperlink" Target="https://www.bing.com/th?id=OSK.W81TZgQoTrn93koGUbH4RahEj7yYHSbXN7kfsxEFN1g&amp;qlt=95" TargetMode="External"/><Relationship Id="rId46" Type="http://schemas.openxmlformats.org/officeDocument/2006/relationships/hyperlink" Target="https://www.bing.com/images/search?form=xlimg&amp;q=Bistri%c8%9ba" TargetMode="External"/><Relationship Id="rId293" Type="http://schemas.openxmlformats.org/officeDocument/2006/relationships/hyperlink" Target="https://www.bing.com/th?id=OSK.6212258371eef77e5c855cc9f381d9a0&amp;qlt=95" TargetMode="External"/><Relationship Id="rId307" Type="http://schemas.openxmlformats.org/officeDocument/2006/relationships/hyperlink" Target="https://www.bing.com/th?id=OSK.28d08aac52d88ccc8d3bea21fc1318e2&amp;qlt=95" TargetMode="External"/><Relationship Id="rId349" Type="http://schemas.openxmlformats.org/officeDocument/2006/relationships/hyperlink" Target="https://www.bing.com/th?id=OSK.ctvVg_PMyLHjVqm2DMTc3dYOqIKHlZE9Xn6g2KQZ2Dg&amp;qlt=95" TargetMode="External"/><Relationship Id="rId514" Type="http://schemas.openxmlformats.org/officeDocument/2006/relationships/hyperlink" Target="https://www.bing.com/images/search?form=xlimg&amp;q=Ive%c8%99ti,%20Gala%c8%9bi" TargetMode="External"/><Relationship Id="rId556" Type="http://schemas.openxmlformats.org/officeDocument/2006/relationships/hyperlink" Target="https://www.bing.com/images/search?form=xlimg&amp;q=S%c3%a2mb%c4%83ta%20de%20Sus" TargetMode="External"/><Relationship Id="rId88" Type="http://schemas.openxmlformats.org/officeDocument/2006/relationships/hyperlink" Target="https://www.bing.com/images/search?form=xlimg&amp;q=C%c4%83l%c4%83ra%c8%99i" TargetMode="External"/><Relationship Id="rId111" Type="http://schemas.openxmlformats.org/officeDocument/2006/relationships/hyperlink" Target="https://www.bing.com/th?id=OSK.162988bc280e1a2b49d8c6472adae45e&amp;qlt=95" TargetMode="External"/><Relationship Id="rId153" Type="http://schemas.openxmlformats.org/officeDocument/2006/relationships/hyperlink" Target="https://www.bing.com/th?id=OSK.35cf995d03a0d35f192f1252c2623648&amp;qlt=95" TargetMode="External"/><Relationship Id="rId195" Type="http://schemas.openxmlformats.org/officeDocument/2006/relationships/hyperlink" Target="https://www.bing.com/th?id=OSK.09309e54ee20f7972ff403382a5ee6e7&amp;qlt=95" TargetMode="External"/><Relationship Id="rId209" Type="http://schemas.openxmlformats.org/officeDocument/2006/relationships/hyperlink" Target="https://www.bing.com/th?id=OSK.33edbaa744bd777899c0304b738fda71&amp;qlt=95" TargetMode="External"/><Relationship Id="rId360" Type="http://schemas.openxmlformats.org/officeDocument/2006/relationships/hyperlink" Target="https://www.bing.com/images/search?form=xlimg&amp;q=Jibou" TargetMode="External"/><Relationship Id="rId416" Type="http://schemas.openxmlformats.org/officeDocument/2006/relationships/hyperlink" Target="https://www.bing.com/images/search?form=xlimg&amp;q=Voloiac" TargetMode="External"/><Relationship Id="rId598" Type="http://schemas.openxmlformats.org/officeDocument/2006/relationships/hyperlink" Target="https://www.bing.com/images/search?form=xlimg&amp;q=Jebel,%20Timi%c8%99" TargetMode="External"/><Relationship Id="rId220" Type="http://schemas.openxmlformats.org/officeDocument/2006/relationships/hyperlink" Target="https://www.bing.com/images/search?form=xlimg&amp;q=Zam,%20Hunedoara" TargetMode="External"/><Relationship Id="rId458" Type="http://schemas.openxmlformats.org/officeDocument/2006/relationships/hyperlink" Target="https://www.bing.com/images/search?form=xlimg&amp;q=Arefu" TargetMode="External"/><Relationship Id="rId15" Type="http://schemas.openxmlformats.org/officeDocument/2006/relationships/hyperlink" Target="https://www.bing.com/th?id=OSK.01a5cb6abf0e693cec2d0ff9063fc53d&amp;qlt=95" TargetMode="External"/><Relationship Id="rId57" Type="http://schemas.openxmlformats.org/officeDocument/2006/relationships/hyperlink" Target="https://www.bing.com/th?id=OSK.2057b5f02900de187053b36f829354e5&amp;qlt=95" TargetMode="External"/><Relationship Id="rId262" Type="http://schemas.openxmlformats.org/officeDocument/2006/relationships/hyperlink" Target="https://www.bing.com/images/search?form=xlimg&amp;q=Tople%c8%9b" TargetMode="External"/><Relationship Id="rId318" Type="http://schemas.openxmlformats.org/officeDocument/2006/relationships/hyperlink" Target="https://www.bing.com/images/search?form=xlimg&amp;q=Joseni" TargetMode="External"/><Relationship Id="rId525" Type="http://schemas.openxmlformats.org/officeDocument/2006/relationships/hyperlink" Target="https://www.bing.com/th?id=OSK.e4abe0c2b668593c5100d41fcc1feb43&amp;qlt=95" TargetMode="External"/><Relationship Id="rId567" Type="http://schemas.openxmlformats.org/officeDocument/2006/relationships/hyperlink" Target="https://www.bing.com/th?id=OSK.ea5374b636e3ecabae28c9e3e64af525&amp;qlt=95" TargetMode="External"/><Relationship Id="rId99" Type="http://schemas.openxmlformats.org/officeDocument/2006/relationships/hyperlink" Target="https://www.bing.com/th?id=OSK.b476023245d524458083eba3d6214f6a&amp;qlt=95" TargetMode="External"/><Relationship Id="rId122" Type="http://schemas.openxmlformats.org/officeDocument/2006/relationships/hyperlink" Target="https://www.bing.com/images/search?form=xlimg&amp;q=Satu%20Mare" TargetMode="External"/><Relationship Id="rId164" Type="http://schemas.openxmlformats.org/officeDocument/2006/relationships/hyperlink" Target="https://www.bing.com/images/search?form=xlimg&amp;q=B%c3%a2lv%c4%83ne%c8%99ti" TargetMode="External"/><Relationship Id="rId371" Type="http://schemas.openxmlformats.org/officeDocument/2006/relationships/hyperlink" Target="https://www.bing.com/th?id=OSK.61dd5bb870db4bf171ee45c7aa846ff2&amp;qlt=95" TargetMode="External"/><Relationship Id="rId427" Type="http://schemas.openxmlformats.org/officeDocument/2006/relationships/hyperlink" Target="https://www.bing.com/th?id=OSK.ae2abb343f465c16e992dbd237985e03&amp;qlt=95" TargetMode="External"/><Relationship Id="rId469" Type="http://schemas.openxmlformats.org/officeDocument/2006/relationships/hyperlink" Target="https://www.bing.com/th?id=OSK.NUC26nfSML5QjiPd0fu4vnUA5FTDxKcLC-P0czD_l8g&amp;qlt=95" TargetMode="External"/><Relationship Id="rId26" Type="http://schemas.openxmlformats.org/officeDocument/2006/relationships/hyperlink" Target="https://www.bing.com/images/search?form=xlimg&amp;q=Mehedin%c8%9bi%20County" TargetMode="External"/><Relationship Id="rId231" Type="http://schemas.openxmlformats.org/officeDocument/2006/relationships/hyperlink" Target="https://www.bing.com/th?id=OSK.892b3e2c871b9e489dd2657779c5601f&amp;qlt=95" TargetMode="External"/><Relationship Id="rId273" Type="http://schemas.openxmlformats.org/officeDocument/2006/relationships/hyperlink" Target="https://www.bing.com/th?id=OSK.zltvaoNM5DCBZl1w0CKF4MxykHxKh6P4PA32Cs6tdxg&amp;qlt=95" TargetMode="External"/><Relationship Id="rId329" Type="http://schemas.openxmlformats.org/officeDocument/2006/relationships/hyperlink" Target="https://www.bing.com/th?id=OSK.ffe8c78cefb993c3505a2546ef65c71c&amp;qlt=95" TargetMode="External"/><Relationship Id="rId480" Type="http://schemas.openxmlformats.org/officeDocument/2006/relationships/hyperlink" Target="https://www.bing.com/images/search?form=xlimg&amp;q=C%c3%a2r%c8%9ba,%20Harghita" TargetMode="External"/><Relationship Id="rId536" Type="http://schemas.openxmlformats.org/officeDocument/2006/relationships/hyperlink" Target="https://www.bing.com/images/search?form=xlimg&amp;q=Bascov" TargetMode="External"/><Relationship Id="rId68" Type="http://schemas.openxmlformats.org/officeDocument/2006/relationships/hyperlink" Target="https://www.bing.com/images/search?form=xlimg&amp;q=Timi%c8%99%20County" TargetMode="External"/><Relationship Id="rId133" Type="http://schemas.openxmlformats.org/officeDocument/2006/relationships/hyperlink" Target="https://www.bing.com/th?id=OSK.b69c0ff2ac81616c622b2392a8ac1e8b&amp;qlt=95" TargetMode="External"/><Relationship Id="rId175" Type="http://schemas.openxmlformats.org/officeDocument/2006/relationships/hyperlink" Target="https://www.bing.com/th?id=OSK.9c4e08ea269aa0cd3445eb9781422ad1&amp;qlt=95" TargetMode="External"/><Relationship Id="rId340" Type="http://schemas.openxmlformats.org/officeDocument/2006/relationships/hyperlink" Target="https://www.bing.com/images/search?form=xlimg&amp;q=%c8%9ae%c8%9bchea" TargetMode="External"/><Relationship Id="rId578" Type="http://schemas.openxmlformats.org/officeDocument/2006/relationships/hyperlink" Target="https://www.bing.com/images/search?form=xlimg&amp;q=V%c3%a2n%c4%83tori,%20Mure%c8%99" TargetMode="External"/><Relationship Id="rId200" Type="http://schemas.openxmlformats.org/officeDocument/2006/relationships/hyperlink" Target="https://www.bing.com/images/search?form=xlimg&amp;q=Chi%c8%99laz" TargetMode="External"/><Relationship Id="rId382" Type="http://schemas.openxmlformats.org/officeDocument/2006/relationships/hyperlink" Target="https://www.bing.com/images/search?form=xlimg&amp;q=G%c4%83taia" TargetMode="External"/><Relationship Id="rId438" Type="http://schemas.openxmlformats.org/officeDocument/2006/relationships/hyperlink" Target="https://www.bing.com/images/search?form=xlimg&amp;q=Odoreu" TargetMode="External"/><Relationship Id="rId242" Type="http://schemas.openxmlformats.org/officeDocument/2006/relationships/hyperlink" Target="https://www.bing.com/images/search?form=xlimg&amp;q=Becicherecu%20Mic" TargetMode="External"/><Relationship Id="rId284" Type="http://schemas.openxmlformats.org/officeDocument/2006/relationships/hyperlink" Target="https://www.bing.com/images/search?form=xlimg&amp;q=Sovata" TargetMode="External"/><Relationship Id="rId491" Type="http://schemas.openxmlformats.org/officeDocument/2006/relationships/hyperlink" Target="https://www.bing.com/th?id=OSK.wRe2z6wNTy9vcWFGurNOAi45G5-KE8BFzvhZlJlKy5I&amp;qlt=95" TargetMode="External"/><Relationship Id="rId505" Type="http://schemas.openxmlformats.org/officeDocument/2006/relationships/hyperlink" Target="https://www.bing.com/th?id=OSK.jFng9_gBNTPlm8Wys2ltSuPI8Och8u3MOY5N0XrbxPQ&amp;qlt=95" TargetMode="External"/><Relationship Id="rId37" Type="http://schemas.openxmlformats.org/officeDocument/2006/relationships/hyperlink" Target="https://www.bing.com/th?id=OSK.f77af6262b7a95a9e2a9f0bd5c82edb7&amp;qlt=95" TargetMode="External"/><Relationship Id="rId79" Type="http://schemas.openxmlformats.org/officeDocument/2006/relationships/hyperlink" Target="https://www.bing.com/th?id=OSK.5FcgzKl2gwRFcbGsw6N9mfDpG-wZN_Lu6Ntv821OjKI&amp;qlt=95" TargetMode="External"/><Relationship Id="rId102" Type="http://schemas.openxmlformats.org/officeDocument/2006/relationships/hyperlink" Target="https://www.bing.com/images/search?form=xlimg&amp;q=Mure%c8%99%20County" TargetMode="External"/><Relationship Id="rId144" Type="http://schemas.openxmlformats.org/officeDocument/2006/relationships/hyperlink" Target="https://www.bing.com/images/search?form=xlimg&amp;q=Cluj%20County" TargetMode="External"/><Relationship Id="rId547" Type="http://schemas.openxmlformats.org/officeDocument/2006/relationships/hyperlink" Target="https://www.bing.com/th?id=OSK.61c89db288ee7db1305d0f02b397a648&amp;qlt=95" TargetMode="External"/><Relationship Id="rId589" Type="http://schemas.openxmlformats.org/officeDocument/2006/relationships/hyperlink" Target="https://www.bing.com/th?id=OSK.eda57e53a101b2d7853fe5289bee43af&amp;qlt=95" TargetMode="External"/><Relationship Id="rId90" Type="http://schemas.openxmlformats.org/officeDocument/2006/relationships/hyperlink" Target="https://www.bing.com/images/search?form=xlimg&amp;q=Corl%c4%83%c8%9bel" TargetMode="External"/><Relationship Id="rId186" Type="http://schemas.openxmlformats.org/officeDocument/2006/relationships/hyperlink" Target="https://www.bing.com/images/search?form=xlimg&amp;q=Dumitra" TargetMode="External"/><Relationship Id="rId351" Type="http://schemas.openxmlformats.org/officeDocument/2006/relationships/hyperlink" Target="https://www.bing.com/th?id=OSK.4c5bba91537b320b94694a741f356a0f&amp;qlt=95" TargetMode="External"/><Relationship Id="rId393" Type="http://schemas.openxmlformats.org/officeDocument/2006/relationships/hyperlink" Target="https://www.bing.com/th?id=OSK.f358495a7d67ee60818cb9da1476d111&amp;qlt=95" TargetMode="External"/><Relationship Id="rId407" Type="http://schemas.openxmlformats.org/officeDocument/2006/relationships/hyperlink" Target="https://www.bing.com/th?id=OSK.299a421018d7c43d1ee6a212bf1ae03f&amp;qlt=95" TargetMode="External"/><Relationship Id="rId449" Type="http://schemas.openxmlformats.org/officeDocument/2006/relationships/hyperlink" Target="https://www.bing.com/th?id=OSK.c1862f1423b344adf74a6ee8a16cc7bb&amp;qlt=95" TargetMode="External"/><Relationship Id="rId211" Type="http://schemas.openxmlformats.org/officeDocument/2006/relationships/hyperlink" Target="https://www.bing.com/th?id=OSK.0e7c01cf04caccb2fb2400e2108cc2f7&amp;qlt=95" TargetMode="External"/><Relationship Id="rId253" Type="http://schemas.openxmlformats.org/officeDocument/2006/relationships/hyperlink" Target="https://www.bing.com/th?id=OSK.c98d695798ada12a87021b0580a1944b&amp;qlt=95" TargetMode="External"/><Relationship Id="rId295" Type="http://schemas.openxmlformats.org/officeDocument/2006/relationships/hyperlink" Target="https://www.bing.com/th?id=OSK.c9f4d05525265b0df873c5fd15d2393c&amp;qlt=95" TargetMode="External"/><Relationship Id="rId309" Type="http://schemas.openxmlformats.org/officeDocument/2006/relationships/hyperlink" Target="https://www.bing.com/th?id=OSK.90845b40edb01ace7e63ae1bbb58e50a&amp;qlt=95" TargetMode="External"/><Relationship Id="rId460" Type="http://schemas.openxmlformats.org/officeDocument/2006/relationships/hyperlink" Target="https://www.bing.com/images/search?form=xlimg&amp;q=Fundata" TargetMode="External"/><Relationship Id="rId516" Type="http://schemas.openxmlformats.org/officeDocument/2006/relationships/hyperlink" Target="https://www.bing.com/images/search?form=xlimg&amp;q=Ha%c8%9beg" TargetMode="External"/><Relationship Id="rId48" Type="http://schemas.openxmlformats.org/officeDocument/2006/relationships/hyperlink" Target="https://www.bing.com/images/search?form=xlimg&amp;q=Poiana%20Ilvei" TargetMode="External"/><Relationship Id="rId113" Type="http://schemas.openxmlformats.org/officeDocument/2006/relationships/hyperlink" Target="https://www.bing.com/th?id=OSK.A24CVpyqtx8Bdyj6ZutJKW3mzZ0QNYglefXyUDHBASA&amp;qlt=95" TargetMode="External"/><Relationship Id="rId320" Type="http://schemas.openxmlformats.org/officeDocument/2006/relationships/hyperlink" Target="https://www.bing.com/images/search?form=xlimg&amp;q=Satulung" TargetMode="External"/><Relationship Id="rId558" Type="http://schemas.openxmlformats.org/officeDocument/2006/relationships/hyperlink" Target="https://www.bing.com/images/search?form=xlimg&amp;q=Bob%c3%a2lna" TargetMode="External"/><Relationship Id="rId155" Type="http://schemas.openxmlformats.org/officeDocument/2006/relationships/hyperlink" Target="https://www.bing.com/th?id=OSK.Sxx5D0Dbej14AgkKDtC8SbbFpp-JOqhGPbKur7Spam4&amp;qlt=95" TargetMode="External"/><Relationship Id="rId197" Type="http://schemas.openxmlformats.org/officeDocument/2006/relationships/hyperlink" Target="https://www.bing.com/th?id=OSK.22426ff59c3d329d968956fc80d9cda5&amp;qlt=95" TargetMode="External"/><Relationship Id="rId362" Type="http://schemas.openxmlformats.org/officeDocument/2006/relationships/hyperlink" Target="https://www.bing.com/images/search?form=xlimg&amp;q=Flore%c8%99ti,%20Cluj" TargetMode="External"/><Relationship Id="rId418" Type="http://schemas.openxmlformats.org/officeDocument/2006/relationships/hyperlink" Target="https://www.bing.com/images/search?form=xlimg&amp;q=Lunge%c8%99ti" TargetMode="External"/><Relationship Id="rId222" Type="http://schemas.openxmlformats.org/officeDocument/2006/relationships/hyperlink" Target="https://www.bing.com/images/search?form=xlimg&amp;q=Ghiroda" TargetMode="External"/><Relationship Id="rId264" Type="http://schemas.openxmlformats.org/officeDocument/2006/relationships/hyperlink" Target="https://www.bing.com/images/search?form=xlimg&amp;q=Media%c8%99" TargetMode="External"/><Relationship Id="rId471" Type="http://schemas.openxmlformats.org/officeDocument/2006/relationships/hyperlink" Target="https://www.bing.com/th?id=OSK.GDUYeuKs01GqO8Tns9Jr-3V9Zvh0TbRPxj3t_k3Qn_A&amp;qlt=95" TargetMode="External"/><Relationship Id="rId17" Type="http://schemas.openxmlformats.org/officeDocument/2006/relationships/hyperlink" Target="https://www.bing.com/th?id=OSK.c8bf46a56abb2da89deccd5ea08637c9&amp;qlt=95" TargetMode="External"/><Relationship Id="rId59" Type="http://schemas.openxmlformats.org/officeDocument/2006/relationships/hyperlink" Target="https://www.bing.com/th?id=OSK.P74LU7lZt8uw4Gu4PQFtI6PpuFXSuAaNkvfc1eiszmA&amp;qlt=95" TargetMode="External"/><Relationship Id="rId124" Type="http://schemas.openxmlformats.org/officeDocument/2006/relationships/hyperlink" Target="https://www.bing.com/images/search?form=xlimg&amp;q=Calafat" TargetMode="External"/><Relationship Id="rId527" Type="http://schemas.openxmlformats.org/officeDocument/2006/relationships/hyperlink" Target="https://www.bing.com/th?id=OSK.c96d70698832d696701d661f0b47577d&amp;qlt=95" TargetMode="External"/><Relationship Id="rId569" Type="http://schemas.openxmlformats.org/officeDocument/2006/relationships/hyperlink" Target="https://www.bing.com/th?id=OSK.bbcebc8d0387fd1a40d111b6e80e8e15&amp;qlt=95" TargetMode="External"/><Relationship Id="rId70" Type="http://schemas.openxmlformats.org/officeDocument/2006/relationships/hyperlink" Target="https://www.bing.com/images/search?form=xlimg&amp;q=Timi%c8%99oara" TargetMode="External"/><Relationship Id="rId166" Type="http://schemas.openxmlformats.org/officeDocument/2006/relationships/hyperlink" Target="https://www.bing.com/images/search?form=xlimg&amp;q=Rob%c4%83ne%c8%99ti" TargetMode="External"/><Relationship Id="rId331" Type="http://schemas.openxmlformats.org/officeDocument/2006/relationships/hyperlink" Target="https://www.bing.com/th?id=OSK.caa86a1129019b0a005e5a8f80350205&amp;qlt=95" TargetMode="External"/><Relationship Id="rId373" Type="http://schemas.openxmlformats.org/officeDocument/2006/relationships/hyperlink" Target="https://www.bing.com/th?id=OSK.35b75f5865a95b82c714255ad85fb035&amp;qlt=95" TargetMode="External"/><Relationship Id="rId429" Type="http://schemas.openxmlformats.org/officeDocument/2006/relationships/hyperlink" Target="https://www.bing.com/th?id=OSK.7f6c8ad146bd4487903474dcf2d3747c&amp;qlt=95" TargetMode="External"/><Relationship Id="rId580" Type="http://schemas.openxmlformats.org/officeDocument/2006/relationships/hyperlink" Target="https://www.bing.com/images/search?form=xlimg&amp;q=Cincu" TargetMode="External"/><Relationship Id="rId1" Type="http://schemas.openxmlformats.org/officeDocument/2006/relationships/hyperlink" Target="https://www.bing.com/th?id=OSK.1pX_AuVqdX9CU9x32XQPwQ_aA8oiiTg0NBIHVQEbtIU&amp;qlt=95" TargetMode="External"/><Relationship Id="rId233" Type="http://schemas.openxmlformats.org/officeDocument/2006/relationships/hyperlink" Target="https://www.bing.com/th?id=OSK.92eb74a57f6ecf14fc118f6b7dcc2d4b&amp;qlt=95" TargetMode="External"/><Relationship Id="rId440" Type="http://schemas.openxmlformats.org/officeDocument/2006/relationships/hyperlink" Target="https://www.bing.com/images/search?form=xlimg&amp;q=Gu%c8%99teri%c8%9ba" TargetMode="External"/><Relationship Id="rId28" Type="http://schemas.openxmlformats.org/officeDocument/2006/relationships/hyperlink" Target="https://www.bing.com/images/search?form=xlimg&amp;q=Alba%20County" TargetMode="External"/><Relationship Id="rId275" Type="http://schemas.openxmlformats.org/officeDocument/2006/relationships/hyperlink" Target="https://www.bing.com/th?id=OSK.35f343e0af71ab699a69df5e21d323a2&amp;qlt=95" TargetMode="External"/><Relationship Id="rId300" Type="http://schemas.openxmlformats.org/officeDocument/2006/relationships/hyperlink" Target="https://www.bing.com/images/search?form=xlimg&amp;q=Bor%c8%99,%20Bihor" TargetMode="External"/><Relationship Id="rId482" Type="http://schemas.openxmlformats.org/officeDocument/2006/relationships/hyperlink" Target="https://www.bing.com/images/search?form=xlimg&amp;q=Mioveni" TargetMode="External"/><Relationship Id="rId538" Type="http://schemas.openxmlformats.org/officeDocument/2006/relationships/hyperlink" Target="https://www.bing.com/images/search?form=xlimg&amp;q=S%c4%83li%c8%99te" TargetMode="External"/><Relationship Id="rId81" Type="http://schemas.openxmlformats.org/officeDocument/2006/relationships/hyperlink" Target="https://www.bing.com/th?id=OSK.898da3e144b15a041511c47e417ed792&amp;qlt=95" TargetMode="External"/><Relationship Id="rId135" Type="http://schemas.openxmlformats.org/officeDocument/2006/relationships/hyperlink" Target="https://www.bing.com/th?id=OSK.e0sIJfd4-3xo4pYIqqTuMmn8FdmxVuuHFil9bVfvxUA&amp;qlt=95" TargetMode="External"/><Relationship Id="rId177" Type="http://schemas.openxmlformats.org/officeDocument/2006/relationships/hyperlink" Target="https://www.bing.com/th?id=OSK.iRYOt8oy3cgijBh88GNiUDH-CQ051NvqP6a5iN5FPC8&amp;qlt=95" TargetMode="External"/><Relationship Id="rId342" Type="http://schemas.openxmlformats.org/officeDocument/2006/relationships/hyperlink" Target="https://www.bing.com/images/search?form=xlimg&amp;q=Augustin,%20Bra%c8%99ov" TargetMode="External"/><Relationship Id="rId384" Type="http://schemas.openxmlformats.org/officeDocument/2006/relationships/hyperlink" Target="https://www.bing.com/images/search?form=xlimg&amp;q=Baraolt" TargetMode="External"/><Relationship Id="rId591" Type="http://schemas.openxmlformats.org/officeDocument/2006/relationships/hyperlink" Target="https://www.bing.com/th?id=OSK.e94e259db6002685b394819eb2196b2d&amp;qlt=95" TargetMode="External"/><Relationship Id="rId202" Type="http://schemas.openxmlformats.org/officeDocument/2006/relationships/hyperlink" Target="https://www.bing.com/images/search?form=xlimg&amp;q=P%c4%83net" TargetMode="External"/><Relationship Id="rId244" Type="http://schemas.openxmlformats.org/officeDocument/2006/relationships/hyperlink" Target="https://www.bing.com/images/search?form=xlimg&amp;q=Ghioroc" TargetMode="External"/><Relationship Id="rId39" Type="http://schemas.openxmlformats.org/officeDocument/2006/relationships/hyperlink" Target="https://www.bing.com/th?id=OSK.acd4697465af04ae7a0f2761ae18172a&amp;qlt=95" TargetMode="External"/><Relationship Id="rId286" Type="http://schemas.openxmlformats.org/officeDocument/2006/relationships/hyperlink" Target="https://www.bing.com/images/search?form=xlimg&amp;q=Cervenia" TargetMode="External"/><Relationship Id="rId451" Type="http://schemas.openxmlformats.org/officeDocument/2006/relationships/hyperlink" Target="https://www.bing.com/th?id=OSK.f47d2bcb19f6d46a3b249bc8b24859ff&amp;qlt=95" TargetMode="External"/><Relationship Id="rId493" Type="http://schemas.openxmlformats.org/officeDocument/2006/relationships/hyperlink" Target="https://www.bing.com/th?id=OSK.eff31eb5f43d6f2d1ed158782d30edfb&amp;qlt=95" TargetMode="External"/><Relationship Id="rId507" Type="http://schemas.openxmlformats.org/officeDocument/2006/relationships/hyperlink" Target="https://www.bing.com/th?id=OSK.AMDVmrneFmOdlJYJhS3OTYjyCsfZWoX397Y2EdJdOEI&amp;qlt=95" TargetMode="External"/><Relationship Id="rId549" Type="http://schemas.openxmlformats.org/officeDocument/2006/relationships/hyperlink" Target="https://www.bing.com/th?id=OSK.39284731152491f90b531b9d9fc41f71&amp;qlt=95" TargetMode="External"/><Relationship Id="rId50" Type="http://schemas.openxmlformats.org/officeDocument/2006/relationships/hyperlink" Target="https://www.bing.com/images/search?form=xlimg&amp;q=Bustuchin" TargetMode="External"/><Relationship Id="rId104" Type="http://schemas.openxmlformats.org/officeDocument/2006/relationships/hyperlink" Target="https://www.bing.com/images/search?form=xlimg&amp;q=T%c3%a2rgu%20Mure%c8%99" TargetMode="External"/><Relationship Id="rId146" Type="http://schemas.openxmlformats.org/officeDocument/2006/relationships/hyperlink" Target="https://www.bing.com/images/search?form=xlimg&amp;q=Cluj-Napoca" TargetMode="External"/><Relationship Id="rId188" Type="http://schemas.openxmlformats.org/officeDocument/2006/relationships/hyperlink" Target="https://www.bing.com/images/search?form=xlimg&amp;q=Sighetu%20Marma%c8%9biei" TargetMode="External"/><Relationship Id="rId311" Type="http://schemas.openxmlformats.org/officeDocument/2006/relationships/hyperlink" Target="https://www.bing.com/th?id=OSK.9044254def2e6f42e2def800b81fe320&amp;qlt=95" TargetMode="External"/><Relationship Id="rId353" Type="http://schemas.openxmlformats.org/officeDocument/2006/relationships/hyperlink" Target="https://www.bing.com/th?id=OSK.3e3516d3ce71431ab646d98c7a5b8c26&amp;qlt=95" TargetMode="External"/><Relationship Id="rId395" Type="http://schemas.openxmlformats.org/officeDocument/2006/relationships/hyperlink" Target="https://www.bing.com/th?id=OSK.37eed0703c50a92c5c2d119717fe0607&amp;qlt=95" TargetMode="External"/><Relationship Id="rId409" Type="http://schemas.openxmlformats.org/officeDocument/2006/relationships/hyperlink" Target="https://www.bing.com/th?id=OSK.3e5b25db2235c3281ace9607b510e71b&amp;qlt=95" TargetMode="External"/><Relationship Id="rId560" Type="http://schemas.openxmlformats.org/officeDocument/2006/relationships/hyperlink" Target="https://www.bing.com/images/search?form=xlimg&amp;q=Strehaia" TargetMode="External"/><Relationship Id="rId92" Type="http://schemas.openxmlformats.org/officeDocument/2006/relationships/hyperlink" Target="https://www.bing.com/images/search?form=xlimg&amp;q=Hunedoara%20County" TargetMode="External"/><Relationship Id="rId213" Type="http://schemas.openxmlformats.org/officeDocument/2006/relationships/hyperlink" Target="https://www.bing.com/th?id=OSK.7326263ba015cd57a389ef5e6a6c0572&amp;qlt=95" TargetMode="External"/><Relationship Id="rId420" Type="http://schemas.openxmlformats.org/officeDocument/2006/relationships/hyperlink" Target="https://www.bing.com/images/search?form=xlimg&amp;q=Livezile,%20Timi%c8%99" TargetMode="External"/><Relationship Id="rId255" Type="http://schemas.openxmlformats.org/officeDocument/2006/relationships/hyperlink" Target="https://www.bing.com/th?id=OSK.e8366ca7d2aff3c9d36c868588436188&amp;qlt=95" TargetMode="External"/><Relationship Id="rId297" Type="http://schemas.openxmlformats.org/officeDocument/2006/relationships/hyperlink" Target="https://www.bing.com/th?id=OSK.95d0af40d2a67e01fc9949bf62173087&amp;qlt=95" TargetMode="External"/><Relationship Id="rId462" Type="http://schemas.openxmlformats.org/officeDocument/2006/relationships/hyperlink" Target="https://www.bing.com/images/search?form=xlimg&amp;q=Buzia%c8%99" TargetMode="External"/><Relationship Id="rId518" Type="http://schemas.openxmlformats.org/officeDocument/2006/relationships/hyperlink" Target="https://www.bing.com/images/search?form=xlimg&amp;q=Alm%c4%83j" TargetMode="External"/><Relationship Id="rId115" Type="http://schemas.openxmlformats.org/officeDocument/2006/relationships/hyperlink" Target="https://www.bing.com/th?id=OSK.1faf1ff1a34915ef7a544a3bf364c193&amp;qlt=95" TargetMode="External"/><Relationship Id="rId157" Type="http://schemas.openxmlformats.org/officeDocument/2006/relationships/hyperlink" Target="https://www.bing.com/th?id=OSK.xz0XEBaE0dfmxbeYf4DY-Y-NbfWRBx5kFmcxfnJ3XuQ&amp;qlt=95" TargetMode="External"/><Relationship Id="rId322" Type="http://schemas.openxmlformats.org/officeDocument/2006/relationships/hyperlink" Target="https://www.bing.com/images/search?form=xlimg&amp;q=Merghindeal" TargetMode="External"/><Relationship Id="rId364" Type="http://schemas.openxmlformats.org/officeDocument/2006/relationships/hyperlink" Target="https://www.bing.com/images/search?form=xlimg&amp;q=Stoina" TargetMode="External"/><Relationship Id="rId61" Type="http://schemas.openxmlformats.org/officeDocument/2006/relationships/hyperlink" Target="https://www.bing.com/th?id=OSK.3b641b9b7de9b361dcfe66b1493ca788&amp;qlt=95" TargetMode="External"/><Relationship Id="rId199" Type="http://schemas.openxmlformats.org/officeDocument/2006/relationships/hyperlink" Target="https://www.bing.com/th?id=OSK.d5R4SVP4CBNOfToMr1TdjS0IrdwBoBXyGuML3lJb5qk&amp;qlt=95" TargetMode="External"/><Relationship Id="rId571" Type="http://schemas.openxmlformats.org/officeDocument/2006/relationships/hyperlink" Target="https://www.bing.com/th?id=OSK.ctvVg_PMyLHjVqm2DMTc3dYOqIKHlZE9Xn6g2KQZ2Dg&amp;qlt=95" TargetMode="External"/><Relationship Id="rId19" Type="http://schemas.openxmlformats.org/officeDocument/2006/relationships/hyperlink" Target="https://www.bing.com/th?id=OSK.6da6106efa9779173b03ccdc84463203&amp;qlt=95" TargetMode="External"/><Relationship Id="rId224" Type="http://schemas.openxmlformats.org/officeDocument/2006/relationships/hyperlink" Target="https://www.bing.com/images/search?form=xlimg&amp;q=Crasna,%20S%c4%83laj" TargetMode="External"/><Relationship Id="rId266" Type="http://schemas.openxmlformats.org/officeDocument/2006/relationships/hyperlink" Target="https://www.bing.com/images/search?form=xlimg&amp;q=%c8%98ag" TargetMode="External"/><Relationship Id="rId431" Type="http://schemas.openxmlformats.org/officeDocument/2006/relationships/hyperlink" Target="https://www.bing.com/th?id=OSK.0da07c1ce9bbbcfa1dd3fa721a4727ef&amp;qlt=95" TargetMode="External"/><Relationship Id="rId473" Type="http://schemas.openxmlformats.org/officeDocument/2006/relationships/hyperlink" Target="https://www.bing.com/th?id=OSK.76986555a261a91b5a9fc7e523872a1e&amp;qlt=95" TargetMode="External"/><Relationship Id="rId529" Type="http://schemas.openxmlformats.org/officeDocument/2006/relationships/hyperlink" Target="https://www.bing.com/th?id=OSK.0a4ac5105f9b9f38aff3278393c6bc73&amp;qlt=95" TargetMode="External"/><Relationship Id="rId30" Type="http://schemas.openxmlformats.org/officeDocument/2006/relationships/hyperlink" Target="https://www.bing.com/images/search?form=xlimg&amp;q=Arad%20County" TargetMode="External"/><Relationship Id="rId126" Type="http://schemas.openxmlformats.org/officeDocument/2006/relationships/hyperlink" Target="https://www.bing.com/images/search?form=xlimg&amp;q=S%c4%83laj%20County" TargetMode="External"/><Relationship Id="rId168" Type="http://schemas.openxmlformats.org/officeDocument/2006/relationships/hyperlink" Target="https://www.bing.com/images/search?form=xlimg&amp;q=Seini" TargetMode="External"/><Relationship Id="rId333" Type="http://schemas.openxmlformats.org/officeDocument/2006/relationships/hyperlink" Target="https://www.bing.com/th?id=OSK.4144189d562548b723fb9718eeb88bca&amp;qlt=95" TargetMode="External"/><Relationship Id="rId540" Type="http://schemas.openxmlformats.org/officeDocument/2006/relationships/hyperlink" Target="https://www.bing.com/images/search?form=xlimg&amp;q=Agnita" TargetMode="External"/><Relationship Id="rId72" Type="http://schemas.openxmlformats.org/officeDocument/2006/relationships/hyperlink" Target="https://www.bing.com/images/search?form=xlimg&amp;q=Covasna%20County" TargetMode="External"/><Relationship Id="rId375" Type="http://schemas.openxmlformats.org/officeDocument/2006/relationships/hyperlink" Target="https://www.bing.com/th?id=OSK.69dc12099d95b5760a3f4edb51599765&amp;qlt=95" TargetMode="External"/><Relationship Id="rId582" Type="http://schemas.openxmlformats.org/officeDocument/2006/relationships/hyperlink" Target="https://www.bing.com/images/search?form=xlimg&amp;q=Or%c4%83%c8%99tie" TargetMode="External"/><Relationship Id="rId3" Type="http://schemas.openxmlformats.org/officeDocument/2006/relationships/hyperlink" Target="https://www.bing.com/th?id=OSK.OnWkmOajjQfuoIfl91VL1JKW_w-tXw5qSNFt-XqUc14&amp;qlt=95" TargetMode="External"/><Relationship Id="rId235" Type="http://schemas.openxmlformats.org/officeDocument/2006/relationships/hyperlink" Target="https://www.bing.com/th?id=OSK.3d7c85e51f292e5be9cf8bf5c8a31cbc&amp;qlt=95" TargetMode="External"/><Relationship Id="rId277" Type="http://schemas.openxmlformats.org/officeDocument/2006/relationships/hyperlink" Target="https://www.bing.com/th?id=OSK.Oq0FB3_7n1y_ZeHGy2t99qLpRK545aZ-3zKlmKaXwJM&amp;qlt=95" TargetMode="External"/><Relationship Id="rId400" Type="http://schemas.openxmlformats.org/officeDocument/2006/relationships/hyperlink" Target="https://www.bing.com/images/search?form=xlimg&amp;q=Zimbor" TargetMode="External"/><Relationship Id="rId442" Type="http://schemas.openxmlformats.org/officeDocument/2006/relationships/hyperlink" Target="https://www.bing.com/images/search?form=xlimg&amp;q=Satchinez" TargetMode="External"/><Relationship Id="rId484" Type="http://schemas.openxmlformats.org/officeDocument/2006/relationships/hyperlink" Target="https://www.bing.com/images/search?form=xlimg&amp;q=Ilva%20Mic%c4%83" TargetMode="External"/><Relationship Id="rId137" Type="http://schemas.openxmlformats.org/officeDocument/2006/relationships/hyperlink" Target="https://www.bing.com/th?id=OSK.209c27c210c224892ee390a489ad38fc&amp;qlt=95" TargetMode="External"/><Relationship Id="rId302" Type="http://schemas.openxmlformats.org/officeDocument/2006/relationships/hyperlink" Target="https://www.bing.com/images/search?form=xlimg&amp;q=Vulcan,%20Bra%c8%99ov" TargetMode="External"/><Relationship Id="rId344" Type="http://schemas.openxmlformats.org/officeDocument/2006/relationships/hyperlink" Target="https://www.bing.com/images/search?form=xlimg&amp;q=Feliceni" TargetMode="External"/><Relationship Id="rId41" Type="http://schemas.openxmlformats.org/officeDocument/2006/relationships/hyperlink" Target="https://www.bing.com/th?id=OSK.CApYpC9nDGF-vQIQuOM3MKd2KcO1t-PLJUdoyxXG8DA&amp;qlt=95" TargetMode="External"/><Relationship Id="rId83" Type="http://schemas.openxmlformats.org/officeDocument/2006/relationships/hyperlink" Target="https://www.bing.com/th?id=OSK.J6skD1E6FFh3t-LHsJQ6N2QYMrpalQvc-Xo79e6lTRs&amp;qlt=95" TargetMode="External"/><Relationship Id="rId179" Type="http://schemas.openxmlformats.org/officeDocument/2006/relationships/hyperlink" Target="https://www.bing.com/th?id=OSK.7151ef18e2dd6ad8785baad0ae22c35c&amp;qlt=95" TargetMode="External"/><Relationship Id="rId386" Type="http://schemas.openxmlformats.org/officeDocument/2006/relationships/hyperlink" Target="https://www.bing.com/images/search?form=xlimg&amp;q=Dej" TargetMode="External"/><Relationship Id="rId551" Type="http://schemas.openxmlformats.org/officeDocument/2006/relationships/hyperlink" Target="https://www.bing.com/th?id=OSK.96474a894cb1d21ce37ca6855bc17f8f&amp;qlt=95" TargetMode="External"/><Relationship Id="rId593" Type="http://schemas.openxmlformats.org/officeDocument/2006/relationships/hyperlink" Target="https://www.bing.com/th?id=OSK.5ed489ab2ababfa04f5a22f121c1f9bd&amp;qlt=95" TargetMode="External"/><Relationship Id="rId190" Type="http://schemas.openxmlformats.org/officeDocument/2006/relationships/hyperlink" Target="https://www.bing.com/images/search?form=xlimg&amp;q=Lunca%20Bradului" TargetMode="External"/><Relationship Id="rId204" Type="http://schemas.openxmlformats.org/officeDocument/2006/relationships/hyperlink" Target="https://www.bing.com/images/search?form=xlimg&amp;q=C%c3%a2mpia%20Turzii" TargetMode="External"/><Relationship Id="rId246" Type="http://schemas.openxmlformats.org/officeDocument/2006/relationships/hyperlink" Target="https://www.bing.com/images/search?form=xlimg&amp;q=Orle%c8%99ti" TargetMode="External"/><Relationship Id="rId288" Type="http://schemas.openxmlformats.org/officeDocument/2006/relationships/hyperlink" Target="https://www.bing.com/images/search?form=xlimg&amp;q=Moisei" TargetMode="External"/><Relationship Id="rId411" Type="http://schemas.openxmlformats.org/officeDocument/2006/relationships/hyperlink" Target="https://www.bing.com/th?id=OSK.4ea04f40e683a730e7c8fc0fe01558da&amp;qlt=95" TargetMode="External"/><Relationship Id="rId453" Type="http://schemas.openxmlformats.org/officeDocument/2006/relationships/hyperlink" Target="https://www.bing.com/th?id=OSK.1bce239c26115fb06a7165f06d807084&amp;qlt=95" TargetMode="External"/><Relationship Id="rId509" Type="http://schemas.openxmlformats.org/officeDocument/2006/relationships/hyperlink" Target="https://www.bing.com/th?id=OSK.52dd09bb0c39d0b6240dbd7760e78181&amp;qlt=95" TargetMode="External"/><Relationship Id="rId106" Type="http://schemas.openxmlformats.org/officeDocument/2006/relationships/hyperlink" Target="https://www.bing.com/images/search?form=xlimg&amp;q=Vin%c8%9bu%20de%20Jos" TargetMode="External"/><Relationship Id="rId313" Type="http://schemas.openxmlformats.org/officeDocument/2006/relationships/hyperlink" Target="https://www.bing.com/th?id=OSK.b0989e683bf265599c36f637fed7b906&amp;qlt=95" TargetMode="External"/><Relationship Id="rId495" Type="http://schemas.openxmlformats.org/officeDocument/2006/relationships/hyperlink" Target="https://www.bing.com/th?id=OSK.95e86b12d580da510e7ceddc2816f7ca&amp;qlt=95" TargetMode="External"/><Relationship Id="rId10" Type="http://schemas.openxmlformats.org/officeDocument/2006/relationships/hyperlink" Target="https://www.bing.com/images/search?form=xlimg&amp;q=Meri%c8%99ani" TargetMode="External"/><Relationship Id="rId52" Type="http://schemas.openxmlformats.org/officeDocument/2006/relationships/hyperlink" Target="https://www.bing.com/images/search?form=xlimg&amp;q=Gorj%20County" TargetMode="External"/><Relationship Id="rId94" Type="http://schemas.openxmlformats.org/officeDocument/2006/relationships/hyperlink" Target="https://www.bing.com/images/search?form=xlimg&amp;q=Deva,%20Romania" TargetMode="External"/><Relationship Id="rId148" Type="http://schemas.openxmlformats.org/officeDocument/2006/relationships/hyperlink" Target="https://www.bing.com/images/search?form=xlimg&amp;q=Bucov%c4%83%c8%9b,%20Dolj" TargetMode="External"/><Relationship Id="rId355" Type="http://schemas.openxmlformats.org/officeDocument/2006/relationships/hyperlink" Target="https://www.bing.com/th?id=OSK.b7cdd63fd4461dd7416bca152a260178&amp;qlt=95" TargetMode="External"/><Relationship Id="rId397" Type="http://schemas.openxmlformats.org/officeDocument/2006/relationships/hyperlink" Target="https://www.bing.com/th?id=OSK.cf7b29ea9ae43f25cf14cc13d830f44a&amp;qlt=95" TargetMode="External"/><Relationship Id="rId520" Type="http://schemas.openxmlformats.org/officeDocument/2006/relationships/hyperlink" Target="https://www.bing.com/images/search?form=xlimg&amp;q=Treznea" TargetMode="External"/><Relationship Id="rId562" Type="http://schemas.openxmlformats.org/officeDocument/2006/relationships/hyperlink" Target="https://www.bing.com/images/search?form=xlimg&amp;q=Rozavlea" TargetMode="External"/><Relationship Id="rId215" Type="http://schemas.openxmlformats.org/officeDocument/2006/relationships/hyperlink" Target="https://www.bing.com/th?id=OSK.c7aca8e690c03b1e0bb7e6e2a9033a2a&amp;qlt=95" TargetMode="External"/><Relationship Id="rId257" Type="http://schemas.openxmlformats.org/officeDocument/2006/relationships/hyperlink" Target="https://www.bing.com/th?id=OSK.Eu3POW8ps74Mw93lKARczOc-yF7Wfg-9TwH4F_MJbSI&amp;qlt=95" TargetMode="External"/><Relationship Id="rId422" Type="http://schemas.openxmlformats.org/officeDocument/2006/relationships/hyperlink" Target="https://www.bing.com/images/search?form=xlimg&amp;q=Sebi%c8%99" TargetMode="External"/><Relationship Id="rId464" Type="http://schemas.openxmlformats.org/officeDocument/2006/relationships/hyperlink" Target="https://www.bing.com/images/search?form=xlimg&amp;q=C%c4%83teasca" TargetMode="External"/><Relationship Id="rId299" Type="http://schemas.openxmlformats.org/officeDocument/2006/relationships/hyperlink" Target="https://www.bing.com/th?id=OSK.fdc071b0316ecabf3ba2217359e36d54&amp;qlt=95" TargetMode="External"/><Relationship Id="rId63" Type="http://schemas.openxmlformats.org/officeDocument/2006/relationships/hyperlink" Target="https://www.bing.com/th?id=OSK.a511957d6d0791af469b7f2e89ac90f9&amp;qlt=95" TargetMode="External"/><Relationship Id="rId159" Type="http://schemas.openxmlformats.org/officeDocument/2006/relationships/hyperlink" Target="https://www.bing.com/th?id=OSK.7479fad68e2f00fb5628a3d1b8406a5a&amp;qlt=95" TargetMode="External"/><Relationship Id="rId366" Type="http://schemas.openxmlformats.org/officeDocument/2006/relationships/hyperlink" Target="https://www.bing.com/images/search?form=xlimg&amp;q=%c8%98ura%20Mare" TargetMode="External"/><Relationship Id="rId573" Type="http://schemas.openxmlformats.org/officeDocument/2006/relationships/hyperlink" Target="https://www.bing.com/th?id=OSK.cbcceeed0bd0820f4b05f9f4c6679da7&amp;qlt=95" TargetMode="External"/><Relationship Id="rId226" Type="http://schemas.openxmlformats.org/officeDocument/2006/relationships/hyperlink" Target="https://www.bing.com/images/search?form=xlimg&amp;q=Bughea%20de%20Sus" TargetMode="External"/><Relationship Id="rId433" Type="http://schemas.openxmlformats.org/officeDocument/2006/relationships/hyperlink" Target="https://www.bing.com/th?id=OSK.708968890baee154ba265496d794787f&amp;qlt=95" TargetMode="External"/><Relationship Id="rId74" Type="http://schemas.openxmlformats.org/officeDocument/2006/relationships/hyperlink" Target="https://www.bing.com/images/search?form=xlimg&amp;q=Sf%c3%a2ntu%20Gheorghe" TargetMode="External"/><Relationship Id="rId377" Type="http://schemas.openxmlformats.org/officeDocument/2006/relationships/hyperlink" Target="https://www.bing.com/th?id=OSK.c0735393e023c2f0ed6535370f032cf3&amp;qlt=95" TargetMode="External"/><Relationship Id="rId500" Type="http://schemas.openxmlformats.org/officeDocument/2006/relationships/hyperlink" Target="https://www.bing.com/images/search?form=xlimg&amp;q=Saschiz" TargetMode="External"/><Relationship Id="rId584" Type="http://schemas.openxmlformats.org/officeDocument/2006/relationships/hyperlink" Target="https://www.bing.com/images/search?form=xlimg&amp;q=Gher%c8%9ba%20Mic%c4%83" TargetMode="External"/><Relationship Id="rId5" Type="http://schemas.openxmlformats.org/officeDocument/2006/relationships/hyperlink" Target="https://www.bing.com/th?id=OSK.U0bS-VpqDGJ1dkIlM1yNJQ8NayYtEyhuMw_8lsSPgcA&amp;qlt=95" TargetMode="External"/><Relationship Id="rId237" Type="http://schemas.openxmlformats.org/officeDocument/2006/relationships/hyperlink" Target="https://www.bing.com/th?id=OSK.20a8f531eb72aefd886a67993bf370a9&amp;qlt=95" TargetMode="External"/><Relationship Id="rId444" Type="http://schemas.openxmlformats.org/officeDocument/2006/relationships/hyperlink" Target="https://www.bing.com/images/search?form=xlimg&amp;q=Baia%20de%20Aram%c4%83" TargetMode="External"/><Relationship Id="rId290" Type="http://schemas.openxmlformats.org/officeDocument/2006/relationships/hyperlink" Target="https://www.bing.com/images/search?form=xlimg&amp;q=Laslea" TargetMode="External"/><Relationship Id="rId304" Type="http://schemas.openxmlformats.org/officeDocument/2006/relationships/hyperlink" Target="https://www.bing.com/images/search?form=xlimg&amp;q=Piatra-Olt" TargetMode="External"/><Relationship Id="rId388" Type="http://schemas.openxmlformats.org/officeDocument/2006/relationships/hyperlink" Target="https://www.bing.com/images/search?form=xlimg&amp;q=Motru" TargetMode="External"/><Relationship Id="rId511" Type="http://schemas.openxmlformats.org/officeDocument/2006/relationships/hyperlink" Target="https://www.bing.com/th?id=OSK.af12767c6196eab7e9b8fc250d3aac0c&amp;qlt=95" TargetMode="External"/><Relationship Id="rId85" Type="http://schemas.openxmlformats.org/officeDocument/2006/relationships/hyperlink" Target="https://www.bing.com/th?id=OSK.f46a414281755b011206132c3cdbb42e&amp;qlt=95" TargetMode="External"/><Relationship Id="rId150" Type="http://schemas.openxmlformats.org/officeDocument/2006/relationships/hyperlink" Target="https://www.bing.com/images/search?form=xlimg&amp;q=Giurgiu%20County" TargetMode="External"/><Relationship Id="rId595" Type="http://schemas.openxmlformats.org/officeDocument/2006/relationships/hyperlink" Target="https://www.bing.com/th?id=OSK.IA1SrdVxGNPaQkCTtJmpR5ziXkPNb-rTp8k_7t4f4Io&amp;qlt=95" TargetMode="External"/><Relationship Id="rId248" Type="http://schemas.openxmlformats.org/officeDocument/2006/relationships/hyperlink" Target="https://www.bing.com/images/search?form=xlimg&amp;q=Vladimirescu,%20Arad" TargetMode="External"/><Relationship Id="rId455" Type="http://schemas.openxmlformats.org/officeDocument/2006/relationships/hyperlink" Target="https://www.bing.com/th?id=OSK.yJMzXeIrXnfPyOVvBPCQb4aafI7zGTZC5nY70ost-lc&amp;qlt=95" TargetMode="External"/><Relationship Id="rId12" Type="http://schemas.openxmlformats.org/officeDocument/2006/relationships/hyperlink" Target="https://www.bing.com/images/search?form=xlimg&amp;q=Paleu" TargetMode="External"/><Relationship Id="rId108" Type="http://schemas.openxmlformats.org/officeDocument/2006/relationships/hyperlink" Target="https://www.bing.com/images/search?form=xlimg&amp;q=Olt%20County" TargetMode="External"/><Relationship Id="rId315" Type="http://schemas.openxmlformats.org/officeDocument/2006/relationships/hyperlink" Target="https://www.bing.com/th?id=OSK.69cd35c6303f8f1a644c3c66ec9eec3a&amp;qlt=95" TargetMode="External"/><Relationship Id="rId522" Type="http://schemas.openxmlformats.org/officeDocument/2006/relationships/hyperlink" Target="https://www.bing.com/images/search?form=xlimg&amp;q=T%c4%83u%c8%9bii-M%c4%83gher%c4%83u%c8%99" TargetMode="External"/><Relationship Id="rId96" Type="http://schemas.openxmlformats.org/officeDocument/2006/relationships/hyperlink" Target="https://www.bing.com/images/search?form=xlimg&amp;q=S%c4%83rma%c8%99" TargetMode="External"/><Relationship Id="rId161" Type="http://schemas.openxmlformats.org/officeDocument/2006/relationships/hyperlink" Target="https://www.bing.com/th?id=OSK.bac1e925af1abec06cb5d90f1d3c2434&amp;qlt=95" TargetMode="External"/><Relationship Id="rId399" Type="http://schemas.openxmlformats.org/officeDocument/2006/relationships/hyperlink" Target="https://www.bing.com/th?id=OSK.2379ad5eb6803b75c1440c5c21df2b17&amp;qlt=95" TargetMode="External"/><Relationship Id="rId259" Type="http://schemas.openxmlformats.org/officeDocument/2006/relationships/hyperlink" Target="https://www.bing.com/th?id=OSK.3_U1FlaHZGEft9U7Lg5wfT0juKQiIhhv1BaYyjME5do&amp;qlt=95" TargetMode="External"/><Relationship Id="rId466" Type="http://schemas.openxmlformats.org/officeDocument/2006/relationships/hyperlink" Target="https://www.bing.com/images/search?form=xlimg&amp;q=Ernei" TargetMode="External"/><Relationship Id="rId23" Type="http://schemas.openxmlformats.org/officeDocument/2006/relationships/hyperlink" Target="https://www.bing.com/th?id=OSK.gcmzfCg6j2v3ozQwFP_D8I2-4d3Hzohaf0N-x_pyjoU&amp;qlt=95" TargetMode="External"/><Relationship Id="rId119" Type="http://schemas.openxmlformats.org/officeDocument/2006/relationships/hyperlink" Target="https://www.bing.com/th?id=OSK.d34dbdb032df81d979c3e283f13f8c1e&amp;qlt=95" TargetMode="External"/><Relationship Id="rId326" Type="http://schemas.openxmlformats.org/officeDocument/2006/relationships/hyperlink" Target="https://www.bing.com/images/search?form=xlimg&amp;q=C%c4%83lan" TargetMode="External"/><Relationship Id="rId533" Type="http://schemas.openxmlformats.org/officeDocument/2006/relationships/hyperlink" Target="https://www.bing.com/th?id=OSK.8bb2398532f189276210acfafb002977&amp;qlt=95" TargetMode="External"/><Relationship Id="rId172" Type="http://schemas.openxmlformats.org/officeDocument/2006/relationships/hyperlink" Target="https://www.bing.com/images/search?form=xlimg&amp;q=B%c4%83ile%c8%99ti" TargetMode="External"/><Relationship Id="rId477" Type="http://schemas.openxmlformats.org/officeDocument/2006/relationships/hyperlink" Target="https://www.bing.com/th?id=OSK.948337edf7feb03028ec0079b35cc6c8&amp;qlt=95" TargetMode="External"/><Relationship Id="rId600" Type="http://schemas.openxmlformats.org/officeDocument/2006/relationships/hyperlink" Target="https://www.bing.com/images/search?form=xlimg&amp;q=Veti%c8%99" TargetMode="External"/><Relationship Id="rId337" Type="http://schemas.openxmlformats.org/officeDocument/2006/relationships/hyperlink" Target="https://www.bing.com/th?id=OSK.688ac2f41297fac8e455ecc45f0391bf&amp;qlt=95" TargetMode="External"/><Relationship Id="rId34" Type="http://schemas.openxmlformats.org/officeDocument/2006/relationships/hyperlink" Target="https://www.bing.com/images/search?form=xlimg&amp;q=Curtici" TargetMode="External"/><Relationship Id="rId544" Type="http://schemas.openxmlformats.org/officeDocument/2006/relationships/hyperlink" Target="https://www.bing.com/images/search?form=xlimg&amp;q=Huedin" TargetMode="External"/><Relationship Id="rId183" Type="http://schemas.openxmlformats.org/officeDocument/2006/relationships/hyperlink" Target="https://www.bing.com/th?id=OSK.e26fa0a14d6993eb2b4b144dafd5e00a&amp;qlt=95" TargetMode="External"/><Relationship Id="rId390" Type="http://schemas.openxmlformats.org/officeDocument/2006/relationships/hyperlink" Target="https://www.bing.com/images/search?form=xlimg&amp;q=Livezile,%20Bistri%c8%9ba-N%c4%83s%c4%83ud" TargetMode="External"/><Relationship Id="rId404" Type="http://schemas.openxmlformats.org/officeDocument/2006/relationships/hyperlink" Target="https://www.bing.com/images/search?form=xlimg&amp;q=Gura%20R%c3%a2ului" TargetMode="External"/><Relationship Id="rId250" Type="http://schemas.openxmlformats.org/officeDocument/2006/relationships/hyperlink" Target="https://www.bing.com/images/search?form=xlimg&amp;q=S%c4%83lard" TargetMode="External"/><Relationship Id="rId488" Type="http://schemas.openxmlformats.org/officeDocument/2006/relationships/hyperlink" Target="https://www.bing.com/images/search?form=xlimg&amp;q=Rona%20de%20Jos" TargetMode="External"/><Relationship Id="rId45" Type="http://schemas.openxmlformats.org/officeDocument/2006/relationships/hyperlink" Target="https://www.bing.com/th?id=OSK.fb79fcf3ca091b6aef5333de5d88db8e&amp;qlt=95" TargetMode="External"/><Relationship Id="rId110" Type="http://schemas.openxmlformats.org/officeDocument/2006/relationships/hyperlink" Target="https://www.bing.com/images/search?form=xlimg&amp;q=Slatina,%20Romania" TargetMode="External"/><Relationship Id="rId348" Type="http://schemas.openxmlformats.org/officeDocument/2006/relationships/hyperlink" Target="https://www.bing.com/images/search?form=xlimg&amp;q=%c8%98tei" TargetMode="External"/><Relationship Id="rId555" Type="http://schemas.openxmlformats.org/officeDocument/2006/relationships/hyperlink" Target="https://www.bing.com/th?id=OSK.cfe1e78c815bfb620cbe4f1846aebc21&amp;qlt=95" TargetMode="External"/><Relationship Id="rId194" Type="http://schemas.openxmlformats.org/officeDocument/2006/relationships/hyperlink" Target="https://www.bing.com/images/search?form=xlimg&amp;q=Mese%c8%99enii%20de%20Jos" TargetMode="External"/><Relationship Id="rId208" Type="http://schemas.openxmlformats.org/officeDocument/2006/relationships/hyperlink" Target="https://www.bing.com/images/search?form=xlimg&amp;q=Slobozia,%20Arge%c8%99" TargetMode="External"/><Relationship Id="rId415" Type="http://schemas.openxmlformats.org/officeDocument/2006/relationships/hyperlink" Target="https://www.bing.com/th?id=OSK.bf76e737c55fd4ef44baa2bedad29dc8&amp;qlt=95" TargetMode="External"/><Relationship Id="rId261" Type="http://schemas.openxmlformats.org/officeDocument/2006/relationships/hyperlink" Target="https://www.bing.com/th?id=OSK.2e4f1bb4bdd6ce9c30ed4558ec319bff&amp;qlt=95" TargetMode="External"/><Relationship Id="rId499" Type="http://schemas.openxmlformats.org/officeDocument/2006/relationships/hyperlink" Target="https://www.bing.com/th?id=OSK.a735c5c48705b7f385d2356ebc3bd9cd&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Srd>
</file>

<file path=xl/richData/rdarray.xml><?xml version="1.0" encoding="utf-8"?>
<arrayData xmlns="http://schemas.microsoft.com/office/spreadsheetml/2017/richdata2" count="241">
  <a r="2">
    <v t="s">UTC+03:00</v>
    <v t="s">UTC+02:00</v>
  </a>
  <a r="1">
    <v t="r">12</v>
  </a>
  <a r="1">
    <v t="r">29</v>
  </a>
  <a r="1">
    <v t="r">39</v>
  </a>
  <a r="1">
    <v t="r">63</v>
  </a>
  <a r="1">
    <v t="s">UTC+02:00</v>
  </a>
  <a r="1">
    <v t="r">75</v>
  </a>
  <a r="1">
    <v t="r">91</v>
  </a>
  <a r="1">
    <v t="r">102</v>
  </a>
  <a r="1">
    <v t="r">131</v>
  </a>
  <a r="1">
    <v t="r">141</v>
  </a>
  <a r="1">
    <v t="r">151</v>
  </a>
  <a r="1">
    <v t="r">162</v>
  </a>
  <a r="1">
    <v t="r">177</v>
  </a>
  <a r="1">
    <v t="s">Eastern European Summer Time</v>
  </a>
  <a r="1">
    <v t="r">195</v>
  </a>
  <a r="1">
    <v t="r">213</v>
  </a>
  <a r="1">
    <v t="r">229</v>
  </a>
  <a r="1">
    <v t="r">240</v>
  </a>
  <a r="1">
    <v t="r">255</v>
  </a>
  <a r="1">
    <v t="r">273</v>
  </a>
  <a r="1">
    <v t="r">282</v>
  </a>
  <a r="1">
    <v t="r">291</v>
  </a>
  <a r="1">
    <v t="r">299</v>
  </a>
  <a r="1">
    <v t="r">314</v>
  </a>
  <a r="1">
    <v t="r">324</v>
  </a>
  <a r="1">
    <v t="r">340</v>
  </a>
  <a r="1">
    <v t="r">350</v>
  </a>
  <a r="1">
    <v t="r">361</v>
  </a>
  <a r="1">
    <v t="r">377</v>
  </a>
  <a r="1">
    <v t="r">401</v>
  </a>
  <a r="1">
    <v t="r">411</v>
  </a>
  <a r="1">
    <v t="r">428</v>
  </a>
  <a r="1">
    <v t="r">444</v>
  </a>
  <a r="1">
    <v t="r">454</v>
  </a>
  <a r="1">
    <v t="r">471</v>
  </a>
  <a r="1">
    <v t="r">479</v>
  </a>
  <a r="1">
    <v t="r">489</v>
  </a>
  <a r="1">
    <v t="r">506</v>
  </a>
  <a r="1">
    <v t="r">522</v>
  </a>
  <a r="1">
    <v t="r">532</v>
  </a>
  <a r="1">
    <v t="r">548</v>
  </a>
  <a r="1">
    <v t="r">558</v>
  </a>
  <a r="1">
    <v t="r">568</v>
  </a>
  <a r="1">
    <v t="r">591</v>
  </a>
  <a r="1">
    <v t="r">609</v>
  </a>
  <a r="1">
    <v t="r">625</v>
  </a>
  <a r="1">
    <v t="r">649</v>
  </a>
  <a r="1">
    <v t="r">659</v>
  </a>
  <a r="1">
    <v t="r">669</v>
  </a>
  <a r="1">
    <v t="r">695</v>
  </a>
  <a r="1">
    <v t="s">Modern Standard Arabic</v>
  </a>
  <a r="14">
    <v t="r">713</v>
    <v t="r">714</v>
    <v t="r">715</v>
    <v t="r">716</v>
    <v t="r">717</v>
    <v t="r">718</v>
    <v t="r">719</v>
    <v t="r">720</v>
    <v t="r">721</v>
    <v t="r">722</v>
    <v t="r">723</v>
    <v t="r">724</v>
    <v t="r">725</v>
    <v t="r">726</v>
  </a>
  <a r="1">
    <v t="r">737</v>
  </a>
  <a r="1">
    <v t="r">747</v>
  </a>
  <a r="1">
    <v t="r">773</v>
  </a>
  <a r="1">
    <v t="r">783</v>
  </a>
  <a r="1">
    <v t="r">793</v>
  </a>
  <a r="1">
    <v t="r">803</v>
  </a>
  <a r="1">
    <v t="r">812</v>
  </a>
  <a r="1">
    <v t="r">821</v>
  </a>
  <a r="1">
    <v t="r">831</v>
  </a>
  <a r="1">
    <v t="r">841</v>
  </a>
  <a r="1">
    <v t="r">851</v>
  </a>
  <a r="1">
    <v t="r">861</v>
  </a>
  <a r="1">
    <v t="r">871</v>
  </a>
  <a r="1">
    <v t="s">Daylight saving time</v>
  </a>
  <a r="1">
    <v t="r">882</v>
  </a>
  <a r="1">
    <v t="r">899</v>
  </a>
  <a r="1">
    <v t="r">909</v>
  </a>
  <a r="1">
    <v t="r">919</v>
  </a>
  <a r="1">
    <v t="r">929</v>
  </a>
  <a r="1">
    <v t="r">939</v>
  </a>
  <a r="1">
    <v t="r">949</v>
  </a>
  <a r="1">
    <v t="r">959</v>
  </a>
  <a r="1">
    <v t="r">976</v>
  </a>
  <a r="1">
    <v t="r">986</v>
  </a>
  <a r="1">
    <v t="r">996</v>
  </a>
  <a r="1">
    <v t="r">1006</v>
  </a>
  <a r="1">
    <v t="r">1016</v>
  </a>
  <a r="1">
    <v t="r">1026</v>
  </a>
  <a r="1">
    <v t="r">1036</v>
  </a>
  <a r="1">
    <v t="r">1046</v>
  </a>
  <a r="1">
    <v t="r">1055</v>
  </a>
  <a r="1">
    <v t="r">1065</v>
  </a>
  <a r="1">
    <v t="r">1075</v>
  </a>
  <a r="1">
    <v t="r">1090</v>
  </a>
  <a r="1">
    <v t="r">1100</v>
  </a>
  <a r="1">
    <v t="r">1110</v>
  </a>
  <a r="1">
    <v t="r">1120</v>
  </a>
  <a r="1">
    <v t="r">1130</v>
  </a>
  <a r="1">
    <v t="r">1164</v>
  </a>
  <a r="1">
    <v t="r">1184</v>
  </a>
  <a r="1">
    <v t="r">1194</v>
  </a>
  <a r="1">
    <v t="r">1204</v>
  </a>
  <a r="1">
    <v t="r">1214</v>
  </a>
  <a r="1">
    <v t="r">1233</v>
  </a>
  <a r="1">
    <v t="r">1243</v>
  </a>
  <a r="1">
    <v t="r">1253</v>
  </a>
  <a r="1">
    <v t="r">1263</v>
  </a>
  <a r="1">
    <v t="r">1273</v>
  </a>
  <a r="1">
    <v t="r">1283</v>
  </a>
  <a r="1">
    <v t="r">1293</v>
  </a>
  <a r="1">
    <v t="r">1303</v>
  </a>
  <a r="1">
    <v t="r">1312</v>
  </a>
  <a r="1">
    <v t="r">1322</v>
  </a>
  <a r="1">
    <v t="r">1332</v>
  </a>
  <a r="1">
    <v t="r">1341</v>
  </a>
  <a r="1">
    <v t="r">1359</v>
  </a>
  <a r="1">
    <v t="r">1369</v>
  </a>
  <a r="1">
    <v t="r">1378</v>
  </a>
  <a r="1">
    <v t="r">1388</v>
  </a>
  <a r="1">
    <v t="r">1398</v>
  </a>
  <a r="1">
    <v t="r">1406</v>
  </a>
  <a r="1">
    <v t="r">1416</v>
  </a>
  <a r="1">
    <v t="r">1424</v>
  </a>
  <a r="1">
    <v t="r">1433</v>
  </a>
  <a r="1">
    <v t="r">1443</v>
  </a>
  <a r="1">
    <v t="r">1461</v>
  </a>
  <a r="1">
    <v t="r">1487</v>
  </a>
  <a r="1">
    <v t="r">1496</v>
  </a>
  <a r="1">
    <v t="r">1506</v>
  </a>
  <a r="1">
    <v t="r">1516</v>
  </a>
  <a r="1">
    <v t="r">1526</v>
  </a>
  <a r="1">
    <v t="r">1536</v>
  </a>
  <a r="1">
    <v t="r">1546</v>
  </a>
  <a r="1">
    <v t="r">1556</v>
  </a>
  <a r="1">
    <v t="r">1566</v>
  </a>
  <a r="1">
    <v t="r">1576</v>
  </a>
  <a r="1">
    <v t="r">1586</v>
  </a>
  <a r="1">
    <v t="r">1595</v>
  </a>
  <a r="1">
    <v t="r">1613</v>
  </a>
  <a r="1">
    <v t="r">1622</v>
  </a>
  <a r="1">
    <v t="r">1632</v>
  </a>
  <a r="1">
    <v t="r">1642</v>
  </a>
  <a r="1">
    <v t="r">1652</v>
  </a>
  <a r="1">
    <v t="r">1670</v>
  </a>
  <a r="1">
    <v t="r">1680</v>
  </a>
  <a r="1">
    <v t="r">1690</v>
  </a>
  <a r="1">
    <v t="r">1700</v>
  </a>
  <a r="1">
    <v t="r">1710</v>
  </a>
  <a r="1">
    <v t="r">1727</v>
  </a>
  <a r="1">
    <v t="r">1737</v>
  </a>
  <a r="1">
    <v t="r">1747</v>
  </a>
  <a r="1">
    <v t="r">1757</v>
  </a>
  <a r="1">
    <v t="r">1767</v>
  </a>
  <a r="1">
    <v t="r">1793</v>
  </a>
  <a r="1">
    <v t="r">1803</v>
  </a>
  <a r="1">
    <v t="r">1813</v>
  </a>
  <a r="1">
    <v t="r">1823</v>
  </a>
  <a r="1">
    <v t="r">1833</v>
  </a>
  <a r="1">
    <v t="r">1843</v>
  </a>
  <a r="1">
    <v t="r">1852</v>
  </a>
  <a r="1">
    <v t="r">1862</v>
  </a>
  <a r="1">
    <v t="r">1872</v>
  </a>
  <a r="1">
    <v t="r">1882</v>
  </a>
  <a r="1">
    <v t="r">1892</v>
  </a>
  <a r="1">
    <v t="r">1902</v>
  </a>
  <a r="1">
    <v t="r">1912</v>
  </a>
  <a r="1">
    <v t="r">1922</v>
  </a>
  <a r="1">
    <v t="r">1932</v>
  </a>
  <a r="1">
    <v t="r">1942</v>
  </a>
  <a r="1">
    <v t="r">1952</v>
  </a>
  <a r="1">
    <v t="r">1986</v>
  </a>
  <a r="1">
    <v t="r">1995</v>
  </a>
  <a r="1">
    <v t="r">2013</v>
  </a>
  <a r="1">
    <v t="r">2030</v>
  </a>
  <a r="1">
    <v t="r">2039</v>
  </a>
  <a r="1">
    <v t="r">2056</v>
  </a>
  <a r="1">
    <v t="r">2066</v>
  </a>
  <a r="1">
    <v t="r">2082</v>
  </a>
  <a r="1">
    <v t="r">2092</v>
  </a>
  <a r="1">
    <v t="r">2102</v>
  </a>
  <a r="1">
    <v t="r">2128</v>
  </a>
  <a r="1">
    <v t="r">2138</v>
  </a>
  <a r="1">
    <v t="r">2148</v>
  </a>
  <a r="1">
    <v t="r">2158</v>
  </a>
  <a r="1">
    <v t="r">2168</v>
  </a>
  <a r="1">
    <v t="r">2178</v>
  </a>
  <a r="1">
    <v t="r">2196</v>
  </a>
  <a r="1">
    <v t="r">2206</v>
  </a>
  <a r="1">
    <v t="r">2216</v>
  </a>
  <a r="1">
    <v t="r">2224</v>
  </a>
  <a r="1">
    <v t="r">2234</v>
  </a>
  <a r="1">
    <v t="r">2251</v>
  </a>
  <a r="1">
    <v t="r">2261</v>
  </a>
  <a r="1">
    <v t="r">2270</v>
  </a>
  <a r="1">
    <v t="r">2280</v>
  </a>
  <a r="1">
    <v t="r">2290</v>
  </a>
  <a r="1">
    <v t="r">2300</v>
  </a>
  <a r="1">
    <v t="r">2310</v>
  </a>
  <a r="1">
    <v t="r">2320</v>
  </a>
  <a r="1">
    <v t="r">2330</v>
  </a>
  <a r="1">
    <v t="r">2340</v>
  </a>
  <a r="1">
    <v t="r">2350</v>
  </a>
  <a r="1">
    <v t="r">2360</v>
  </a>
  <a r="1">
    <v t="r">2387</v>
  </a>
  <a r="1">
    <v t="r">2397</v>
  </a>
  <a r="1">
    <v t="r">2407</v>
  </a>
  <a r="1">
    <v t="r">2417</v>
  </a>
  <a r="1">
    <v t="r">2427</v>
  </a>
  <a r="1">
    <v t="r">2436</v>
  </a>
  <a r="1">
    <v t="r">2446</v>
  </a>
  <a r="1">
    <v t="r">2455</v>
  </a>
  <a r="1">
    <v t="r">2464</v>
  </a>
  <a r="1">
    <v t="r">2474</v>
  </a>
  <a r="1">
    <v t="r">2484</v>
  </a>
  <a r="1">
    <v t="s">West Africa Time</v>
  </a>
  <a r="1">
    <v t="r">2505</v>
  </a>
  <a r="1">
    <v t="r">2515</v>
  </a>
  <a r="1">
    <v t="r">2525</v>
  </a>
  <a r="1">
    <v t="r">2535</v>
  </a>
  <a r="1">
    <v t="r">2545</v>
  </a>
  <a r="1">
    <v t="r">2555</v>
  </a>
  <a r="1">
    <v t="r">2565</v>
  </a>
  <a r="1">
    <v t="r">2575</v>
  </a>
  <a r="1">
    <v t="r">2584</v>
  </a>
  <a r="1">
    <v t="r">2593</v>
  </a>
  <a r="1">
    <v t="r">2603</v>
  </a>
  <a r="1">
    <v t="r">2613</v>
  </a>
  <a r="1">
    <v t="r">2631</v>
  </a>
  <a r="1">
    <v t="r">2641</v>
  </a>
  <a r="1">
    <v t="r">2651</v>
  </a>
  <a r="1">
    <v t="r">2661</v>
  </a>
  <a r="1">
    <v t="r">2672</v>
  </a>
  <a r="1">
    <v t="r">2693</v>
  </a>
  <a r="1">
    <v t="r">2702</v>
  </a>
  <a r="1">
    <v t="r">2712</v>
  </a>
  <a r="1">
    <v t="r">2722</v>
  </a>
  <a r="1">
    <v t="r">2732</v>
  </a>
  <a r="1">
    <v t="r">2742</v>
  </a>
  <a r="1">
    <v t="r">2751</v>
  </a>
  <a r="1">
    <v t="r">2761</v>
  </a>
  <a r="1">
    <v t="r">2771</v>
  </a>
  <a r="1">
    <v t="r">2781</v>
  </a>
  <a r="1">
    <v t="r">2802</v>
  </a>
  <a r="1">
    <v t="r">2820</v>
  </a>
  <a r="1">
    <v t="r">2829</v>
  </a>
  <a r="1">
    <v t="r">2839</v>
  </a>
  <a r="1">
    <v t="r">2848</v>
  </a>
  <a r="1">
    <v t="r">2857</v>
  </a>
</arrayData>
</file>

<file path=xl/richData/rdrichvalue.xml><?xml version="1.0" encoding="utf-8"?>
<rvData xmlns="http://schemas.microsoft.com/office/spreadsheetml/2017/richdata" count="2863">
  <rv s="0">
    <v>536870912</v>
    <v>Sibiu County</v>
    <v>3f30d65f-4841-e070-8804-06cea2d2f5a4</v>
    <v>en-US</v>
    <v>Map</v>
  </rv>
  <rv s="1">
    <fb>5432</fb>
    <v>9</v>
  </rv>
  <rv s="0">
    <v>536870912</v>
    <v>Sibiu</v>
    <v>801c2f67-eadd-b8a6-278d-eec826ff503b</v>
    <v>en-US</v>
    <v>Map</v>
  </rv>
  <rv s="0">
    <v>536870912</v>
    <v>Romania</v>
    <v>0cc489d5-ff53-84f1-4fcc-76525efef33a</v>
    <v>en-US</v>
    <v>Map</v>
  </rv>
  <rv s="2">
    <v>0</v>
    <v>7</v>
    <v>0</v>
    <v>7</v>
    <v>0</v>
    <v>Image of Sibiu County</v>
  </rv>
  <rv s="3">
    <v>https://www.bing.com/search?q=sibiu+county+romania&amp;form=skydnc</v>
    <v>Learn more on Bing</v>
  </rv>
  <rv s="1">
    <fb>388326</fb>
    <v>9</v>
  </rv>
  <rv s="4">
    <v>0</v>
  </rv>
  <rv s="5">
    <v>#VALUE!</v>
    <v>en-US</v>
    <v>3f30d65f-4841-e070-8804-06cea2d2f5a4</v>
    <v>536870912</v>
    <v>1</v>
    <v>2</v>
    <v>3</v>
    <v>Sibiu County</v>
    <v>5</v>
    <v>6</v>
    <v>Map</v>
    <v>7</v>
    <v>8</v>
    <v>RO-SB</v>
    <v>1</v>
    <v>2</v>
    <v>3</v>
    <v>Sibiu County is a county of Romania, in the historical region of Transylvania. Its county seat is the namesake town of Sibiu. In Hungarian, it is known as Szeben megye, and in German as Kreis Hermannstadt. Under the Kingdom of Hungary, a county ...</v>
    <v>4</v>
    <v>2</v>
    <v>5</v>
    <v>Sibiu County</v>
    <v>6</v>
    <v>7</v>
    <v>Sibiu County</v>
    <v>mdp/vdpid/8829778</v>
  </rv>
  <rv s="1">
    <fb>121</fb>
    <v>9</v>
  </rv>
  <rv s="2">
    <v>1</v>
    <v>7</v>
    <v>10</v>
    <v>7</v>
    <v>0</v>
    <v>Image of Sibiu</v>
  </rv>
  <rv s="1">
    <fb>45.8</fb>
    <v>14</v>
  </rv>
  <rv s="0">
    <v>805306368</v>
    <v>Astrid Fodor (Mayor)</v>
    <v>bcd016b0-294d-43eb-fe82-2d9514380899</v>
    <v>en-US</v>
    <v>Generic</v>
  </rv>
  <rv s="4">
    <v>1</v>
  </rv>
  <rv s="3">
    <v>https://www.bing.com/search?q=sibiu&amp;form=skydnc</v>
    <v>Learn more on Bing</v>
  </rv>
  <rv s="1">
    <fb>24.15</fb>
    <v>14</v>
  </rv>
  <rv s="1">
    <fb>137026</fb>
    <v>9</v>
  </rv>
  <rv s="6">
    <v>#VALUE!</v>
    <v>en-US</v>
    <v>801c2f67-eadd-b8a6-278d-eec826ff503b</v>
    <v>536870912</v>
    <v>1</v>
    <v>11</v>
    <v>12</v>
    <v>Sibiu</v>
    <v>5</v>
    <v>6</v>
    <v>Map</v>
    <v>7</v>
    <v>13</v>
    <v>0</v>
    <v>9</v>
    <v>3</v>
    <v>Sibiu is a city in central Romania, situated in the historical region of Transylvania. Located some 275 km north-west of Bucharest, the city straddles the Cibin River, a tributary of the Olt River. Now the seat of Sibiu County, between 1692 and ...</v>
    <v>10</v>
    <v>11</v>
    <v>13</v>
    <v>14</v>
    <v>15</v>
    <v>Sibiu</v>
    <v>16</v>
    <v>7</v>
    <v>Sibiu</v>
    <v>mdp/vdpid/7049706163981516801</v>
  </rv>
  <rv s="0">
    <v>536870912</v>
    <v>Argeș County</v>
    <v>318eeda4-9dd3-e3c1-6d05-5e140d88acfc</v>
    <v>en-US</v>
    <v>Map</v>
  </rv>
  <rv s="1">
    <fb>6862</fb>
    <v>9</v>
  </rv>
  <rv s="0">
    <v>536870912</v>
    <v>Pitești</v>
    <v>9f4d2a11-2f09-a3f9-8271-e8bf2db9ca64</v>
    <v>en-US</v>
    <v>Map</v>
  </rv>
  <rv s="2">
    <v>2</v>
    <v>7</v>
    <v>15</v>
    <v>7</v>
    <v>0</v>
    <v>Image of Argeș County</v>
  </rv>
  <rv s="3">
    <v>https://www.bing.com/search?q=arge%c8%99+county+sud+muntenia+wallachia&amp;form=skydnc</v>
    <v>Learn more on Bing</v>
  </rv>
  <rv s="1">
    <fb>569932</fb>
    <v>9</v>
  </rv>
  <rv s="5">
    <v>#VALUE!</v>
    <v>en-US</v>
    <v>318eeda4-9dd3-e3c1-6d05-5e140d88acfc</v>
    <v>536870912</v>
    <v>1</v>
    <v>17</v>
    <v>3</v>
    <v>Argeș County</v>
    <v>5</v>
    <v>6</v>
    <v>Map</v>
    <v>7</v>
    <v>8</v>
    <v>RO-AG</v>
    <v>19</v>
    <v>20</v>
    <v>3</v>
    <v>Argeș County is a county of Romania, in Muntenia, with the county seat at Pitești. At the 2021 census, the county had a population of 569,932 and the population density was 83.1/km². At the 2011 census, it had a population of 612,431 and the ...</v>
    <v>21</v>
    <v>20</v>
    <v>22</v>
    <v>Argeș County</v>
    <v>23</v>
    <v>7</v>
    <v>Argeș County</v>
    <v>mdp/vdpid/8848743</v>
  </rv>
  <rv s="1">
    <fb>111.13</fb>
    <v>9</v>
  </rv>
  <rv s="0">
    <v>536870912</v>
    <v>Romania</v>
    <v>e45a7d0c-2a4b-e90b-ebd7-d6b9f7d60f20</v>
    <v>en-US</v>
    <v>Map</v>
  </rv>
  <rv s="2">
    <v>3</v>
    <v>7</v>
    <v>18</v>
    <v>7</v>
    <v>0</v>
    <v>Image of Pitești</v>
  </rv>
  <rv s="1">
    <fb>44.866666666667001</fb>
    <v>14</v>
  </rv>
  <rv s="0">
    <v>805306368</v>
    <v>Cristian Gentea (Mayor)</v>
    <v>18d08a64-01b8-4e98-2a8d-54a5d25a3f2f</v>
    <v>en-US</v>
    <v>Generic</v>
  </rv>
  <rv s="4">
    <v>2</v>
  </rv>
  <rv s="3">
    <v>https://www.bing.com/search?q=pite%c8%99ti+romania&amp;form=skydnc</v>
    <v>Learn more on Bing</v>
  </rv>
  <rv s="1">
    <fb>24.883333333332999</fb>
    <v>14</v>
  </rv>
  <rv s="1">
    <fb>163255</fb>
    <v>9</v>
  </rv>
  <rv s="6">
    <v>#VALUE!</v>
    <v>en-US</v>
    <v>9f4d2a11-2f09-a3f9-8271-e8bf2db9ca64</v>
    <v>536870912</v>
    <v>1</v>
    <v>19</v>
    <v>12</v>
    <v>Pitești</v>
    <v>5</v>
    <v>6</v>
    <v>Map</v>
    <v>7</v>
    <v>20</v>
    <v>18</v>
    <v>25</v>
    <v>26</v>
    <v>Pitești is a city in Romania, located on the river Argeș. The capital and largest city of Argeș County, it is an important commercial and industrial center, as well as the home of two universities. Pitești is situated in the historical region of ...</v>
    <v>27</v>
    <v>28</v>
    <v>30</v>
    <v>31</v>
    <v>32</v>
    <v>Pitești</v>
    <v>33</v>
    <v>7</v>
    <v>Pitești</v>
    <v>mdp/vdpid/7241967480967528449</v>
  </rv>
  <rv s="0">
    <v>536870912</v>
    <v>Merișani</v>
    <v>dd12f0ac-e41b-3726-089b-fb8ffc82d26c</v>
    <v>en-US</v>
    <v>Map</v>
  </rv>
  <rv s="1">
    <fb>14.5</fb>
    <v>9</v>
  </rv>
  <rv s="2">
    <v>4</v>
    <v>7</v>
    <v>21</v>
    <v>7</v>
    <v>0</v>
    <v>Image of Merișani</v>
  </rv>
  <rv s="1">
    <fb>44.976781000000003</fb>
    <v>14</v>
  </rv>
  <rv s="0">
    <v>805306368</v>
    <v>Marius-Luigi Ionescu (Mayor)</v>
    <v>bc666a2e-8b03-73cd-2d6b-8affaa4b3180</v>
    <v>en-US</v>
    <v>Generic</v>
  </rv>
  <rv s="4">
    <v>3</v>
  </rv>
  <rv s="3">
    <v>https://www.bing.com/search?q=meri%c8%99ani&amp;form=skydnc</v>
    <v>Learn more on Bing</v>
  </rv>
  <rv s="1">
    <fb>24.733868999999999</fb>
    <v>14</v>
  </rv>
  <rv s="1">
    <fb>4510</fb>
    <v>9</v>
  </rv>
  <rv s="6">
    <v>#VALUE!</v>
    <v>en-US</v>
    <v>dd12f0ac-e41b-3726-089b-fb8ffc82d26c</v>
    <v>536870912</v>
    <v>1</v>
    <v>22</v>
    <v>12</v>
    <v>Merișani</v>
    <v>5</v>
    <v>6</v>
    <v>Map</v>
    <v>7</v>
    <v>8</v>
    <v>18</v>
    <v>36</v>
    <v>26</v>
    <v>Merișani is a commune in Argeș County, Muntenia, Romania. It is composed of nine villages: Borlești, Brăteasca, Capu Piscului, Crâmpotani, Dobrogostea, Malu Vânăt, Merișani, Vărzaru, and Vâlcelele. Humans have inhabited the area that now belongs ...</v>
    <v>37</v>
    <v>38</v>
    <v>40</v>
    <v>41</v>
    <v>42</v>
    <v>Merișani</v>
    <v>43</v>
    <v>7</v>
    <v>Merișani</v>
    <v>mdp/vdpid/7241966729180479489</v>
  </rv>
  <rv s="0">
    <v>536870912</v>
    <v>Paleu</v>
    <v>c4b71d44-f985-87a0-4969-3d47ff66924a</v>
    <v>en-US</v>
    <v>Map</v>
  </rv>
  <rv s="0">
    <v>536870912</v>
    <v>Bihor County</v>
    <v>3952dd81-0984-acbe-245c-8b3054ef95c9</v>
    <v>en-US</v>
    <v>Map</v>
  </rv>
  <rv s="1">
    <fb>49.16</fb>
    <v>9</v>
  </rv>
  <rv s="2">
    <v>5</v>
    <v>7</v>
    <v>23</v>
    <v>7</v>
    <v>0</v>
    <v>Image of Paleu</v>
  </rv>
  <rv s="1">
    <fb>47.114220000000003</fb>
    <v>14</v>
  </rv>
  <rv s="3">
    <v>https://www.bing.com/search?q=paleu+romania&amp;form=skydnc</v>
    <v>Learn more on Bing</v>
  </rv>
  <rv s="1">
    <fb>21.957761000000001</fb>
    <v>14</v>
  </rv>
  <rv s="1">
    <fb>3765</fb>
    <v>9</v>
  </rv>
  <rv s="7">
    <v>#VALUE!</v>
    <v>en-US</v>
    <v>c4b71d44-f985-87a0-4969-3d47ff66924a</v>
    <v>536870912</v>
    <v>1</v>
    <v>24</v>
    <v>25</v>
    <v>Paleu</v>
    <v>5</v>
    <v>6</v>
    <v>Map</v>
    <v>7</v>
    <v>8</v>
    <v>46</v>
    <v>46</v>
    <v>47</v>
    <v>26</v>
    <v>Paleu is a commune located in Bihor County, Crișana, Romania. It is composed of three villages: Paleu, Săldăbagiu de Munte and Uileacu de Munte. These were part of Cetariu Commune until 2003, when they were split off.</v>
    <v>48</v>
    <v>49</v>
    <v>50</v>
    <v>51</v>
    <v>Paleu</v>
    <v>52</v>
    <v>7</v>
    <v>Paleu</v>
    <v>mdp/vdpid/7025252435559972865</v>
  </rv>
  <rv s="1">
    <fb>7544</fb>
    <v>9</v>
  </rv>
  <rv s="0">
    <v>536870912</v>
    <v>Oradea</v>
    <v>12183633-1db2-817e-b47a-ef6fb1c575e8</v>
    <v>en-US</v>
    <v>Map</v>
  </rv>
  <rv s="2">
    <v>6</v>
    <v>7</v>
    <v>26</v>
    <v>7</v>
    <v>0</v>
    <v>Image of Bihor County</v>
  </rv>
  <rv s="3">
    <v>https://www.bing.com/search?q=bihor+county+%22nord+vest%22+romania&amp;form=skydnc</v>
    <v>Learn more on Bing</v>
  </rv>
  <rv s="1">
    <fb>551297</fb>
    <v>9</v>
  </rv>
  <rv s="5">
    <v>#VALUE!</v>
    <v>en-US</v>
    <v>3952dd81-0984-acbe-245c-8b3054ef95c9</v>
    <v>536870912</v>
    <v>1</v>
    <v>28</v>
    <v>3</v>
    <v>Bihor County</v>
    <v>5</v>
    <v>6</v>
    <v>Map</v>
    <v>7</v>
    <v>8</v>
    <v>RO-BH</v>
    <v>54</v>
    <v>55</v>
    <v>3</v>
    <v>Bihor County is a county in western Romania. With a total area of 7,544 km², Bihor is Romania's 6th largest county geographically and the main county in the historical region of Crișana. Its capital city is Oradea.</v>
    <v>56</v>
    <v>55</v>
    <v>57</v>
    <v>Bihor County</v>
    <v>58</v>
    <v>7</v>
    <v>Bihor County</v>
    <v>mdp/vdpid/8847425</v>
  </rv>
  <rv s="1">
    <fb>116.1</fb>
    <v>9</v>
  </rv>
  <rv s="2">
    <v>7</v>
    <v>7</v>
    <v>29</v>
    <v>7</v>
    <v>0</v>
    <v>Image of Oradea</v>
  </rv>
  <rv s="1">
    <fb>47.072222222222003</fb>
    <v>14</v>
  </rv>
  <rv s="0">
    <v>805306368</v>
    <v>Florin Birta (Mayor)</v>
    <v>e8561c6a-d1a5-e9ef-1bb5-16d2d9fac1e3</v>
    <v>en-US</v>
    <v>Generic</v>
  </rv>
  <rv s="4">
    <v>4</v>
  </rv>
  <rv s="3">
    <v>https://www.bing.com/search?q=oradea&amp;form=skydnc</v>
    <v>Learn more on Bing</v>
  </rv>
  <rv s="1">
    <fb>21.921111111110999</fb>
    <v>14</v>
  </rv>
  <rv s="1">
    <fb>206606</fb>
    <v>9</v>
  </rv>
  <rv s="4">
    <v>5</v>
  </rv>
  <rv s="8">
    <v>#VALUE!</v>
    <v>en-US</v>
    <v>12183633-1db2-817e-b47a-ef6fb1c575e8</v>
    <v>536870912</v>
    <v>1</v>
    <v>30</v>
    <v>31</v>
    <v>Oradea</v>
    <v>5</v>
    <v>6</v>
    <v>Map</v>
    <v>7</v>
    <v>20</v>
    <v>46</v>
    <v>46</v>
    <v>60</v>
    <v>3</v>
    <v>Oradea is the capital of the Crișana region in Romania. It serves as the administrative centre of Bihor County. The city is situated on both banks of the Crișul Repede River. As of 2021, Oradea is Romania's ninth most populous city. It is ...</v>
    <v>61</v>
    <v>62</v>
    <v>64</v>
    <v>65</v>
    <v>66</v>
    <v>Oradea</v>
    <v>67</v>
    <v>68</v>
    <v>Oradea</v>
    <v>mdp/vdpid/7025252395948965889</v>
  </rv>
  <rv s="0">
    <v>536870912</v>
    <v>Cristuru Secuiesc</v>
    <v>4e266fbd-c39a-eddd-738a-b485fcd54e84</v>
    <v>en-US</v>
    <v>Map</v>
  </rv>
  <rv s="0">
    <v>536870912</v>
    <v>Harghita County</v>
    <v>8378f330-84ea-467e-8a66-f27ad353cd4c</v>
    <v>en-US</v>
    <v>Map</v>
  </rv>
  <rv s="1">
    <fb>53.95</fb>
    <v>9</v>
  </rv>
  <rv s="2">
    <v>8</v>
    <v>7</v>
    <v>32</v>
    <v>7</v>
    <v>0</v>
    <v>Image of Cristuru Secuiesc</v>
  </rv>
  <rv s="1">
    <fb>46.291666666666998</fb>
    <v>14</v>
  </rv>
  <rv s="0">
    <v>805306368</v>
    <v>Hunor-János Koncz (Mayor)</v>
    <v>3d9a180c-983f-982d-f84f-4e32fa23064e</v>
    <v>en-US</v>
    <v>Generic</v>
  </rv>
  <rv s="4">
    <v>6</v>
  </rv>
  <rv s="3">
    <v>https://www.bing.com/search?q=cristuru+secuiesc+romania&amp;form=skydnc</v>
    <v>Learn more on Bing</v>
  </rv>
  <rv s="1">
    <fb>25.035277777777999</fb>
    <v>14</v>
  </rv>
  <rv s="1">
    <fb>8797</fb>
    <v>9</v>
  </rv>
  <rv s="6">
    <v>#VALUE!</v>
    <v>en-US</v>
    <v>4e266fbd-c39a-eddd-738a-b485fcd54e84</v>
    <v>536870912</v>
    <v>1</v>
    <v>33</v>
    <v>12</v>
    <v>Cristuru Secuiesc</v>
    <v>5</v>
    <v>6</v>
    <v>Map</v>
    <v>7</v>
    <v>8</v>
    <v>71</v>
    <v>72</v>
    <v>26</v>
    <v>Cristuru Secuiesc is a town in Harghita County, Romania. It lies in the Székely Land, an ethno-cultural region in eastern Transylvania. The town administers two villages: Betești, part of Mugeni until 2004, and Filiaș.</v>
    <v>73</v>
    <v>74</v>
    <v>76</v>
    <v>77</v>
    <v>78</v>
    <v>Cristuru Secuiesc</v>
    <v>79</v>
    <v>7</v>
    <v>Cristuru Secuiesc</v>
    <v>mdp/vdpid/7049726870203400193</v>
  </rv>
  <rv s="1">
    <fb>6639</fb>
    <v>9</v>
  </rv>
  <rv s="0">
    <v>536870912</v>
    <v>Miercurea Ciuc</v>
    <v>81ce9ba8-2abd-51cb-b06e-6bb58bd2267e</v>
    <v>en-US</v>
    <v>Map</v>
  </rv>
  <rv s="2">
    <v>9</v>
    <v>7</v>
    <v>34</v>
    <v>7</v>
    <v>0</v>
    <v>Image of Harghita County</v>
  </rv>
  <rv s="3">
    <v>https://www.bing.com/search?q=harghita+county&amp;form=skydnc</v>
    <v>Learn more on Bing</v>
  </rv>
  <rv s="1">
    <fb>291950</fb>
    <v>9</v>
  </rv>
  <rv s="5">
    <v>#VALUE!</v>
    <v>en-US</v>
    <v>8378f330-84ea-467e-8a66-f27ad353cd4c</v>
    <v>536870912</v>
    <v>1</v>
    <v>36</v>
    <v>3</v>
    <v>Harghita County</v>
    <v>5</v>
    <v>6</v>
    <v>Map</v>
    <v>7</v>
    <v>8</v>
    <v>RO-HR</v>
    <v>81</v>
    <v>82</v>
    <v>3</v>
    <v>Harghita County is a county in the center of Romania, in eastern Transylvania, with the county seat at Miercurea Ciuc. In 2002, Harghita County had a population of 326,222 and a population density of 52/km².</v>
    <v>83</v>
    <v>82</v>
    <v>84</v>
    <v>Harghita County</v>
    <v>85</v>
    <v>7</v>
    <v>Harghita County</v>
    <v>mdp/vdpid/8838835</v>
  </rv>
  <rv s="0">
    <v>536870912</v>
    <v>Beiuș</v>
    <v>45f74a69-068d-e13c-8868-30929892e925</v>
    <v>en-US</v>
    <v>Map</v>
  </rv>
  <rv s="1">
    <fb>24.46</fb>
    <v>9</v>
  </rv>
  <rv s="2">
    <v>10</v>
    <v>7</v>
    <v>37</v>
    <v>7</v>
    <v>0</v>
    <v>Image of Beiuș</v>
  </rv>
  <rv s="1">
    <fb>46.65</fb>
    <v>14</v>
  </rv>
  <rv s="0">
    <v>805306368</v>
    <v>Gabriel-Cătălin Popa (Mayor)</v>
    <v>7b486ee8-4bf1-acae-fca3-3a318b6b7ca4</v>
    <v>en-US</v>
    <v>Generic</v>
  </rv>
  <rv s="4">
    <v>7</v>
  </rv>
  <rv s="3">
    <v>https://www.bing.com/search?q=beiu%c8%99+romania&amp;form=skydnc</v>
    <v>Learn more on Bing</v>
  </rv>
  <rv s="1">
    <fb>22.35</fb>
    <v>14</v>
  </rv>
  <rv s="1">
    <fb>9745</fb>
    <v>9</v>
  </rv>
  <rv s="8">
    <v>#VALUE!</v>
    <v>en-US</v>
    <v>45f74a69-068d-e13c-8868-30929892e925</v>
    <v>536870912</v>
    <v>1</v>
    <v>38</v>
    <v>31</v>
    <v>Beiuș</v>
    <v>5</v>
    <v>6</v>
    <v>Map</v>
    <v>7</v>
    <v>8</v>
    <v>46</v>
    <v>46</v>
    <v>88</v>
    <v>26</v>
    <v>Beiuș is a city in Bihor County, Romania near the Apuseni Mountains. The river Crișul Negru flows through Beiuș, and the city administers a single village, Delani. Between the late 18th and very early 20th centuries, Beiuș constituted one of the ...</v>
    <v>89</v>
    <v>90</v>
    <v>92</v>
    <v>93</v>
    <v>94</v>
    <v>Beiuș</v>
    <v>95</v>
    <v>7</v>
    <v>Beiuș</v>
    <v>mdp/vdpid/7025327747324968961</v>
  </rv>
  <rv s="0">
    <v>536870912</v>
    <v>Drobeta-Turnu Severin</v>
    <v>ba5c2811-3cea-e95b-fdb0-f2a83f2dd04d</v>
    <v>en-US</v>
    <v>Map</v>
  </rv>
  <rv s="0">
    <v>536870912</v>
    <v>Mehedinți County</v>
    <v>4281fa8c-81b5-1f40-b397-e1eb6ba2dc78</v>
    <v>en-US</v>
    <v>Map</v>
  </rv>
  <rv s="1">
    <fb>57.43</fb>
    <v>9</v>
  </rv>
  <rv s="2">
    <v>11</v>
    <v>7</v>
    <v>39</v>
    <v>7</v>
    <v>0</v>
    <v>Image of Drobeta-Turnu Severin</v>
  </rv>
  <rv s="1">
    <fb>44.636111111110999</fb>
    <v>14</v>
  </rv>
  <rv s="0">
    <v>805306368</v>
    <v>Marius Screciu (Mayor)</v>
    <v>fd7d5449-f55c-dedc-ce3e-7ae19e761ea0</v>
    <v>en-US</v>
    <v>Generic</v>
  </rv>
  <rv s="4">
    <v>8</v>
  </rv>
  <rv s="3">
    <v>https://www.bing.com/search?q=drobeta-turnu+severin&amp;form=skydnc</v>
    <v>Learn more on Bing</v>
  </rv>
  <rv s="1">
    <fb>22.655555555555999</fb>
    <v>14</v>
  </rv>
  <rv s="1">
    <fb>79865</fb>
    <v>9</v>
  </rv>
  <rv s="6">
    <v>#VALUE!</v>
    <v>en-US</v>
    <v>ba5c2811-3cea-e95b-fdb0-f2a83f2dd04d</v>
    <v>536870912</v>
    <v>1</v>
    <v>40</v>
    <v>12</v>
    <v>Drobeta-Turnu Severin</v>
    <v>5</v>
    <v>6</v>
    <v>Map</v>
    <v>7</v>
    <v>8</v>
    <v>98</v>
    <v>99</v>
    <v>26</v>
    <v>Drobeta-Turnu Severin, colloquially Severin, is a city in Mehedinți County, Oltenia, Romania, on the northern bank of the Danube, close to the Iron Gates. It is one of six Romanian county seats lying on the river Danube. "Drobeta" is the name of ...</v>
    <v>100</v>
    <v>101</v>
    <v>103</v>
    <v>104</v>
    <v>105</v>
    <v>Drobeta-Turnu Severin</v>
    <v>106</v>
    <v>7</v>
    <v>Drobeta-Turnu Severin</v>
    <v>mdp/vdpid/7241794759646248961</v>
  </rv>
  <rv s="1">
    <fb>4942</fb>
    <v>9</v>
  </rv>
  <rv s="2">
    <v>12</v>
    <v>7</v>
    <v>41</v>
    <v>7</v>
    <v>0</v>
    <v>Image of Mehedinți County</v>
  </rv>
  <rv s="3">
    <v>https://www.bing.com/search?q=mehedin%c8%9bi+county+%22sud+vest%22+romania&amp;form=skydnc</v>
    <v>Learn more on Bing</v>
  </rv>
  <rv s="1">
    <fb>234339</fb>
    <v>9</v>
  </rv>
  <rv s="5">
    <v>#VALUE!</v>
    <v>en-US</v>
    <v>4281fa8c-81b5-1f40-b397-e1eb6ba2dc78</v>
    <v>536870912</v>
    <v>1</v>
    <v>43</v>
    <v>3</v>
    <v>Mehedinți County</v>
    <v>5</v>
    <v>6</v>
    <v>Map</v>
    <v>7</v>
    <v>8</v>
    <v>RO-MH</v>
    <v>108</v>
    <v>97</v>
    <v>3</v>
    <v>Mehedinți County is a county of Romania on the border with Serbia and Bulgaria. It is mostly located in the historical province of Oltenia, with one municipality and three communes located in the Banat. The county seat is Drobeta-Turnu Severin.</v>
    <v>109</v>
    <v>97</v>
    <v>110</v>
    <v>Mehedinți County</v>
    <v>111</v>
    <v>7</v>
    <v>Mehedinți County</v>
    <v>mdp/vdpid/8836136</v>
  </rv>
  <rv s="0">
    <v>536870912</v>
    <v>Alba County</v>
    <v>c21726c8-9ad7-eaa6-44f2-a2dae7e40e2c</v>
    <v>en-US</v>
    <v>Map</v>
  </rv>
  <rv s="1">
    <fb>6242</fb>
    <v>9</v>
  </rv>
  <rv s="0">
    <v>536870912</v>
    <v>Alba Iulia</v>
    <v>5e1b9e0d-d067-dcc1-5522-ada621dd9f72</v>
    <v>en-US</v>
    <v>Map</v>
  </rv>
  <rv s="2">
    <v>13</v>
    <v>7</v>
    <v>44</v>
    <v>7</v>
    <v>0</v>
    <v>Image of Alba County</v>
  </rv>
  <rv s="3">
    <v>https://www.bing.com/search?q=alba+county+centru+romania&amp;form=skydnc</v>
    <v>Learn more on Bing</v>
  </rv>
  <rv s="1">
    <fb>325941</fb>
    <v>9</v>
  </rv>
  <rv s="5">
    <v>#VALUE!</v>
    <v>en-US</v>
    <v>c21726c8-9ad7-eaa6-44f2-a2dae7e40e2c</v>
    <v>536870912</v>
    <v>1</v>
    <v>46</v>
    <v>3</v>
    <v>Alba County</v>
    <v>5</v>
    <v>6</v>
    <v>Map</v>
    <v>7</v>
    <v>8</v>
    <v>RO-AB</v>
    <v>114</v>
    <v>115</v>
    <v>3</v>
    <v>Alba County is a county of Romania located in the historic region of Transylvania. Its capital is Alba Iulia, a city with a population of 63,536. "Alba", meaning "white" in Latin and Romanian, is derived from the name of the city of Alba Iulia. ...</v>
    <v>116</v>
    <v>115</v>
    <v>117</v>
    <v>Alba County</v>
    <v>118</v>
    <v>7</v>
    <v>Alba County</v>
    <v>mdp/vdpid/8849132</v>
  </rv>
  <rv s="0">
    <v>536870912</v>
    <v>Arad County</v>
    <v>09ac14dd-d901-08ce-e6d7-7050564ba78d</v>
    <v>en-US</v>
    <v>Map</v>
  </rv>
  <rv s="1">
    <fb>7754</fb>
    <v>9</v>
  </rv>
  <rv s="0">
    <v>536870912</v>
    <v>Arad, Romania</v>
    <v>b2fd8528-b0df-e526-90cc-9f38609f7dd5</v>
    <v>en-US</v>
    <v>Map</v>
  </rv>
  <rv s="0">
    <v>536870912</v>
    <v>Kingdom of Romania</v>
    <v>9160dcca-a3d3-5d8b-57b0-a8301b3136a1</v>
    <v>en-US</v>
    <v>Map</v>
  </rv>
  <rv s="2">
    <v>14</v>
    <v>7</v>
    <v>47</v>
    <v>7</v>
    <v>0</v>
    <v>Image of Arad County</v>
  </rv>
  <rv s="3">
    <v>https://www.bing.com/search?q=arad+county+vest+romania&amp;form=skydnc</v>
    <v>Learn more on Bing</v>
  </rv>
  <rv s="1">
    <fb>410143</fb>
    <v>9</v>
  </rv>
  <rv s="5">
    <v>#VALUE!</v>
    <v>en-US</v>
    <v>09ac14dd-d901-08ce-e6d7-7050564ba78d</v>
    <v>536870912</v>
    <v>1</v>
    <v>49</v>
    <v>3</v>
    <v>Arad County</v>
    <v>5</v>
    <v>6</v>
    <v>Map</v>
    <v>7</v>
    <v>8</v>
    <v>RO-AR</v>
    <v>121</v>
    <v>122</v>
    <v>123</v>
    <v>Arad County is an administrative division of Romania roughly translated into county in the western part of the country on the border with Hungary, mostly in the region of Crișana and a few villages in Banat. The administrative center of the ...</v>
    <v>124</v>
    <v>122</v>
    <v>125</v>
    <v>Arad County</v>
    <v>126</v>
    <v>7</v>
    <v>Arad County</v>
    <v>mdp/vdpid/8848804</v>
  </rv>
  <rv s="1">
    <fb>116.5</fb>
    <v>9</v>
  </rv>
  <rv s="2">
    <v>15</v>
    <v>7</v>
    <v>50</v>
    <v>7</v>
    <v>0</v>
    <v>Image of Arad, Romania</v>
  </rv>
  <rv s="1">
    <fb>46.166666666666998</fb>
    <v>14</v>
  </rv>
  <rv s="0">
    <v>805306368</v>
    <v>Călin Bibarț (Mayor)</v>
    <v>33f86020-04de-0740-11f3-c2adda8d78f5</v>
    <v>en-US</v>
    <v>Generic</v>
  </rv>
  <rv s="4">
    <v>9</v>
  </rv>
  <rv s="3">
    <v>https://www.bing.com/search?q=arad+romania&amp;form=skydnc</v>
    <v>Learn more on Bing</v>
  </rv>
  <rv s="1">
    <fb>21.316666666667</fb>
    <v>14</v>
  </rv>
  <rv s="1">
    <fb>164614</fb>
    <v>9</v>
  </rv>
  <rv s="6">
    <v>#VALUE!</v>
    <v>en-US</v>
    <v>b2fd8528-b0df-e526-90cc-9f38609f7dd5</v>
    <v>536870912</v>
    <v>1</v>
    <v>51</v>
    <v>12</v>
    <v>Arad, Romania</v>
    <v>5</v>
    <v>6</v>
    <v>Map</v>
    <v>7</v>
    <v>20</v>
    <v>120</v>
    <v>128</v>
    <v>26</v>
    <v>Arad is the capital city of Arad County, at the border of Crișana and Banat. No villages are administered by the city. It is the third largest city in Western Romania, behind Timișoara and Oradea, and the 12th largest in Romania, with a ...</v>
    <v>129</v>
    <v>130</v>
    <v>132</v>
    <v>133</v>
    <v>134</v>
    <v>Arad, Romania</v>
    <v>135</v>
    <v>7</v>
    <v>Arad, Romania</v>
    <v>mdp/vdpid/7025481303663312897</v>
  </rv>
  <rv s="0">
    <v>536870912</v>
    <v>Curtici</v>
    <v>1edb6e1c-7e48-f55e-41ec-a96183d7d784</v>
    <v>en-US</v>
    <v>Map</v>
  </rv>
  <rv s="1">
    <fb>72.650000000000006</fb>
    <v>9</v>
  </rv>
  <rv s="2">
    <v>16</v>
    <v>7</v>
    <v>52</v>
    <v>7</v>
    <v>0</v>
    <v>Image of Curtici</v>
  </rv>
  <rv s="1">
    <fb>46.341944444444003</fb>
    <v>14</v>
  </rv>
  <rv s="0">
    <v>805306368</v>
    <v>Ioan-Bogdan Ban (Mayor)</v>
    <v>63785693-430c-31c1-3527-4df7ac6f093b</v>
    <v>en-US</v>
    <v>Generic</v>
  </rv>
  <rv s="4">
    <v>10</v>
  </rv>
  <rv s="3">
    <v>https://www.bing.com/search?q=curtici+romania&amp;form=skydnc</v>
    <v>Learn more on Bing</v>
  </rv>
  <rv s="1">
    <fb>21.306111111111001</fb>
    <v>14</v>
  </rv>
  <rv s="1">
    <fb>7279</fb>
    <v>9</v>
  </rv>
  <rv s="6">
    <v>#VALUE!</v>
    <v>en-US</v>
    <v>1edb6e1c-7e48-f55e-41ec-a96183d7d784</v>
    <v>536870912</v>
    <v>1</v>
    <v>53</v>
    <v>12</v>
    <v>Curtici</v>
    <v>5</v>
    <v>6</v>
    <v>Map</v>
    <v>7</v>
    <v>8</v>
    <v>120</v>
    <v>138</v>
    <v>26</v>
    <v>Curtici is a town located in Arad County, in western Romania. The town is situated at a 17 km distance from the county capital, Arad, in the western part of Arad County. It is the most important railway meeting point of Central Europe with the ...</v>
    <v>139</v>
    <v>140</v>
    <v>142</v>
    <v>143</v>
    <v>144</v>
    <v>Curtici</v>
    <v>145</v>
    <v>7</v>
    <v>Curtici</v>
    <v>mdp/vdpid/7025477183212617729</v>
  </rv>
  <rv s="0">
    <v>536870912</v>
    <v>Poplaca</v>
    <v>7d390d9f-cb98-3cf4-08f2-9d7fbeec7af8</v>
    <v>en-US</v>
    <v>Map</v>
  </rv>
  <rv s="1">
    <fb>34.49</fb>
    <v>9</v>
  </rv>
  <rv s="2">
    <v>17</v>
    <v>7</v>
    <v>54</v>
    <v>7</v>
    <v>0</v>
    <v>Image of Poplaca</v>
  </rv>
  <rv s="1">
    <fb>45.731529999999999</fb>
    <v>14</v>
  </rv>
  <rv s="0">
    <v>805306368</v>
    <v>Vasile Budin (Mayor)</v>
    <v>050b58e2-4b86-5dba-24b8-24ef33685daf</v>
    <v>en-US</v>
    <v>Generic</v>
  </rv>
  <rv s="4">
    <v>11</v>
  </rv>
  <rv s="3">
    <v>https://www.bing.com/search?q=poplaca+romania&amp;form=skydnc</v>
    <v>Learn more on Bing</v>
  </rv>
  <rv s="1">
    <fb>24.042548</fb>
    <v>14</v>
  </rv>
  <rv s="1">
    <fb>1782</fb>
    <v>9</v>
  </rv>
  <rv s="6">
    <v>#VALUE!</v>
    <v>en-US</v>
    <v>7d390d9f-cb98-3cf4-08f2-9d7fbeec7af8</v>
    <v>536870912</v>
    <v>1</v>
    <v>55</v>
    <v>12</v>
    <v>Poplaca</v>
    <v>5</v>
    <v>6</v>
    <v>Map</v>
    <v>7</v>
    <v>8</v>
    <v>0</v>
    <v>148</v>
    <v>26</v>
    <v>Poplaca is a commune in Sibiu County, Transylvania, Romania, at the foothills of the Cindrel Mountains, 12 km south-west of the county capital Sibiu, in the Mărginimea Sibiului ethnographic area. It is composed of a single village, Poplaca.</v>
    <v>149</v>
    <v>150</v>
    <v>152</v>
    <v>153</v>
    <v>154</v>
    <v>Poplaca</v>
    <v>155</v>
    <v>7</v>
    <v>Poplaca</v>
    <v>mdp/vdpid/7049705645850755073</v>
  </rv>
  <rv s="0">
    <v>536870912</v>
    <v>Bran, Brașov</v>
    <v>1979f4a5-0907-4f08-09c3-403feedf1584</v>
    <v>en-US</v>
    <v>Map</v>
  </rv>
  <rv s="0">
    <v>536870912</v>
    <v>Brașov County</v>
    <v>86db4373-f44e-f2af-1043-8cad4ea43afc</v>
    <v>en-US</v>
    <v>Map</v>
  </rv>
  <rv s="1">
    <fb>67.849999999999994</fb>
    <v>9</v>
  </rv>
  <rv s="2">
    <v>18</v>
    <v>7</v>
    <v>56</v>
    <v>7</v>
    <v>0</v>
    <v>Image of Bran, Brașov</v>
  </rv>
  <rv s="1">
    <fb>45.516111000000002</fb>
    <v>14</v>
  </rv>
  <rv s="0">
    <v>805306368</v>
    <v>Cosmin Feroiu (Mayor)</v>
    <v>babce232-9ded-8154-3c76-50fc31b51639</v>
    <v>en-US</v>
    <v>Generic</v>
  </rv>
  <rv s="4">
    <v>12</v>
  </rv>
  <rv s="3">
    <v>https://www.bing.com/search?q=bran+romania&amp;form=skydnc</v>
    <v>Learn more on Bing</v>
  </rv>
  <rv s="1">
    <fb>25.369444000000001</fb>
    <v>14</v>
  </rv>
  <rv s="1">
    <fb>4866</fb>
    <v>9</v>
  </rv>
  <rv s="6">
    <v>#VALUE!</v>
    <v>en-US</v>
    <v>1979f4a5-0907-4f08-09c3-403feedf1584</v>
    <v>536870912</v>
    <v>1</v>
    <v>57</v>
    <v>12</v>
    <v>Bran, Brașov</v>
    <v>5</v>
    <v>6</v>
    <v>Map</v>
    <v>7</v>
    <v>8</v>
    <v>158</v>
    <v>159</v>
    <v>26</v>
    <v>Bran is a commune in Brașov County, Transylvania, Romania. It is about 25 kilometres southwest of the city of Brașov and consists of five villages: Bran, Poarta, Predeluț, Șimon, and Sohodol. The medieval Bran Castle is a popular tourist ...</v>
    <v>160</v>
    <v>161</v>
    <v>163</v>
    <v>164</v>
    <v>165</v>
    <v>Bran, Brașov</v>
    <v>166</v>
    <v>7</v>
    <v>Bran, Brașov</v>
    <v>mdp/vdpid/7050175755254235137</v>
  </rv>
  <rv s="1">
    <fb>5363</fb>
    <v>9</v>
  </rv>
  <rv s="0">
    <v>536870912</v>
    <v>Brașov</v>
    <v>6befbdc5-4ce3-003e-f6bc-32fb71abc950</v>
    <v>en-US</v>
    <v>Map</v>
  </rv>
  <rv s="2">
    <v>19</v>
    <v>7</v>
    <v>58</v>
    <v>7</v>
    <v>0</v>
    <v>Image of Brașov County</v>
  </rv>
  <rv s="3">
    <v>https://www.bing.com/search?q=bra%c8%99ov+county+centru+romania&amp;form=skydnc</v>
    <v>Learn more on Bing</v>
  </rv>
  <rv s="1">
    <fb>546615</fb>
    <v>9</v>
  </rv>
  <rv s="5">
    <v>#VALUE!</v>
    <v>en-US</v>
    <v>86db4373-f44e-f2af-1043-8cad4ea43afc</v>
    <v>536870912</v>
    <v>1</v>
    <v>60</v>
    <v>3</v>
    <v>Brașov County</v>
    <v>5</v>
    <v>6</v>
    <v>Map</v>
    <v>7</v>
    <v>8</v>
    <v>RO-BV</v>
    <v>168</v>
    <v>169</v>
    <v>123</v>
    <v>Brașov County is a county of Transylvania, Romania. Its capital city is Brașov. The county incorporates within its boundaries most of the Medieval "lands" Burzenland and Făgăraș. In Hungarian, it is known as Brassó megye, and in German as Kreis ...</v>
    <v>170</v>
    <v>169</v>
    <v>171</v>
    <v>Brașov County</v>
    <v>172</v>
    <v>7</v>
    <v>Brașov County</v>
    <v>mdp/vdpid/8846386</v>
  </rv>
  <rv s="1">
    <fb>267</fb>
    <v>9</v>
  </rv>
  <rv s="2">
    <v>20</v>
    <v>7</v>
    <v>61</v>
    <v>7</v>
    <v>0</v>
    <v>Image of Brașov</v>
  </rv>
  <rv s="1">
    <fb>45.6522222222222</fb>
    <v>14</v>
  </rv>
  <rv s="0">
    <v>805306368</v>
    <v>George Scripcaru (Mayor)</v>
    <v>bc112828-6572-9118-c608-57d18fe9593e</v>
    <v>en-US</v>
    <v>Generic</v>
  </rv>
  <rv s="4">
    <v>13</v>
  </rv>
  <rv s="3">
    <v>https://www.bing.com/search?q=bra%c8%99ov&amp;form=skydnc</v>
    <v>Learn more on Bing</v>
  </rv>
  <rv s="1">
    <fb>25.610555555555599</fb>
    <v>14</v>
  </rv>
  <rv s="1">
    <fb>283985</fb>
    <v>9</v>
  </rv>
  <rv s="4">
    <v>14</v>
  </rv>
  <rv s="6">
    <v>#VALUE!</v>
    <v>en-US</v>
    <v>6befbdc5-4ce3-003e-f6bc-32fb71abc950</v>
    <v>536870912</v>
    <v>1</v>
    <v>62</v>
    <v>12</v>
    <v>Brașov</v>
    <v>5</v>
    <v>6</v>
    <v>Map</v>
    <v>7</v>
    <v>20</v>
    <v>158</v>
    <v>174</v>
    <v>3</v>
    <v>Brașov is a city in Transylvania, Romania and the county seat of Brașov County. According to the 2021 census, with 237,589 inhabitants, Brașov is the 6th most populous city in Romania. The metropolitan area was home to 371,802 residents.</v>
    <v>175</v>
    <v>176</v>
    <v>178</v>
    <v>179</v>
    <v>180</v>
    <v>Brașov</v>
    <v>181</v>
    <v>182</v>
    <v>Brașov</v>
    <v>mdp/vdpid/7050176926622679041</v>
  </rv>
  <rv s="0">
    <v>536870912</v>
    <v>Bistrița-Năsăud County</v>
    <v>d0dac3d9-f47e-2719-abf6-372b00ae7ae0</v>
    <v>en-US</v>
    <v>Map</v>
  </rv>
  <rv s="1">
    <fb>5355</fb>
    <v>9</v>
  </rv>
  <rv s="0">
    <v>536870912</v>
    <v>Bistrița</v>
    <v>b931bfec-ce02-ac94-31e2-f48b8906d56e</v>
    <v>en-US</v>
    <v>Map</v>
  </rv>
  <rv s="2">
    <v>21</v>
    <v>7</v>
    <v>63</v>
    <v>7</v>
    <v>0</v>
    <v>Image of Bistrița-Năsăud County</v>
  </rv>
  <rv s="0">
    <v>536870912</v>
    <v>Poiana Ilvei</v>
    <v>ea6714a9-de91-f2a6-d712-d3ce5c5d7b44</v>
    <v>en-US</v>
    <v>Map</v>
  </rv>
  <rv s="3">
    <v>https://www.bing.com/search?q=bistri%c8%9ba-n%c4%83s%c4%83ud+county+%22nord+vest%22+romania&amp;form=skydnc</v>
    <v>Learn more on Bing</v>
  </rv>
  <rv s="1">
    <fb>277861</fb>
    <v>9</v>
  </rv>
  <rv s="5">
    <v>#VALUE!</v>
    <v>en-US</v>
    <v>d0dac3d9-f47e-2719-abf6-372b00ae7ae0</v>
    <v>536870912</v>
    <v>1</v>
    <v>65</v>
    <v>3</v>
    <v>Bistrița-Năsăud County</v>
    <v>5</v>
    <v>6</v>
    <v>Map</v>
    <v>7</v>
    <v>13</v>
    <v>RO-BN</v>
    <v>185</v>
    <v>186</v>
    <v>3</v>
    <v>Bistrița-Năsăud is a county of Romania, in Transylvania, with its capital city at Bistrița. In Hungarian, it is known as Beszterce-Naszód megye, and in German as Kreis Bistritz-Nassod. The name is identical with the county created in 1876, ...</v>
    <v>187</v>
    <v>188</v>
    <v>189</v>
    <v>Bistrița-Năsăud County</v>
    <v>190</v>
    <v>7</v>
    <v>Bistrița-Năsăud County</v>
    <v>mdp/vdpid/8847194</v>
  </rv>
  <rv s="1">
    <fb>145.47</fb>
    <v>9</v>
  </rv>
  <rv s="2">
    <v>22</v>
    <v>7</v>
    <v>66</v>
    <v>7</v>
    <v>0</v>
    <v>Image of Bistrița</v>
  </rv>
  <rv s="1">
    <fb>47.133333333332999</fb>
    <v>14</v>
  </rv>
  <rv s="0">
    <v>805306368</v>
    <v>Gabriel Lazany (Mayor)</v>
    <v>a59febbc-3d48-e00f-ec06-8efaaed8bb77</v>
    <v>en-US</v>
    <v>Generic</v>
  </rv>
  <rv s="4">
    <v>15</v>
  </rv>
  <rv s="3">
    <v>https://www.bing.com/search?q=bistri%c8%9ba+romania&amp;form=skydnc</v>
    <v>Learn more on Bing</v>
  </rv>
  <rv s="1">
    <fb>24.483333333333</fb>
    <v>14</v>
  </rv>
  <rv s="1">
    <fb>78877</fb>
    <v>9</v>
  </rv>
  <rv s="6">
    <v>#VALUE!</v>
    <v>en-US</v>
    <v>b931bfec-ce02-ac94-31e2-f48b8906d56e</v>
    <v>536870912</v>
    <v>1</v>
    <v>67</v>
    <v>12</v>
    <v>Bistrița</v>
    <v>5</v>
    <v>6</v>
    <v>Map</v>
    <v>7</v>
    <v>8</v>
    <v>184</v>
    <v>192</v>
    <v>26</v>
    <v>Bistrița is the capital city of Bistrița-Năsăud County, in northern Transylvania, Romania. It is situated on the Bistrița River. The city has a population of 78,877 inhabitants as of 2021 and administers six villages: Ghinda, Sărata, Sigmir, ...</v>
    <v>193</v>
    <v>194</v>
    <v>196</v>
    <v>197</v>
    <v>198</v>
    <v>Bistrița</v>
    <v>199</v>
    <v>7</v>
    <v>Bistrița</v>
    <v>mdp/vdpid/7049434409354657793</v>
  </rv>
  <rv s="1">
    <fb>14.1</fb>
    <v>9</v>
  </rv>
  <rv s="2">
    <v>23</v>
    <v>7</v>
    <v>68</v>
    <v>7</v>
    <v>0</v>
    <v>Image of Poiana Ilvei</v>
  </rv>
  <rv s="1">
    <fb>47.355814000000002</fb>
    <v>14</v>
  </rv>
  <rv s="3">
    <v>https://www.bing.com/search?q=poiana+ilvei+romania&amp;form=skydnc</v>
    <v>Learn more on Bing</v>
  </rv>
  <rv s="1">
    <fb>24.745170000000002</fb>
    <v>14</v>
  </rv>
  <rv s="1">
    <fb>1353</fb>
    <v>9</v>
  </rv>
  <rv s="9">
    <v>#VALUE!</v>
    <v>en-US</v>
    <v>ea6714a9-de91-f2a6-d712-d3ce5c5d7b44</v>
    <v>536870912</v>
    <v>1</v>
    <v>69</v>
    <v>70</v>
    <v>Poiana Ilvei</v>
    <v>5</v>
    <v>6</v>
    <v>Map</v>
    <v>7</v>
    <v>8</v>
    <v>184</v>
    <v>201</v>
    <v>26</v>
    <v>Poiana Ilvei is a commune in Bistrița-Năsăud County, Transylvania, Romania. It is composed of a single village, Poiana Ilvei, part of Măgura Ilvei Commune until 2003, when it was split off.</v>
    <v>202</v>
    <v>203</v>
    <v>204</v>
    <v>205</v>
    <v>Poiana Ilvei</v>
    <v>206</v>
    <v>7</v>
    <v>Poiana Ilvei</v>
    <v>mdp/vdpid/7049456229852119041</v>
  </rv>
  <rv s="0">
    <v>536870912</v>
    <v>Bustuchin</v>
    <v>d743c72c-03f0-9a3b-0f50-3bada3b3fc1b</v>
    <v>en-US</v>
    <v>Map</v>
  </rv>
  <rv s="0">
    <v>536870912</v>
    <v>Gorj County</v>
    <v>9f8069d1-da23-e934-5858-395dd70ecd4a</v>
    <v>en-US</v>
    <v>Map</v>
  </rv>
  <rv s="1">
    <fb>60.95</fb>
    <v>9</v>
  </rv>
  <rv s="2">
    <v>24</v>
    <v>7</v>
    <v>71</v>
    <v>7</v>
    <v>0</v>
    <v>Image of Bustuchin</v>
  </rv>
  <rv s="1">
    <fb>44.970875999999997</fb>
    <v>14</v>
  </rv>
  <rv s="0">
    <v>805306368</v>
    <v>Ion Ciocea (Mayor)</v>
    <v>bdc55b8e-00a8-b94c-7a07-f475acef8522</v>
    <v>en-US</v>
    <v>Generic</v>
  </rv>
  <rv s="4">
    <v>16</v>
  </rv>
  <rv s="3">
    <v>https://www.bing.com/search?q=bustuchin+romania&amp;form=skydnc</v>
    <v>Learn more on Bing</v>
  </rv>
  <rv s="1">
    <fb>23.728669</fb>
    <v>14</v>
  </rv>
  <rv s="1">
    <fb>3050</fb>
    <v>9</v>
  </rv>
  <rv s="6">
    <v>#VALUE!</v>
    <v>en-US</v>
    <v>d743c72c-03f0-9a3b-0f50-3bada3b3fc1b</v>
    <v>536870912</v>
    <v>1</v>
    <v>72</v>
    <v>12</v>
    <v>Bustuchin</v>
    <v>5</v>
    <v>6</v>
    <v>Map</v>
    <v>7</v>
    <v>8</v>
    <v>209</v>
    <v>210</v>
    <v>26</v>
    <v>Bustuchin is a commune in Gorj County, Oltenia, Romania. It is composed of eight villages: Bustuchin, Cionți, Motorgi, Nămete, Poiana-Seciuri, Poienița, Pojaru, and Valea Pojarului. The Bustuchin Coal Mine and the Bustuchin oil field are located ...</v>
    <v>211</v>
    <v>212</v>
    <v>214</v>
    <v>215</v>
    <v>216</v>
    <v>Bustuchin</v>
    <v>217</v>
    <v>7</v>
    <v>Bustuchin</v>
    <v>mdp/vdpid/7241834509988003841</v>
  </rv>
  <rv s="1">
    <fb>5602</fb>
    <v>9</v>
  </rv>
  <rv s="0">
    <v>536870912</v>
    <v>Târgu Jiu</v>
    <v>e149c480-abc4-94e7-42b9-6c9c2d2767b7</v>
    <v>en-US</v>
    <v>Map</v>
  </rv>
  <rv s="2">
    <v>25</v>
    <v>7</v>
    <v>73</v>
    <v>7</v>
    <v>0</v>
    <v>Image of Gorj County</v>
  </rv>
  <rv s="0">
    <v>536870912</v>
    <v>Târgu Cărbunești</v>
    <v>fb44449a-a5f2-3247-f18f-c0a0c281eb63</v>
    <v>en-US</v>
    <v>Map</v>
  </rv>
  <rv s="3">
    <v>https://www.bing.com/search?q=gorj+county+%22sud+vest%22+romania&amp;form=skydnc</v>
    <v>Learn more on Bing</v>
  </rv>
  <rv s="1">
    <fb>314685</fb>
    <v>9</v>
  </rv>
  <rv s="5">
    <v>#VALUE!</v>
    <v>en-US</v>
    <v>9f8069d1-da23-e934-5858-395dd70ecd4a</v>
    <v>536870912</v>
    <v>1</v>
    <v>75</v>
    <v>3</v>
    <v>Gorj County</v>
    <v>5</v>
    <v>6</v>
    <v>Map</v>
    <v>7</v>
    <v>8</v>
    <v>RO-GJ</v>
    <v>219</v>
    <v>220</v>
    <v>3</v>
    <v>Gorj County is a county of Romania, in Oltenia, with its capital city at Târgu Jiu. Gorj comes from the Slavic Gornji Jiu, in contrast with Dolnji. At the 2011 census, the county had a population of 334,238 and its population density was 59.66/km².</v>
    <v>221</v>
    <v>222</v>
    <v>223</v>
    <v>Gorj County</v>
    <v>224</v>
    <v>7</v>
    <v>Gorj County</v>
    <v>mdp/vdpid/8839425</v>
  </rv>
  <rv s="1">
    <fb>161</fb>
    <v>9</v>
  </rv>
  <rv s="2">
    <v>26</v>
    <v>7</v>
    <v>76</v>
    <v>7</v>
    <v>0</v>
    <v>Image of Târgu Jiu</v>
  </rv>
  <rv s="1">
    <fb>45.034166666666998</fb>
    <v>14</v>
  </rv>
  <rv s="0">
    <v>805306368</v>
    <v>Marcel Romanescu (Mayor)</v>
    <v>f511136c-7955-4bdd-e23c-de9e24535e23</v>
    <v>en-US</v>
    <v>Generic</v>
  </rv>
  <rv s="4">
    <v>17</v>
  </rv>
  <rv s="3">
    <v>https://www.bing.com/search?q=t%c3%a2rgu+jiu+romania&amp;form=skydnc</v>
    <v>Learn more on Bing</v>
  </rv>
  <rv s="1">
    <fb>23.274722222222</fb>
    <v>14</v>
  </rv>
  <rv s="1">
    <fb>73545</fb>
    <v>9</v>
  </rv>
  <rv s="6">
    <v>#VALUE!</v>
    <v>en-US</v>
    <v>e149c480-abc4-94e7-42b9-6c9c2d2767b7</v>
    <v>536870912</v>
    <v>1</v>
    <v>77</v>
    <v>12</v>
    <v>Târgu Jiu</v>
    <v>5</v>
    <v>6</v>
    <v>Map</v>
    <v>7</v>
    <v>8</v>
    <v>209</v>
    <v>226</v>
    <v>26</v>
    <v>Târgu Jiu (Romanian pronunciation:, is the capital of Gorj County in the Oltenia region of Romania. It is situated on the Southern Sub-Carpathians, on the banks of the river Jiu. Eight localities are administered by the city: Bârsești, ...</v>
    <v>227</v>
    <v>228</v>
    <v>230</v>
    <v>231</v>
    <v>232</v>
    <v>Târgu Jiu</v>
    <v>233</v>
    <v>7</v>
    <v>Târgu Jiu</v>
    <v>mdp/vdpid/7049669432129355777</v>
  </rv>
  <rv s="0">
    <v>536870912</v>
    <v>Borșa</v>
    <v>8e2479a8-cd79-e23a-0826-d9fcd0c8d5c9</v>
    <v>en-US</v>
    <v>Map</v>
  </rv>
  <rv s="0">
    <v>536870912</v>
    <v>Maramureș County</v>
    <v>4ed7d056-ef13-2d0e-56a6-e9da21330a94</v>
    <v>en-US</v>
    <v>Map</v>
  </rv>
  <rv s="1">
    <fb>424.12</fb>
    <v>9</v>
  </rv>
  <rv s="2">
    <v>27</v>
    <v>7</v>
    <v>78</v>
    <v>7</v>
    <v>0</v>
    <v>Image of Borșa</v>
  </rv>
  <rv s="1">
    <fb>47.655277777777997</fb>
    <v>14</v>
  </rv>
  <rv s="0">
    <v>805306368</v>
    <v>Ion-Sorin Timiș (Mayor)</v>
    <v>c2844b9b-7f16-fa53-d8d4-24cb3c63d1a0</v>
    <v>en-US</v>
    <v>Generic</v>
  </rv>
  <rv s="4">
    <v>18</v>
  </rv>
  <rv s="3">
    <v>https://www.bing.com/search?q=bor%c8%99a+romania&amp;form=skydnc</v>
    <v>Learn more on Bing</v>
  </rv>
  <rv s="1">
    <fb>24.663055555555999</fb>
    <v>14</v>
  </rv>
  <rv s="1">
    <fb>27711</fb>
    <v>9</v>
  </rv>
  <rv s="6">
    <v>#VALUE!</v>
    <v>en-US</v>
    <v>8e2479a8-cd79-e23a-0826-d9fcd0c8d5c9</v>
    <v>536870912</v>
    <v>1</v>
    <v>79</v>
    <v>12</v>
    <v>Borșa</v>
    <v>5</v>
    <v>6</v>
    <v>Map</v>
    <v>7</v>
    <v>8</v>
    <v>236</v>
    <v>237</v>
    <v>26</v>
    <v>Borșa is a town in eastern Maramureș County, Maramureș, Romania. It administers one village, Băile Borșa. The town is located at the eastern extremity of Maramureș County, 123 km from the county seat, Baia Mare. Covering 12% of the county's ...</v>
    <v>238</v>
    <v>239</v>
    <v>241</v>
    <v>242</v>
    <v>243</v>
    <v>Borșa</v>
    <v>244</v>
    <v>7</v>
    <v>Borșa</v>
    <v>mdp/vdpid/7049436983919116289</v>
  </rv>
  <rv s="1">
    <fb>6304</fb>
    <v>9</v>
  </rv>
  <rv s="0">
    <v>536870912</v>
    <v>Baia Mare</v>
    <v>0bc15478-3185-e507-6378-76d087b75b00</v>
    <v>en-US</v>
    <v>Map</v>
  </rv>
  <rv s="2">
    <v>28</v>
    <v>7</v>
    <v>80</v>
    <v>7</v>
    <v>0</v>
    <v>Image of Maramureș County</v>
  </rv>
  <rv s="3">
    <v>https://www.bing.com/search?q=maramure%c8%99+county+romania&amp;form=skydnc</v>
    <v>Learn more on Bing</v>
  </rv>
  <rv s="1">
    <fb>452475</fb>
    <v>9</v>
  </rv>
  <rv s="5">
    <v>#VALUE!</v>
    <v>en-US</v>
    <v>4ed7d056-ef13-2d0e-56a6-e9da21330a94</v>
    <v>536870912</v>
    <v>1</v>
    <v>82</v>
    <v>3</v>
    <v>Maramureș County</v>
    <v>5</v>
    <v>6</v>
    <v>Map</v>
    <v>7</v>
    <v>8</v>
    <v>RO-MM</v>
    <v>246</v>
    <v>247</v>
    <v>3</v>
    <v>Maramureș County is a county in Romania, in the Southern Maramureș region. The county seat is Baia Mare. In Hungarian it is known as Máramaros megye, in Ukrainian as Мараморо́щина, in German as Kreis Marmarosch, in Rusyn as Мараморош, and in ...</v>
    <v>248</v>
    <v>247</v>
    <v>249</v>
    <v>Maramureș County</v>
    <v>250</v>
    <v>7</v>
    <v>Maramureș County</v>
    <v>mdp/vdpid/8836411</v>
  </rv>
  <rv s="1">
    <fb>236</fb>
    <v>9</v>
  </rv>
  <rv s="2">
    <v>29</v>
    <v>7</v>
    <v>83</v>
    <v>7</v>
    <v>0</v>
    <v>Image of Baia Mare</v>
  </rv>
  <rv s="1">
    <fb>47.656666666666702</fb>
    <v>14</v>
  </rv>
  <rv s="0">
    <v>805306368</v>
    <v>Ioan-Doru Dăncuș (Mayor)</v>
    <v>7822b7c0-5615-1e3b-9d38-a32e1e5a02c1</v>
    <v>en-US</v>
    <v>Generic</v>
  </rv>
  <rv s="4">
    <v>19</v>
  </rv>
  <rv s="3">
    <v>https://www.bing.com/search?q=baia+mare&amp;form=skydnc</v>
    <v>Learn more on Bing</v>
  </rv>
  <rv s="1">
    <fb>23.571944444444402</fb>
    <v>14</v>
  </rv>
  <rv s="1">
    <fb>108759</fb>
    <v>9</v>
  </rv>
  <rv s="6">
    <v>#VALUE!</v>
    <v>en-US</v>
    <v>0bc15478-3185-e507-6378-76d087b75b00</v>
    <v>536870912</v>
    <v>1</v>
    <v>84</v>
    <v>12</v>
    <v>Baia Mare</v>
    <v>5</v>
    <v>6</v>
    <v>Map</v>
    <v>7</v>
    <v>8</v>
    <v>236</v>
    <v>252</v>
    <v>3</v>
    <v>Baia Mare is a city in northwestern Romania, the capital and largest municipality of Maramureș County. It lies on the Săsar River and serves as an important economic, cultural, and educational centre of the historical region of Maramureș, a ...</v>
    <v>253</v>
    <v>254</v>
    <v>256</v>
    <v>257</v>
    <v>258</v>
    <v>Baia Mare</v>
    <v>259</v>
    <v>182</v>
    <v>Baia Mare</v>
    <v>mdp/vdpid/7049304565329428481</v>
  </rv>
  <rv s="0">
    <v>536870912</v>
    <v>Caraș-Severin County</v>
    <v>f236c4b6-3033-3e05-9418-43c6d669da82</v>
    <v>en-US</v>
    <v>Map</v>
  </rv>
  <rv s="1">
    <fb>8514</fb>
    <v>9</v>
  </rv>
  <rv s="0">
    <v>536870912</v>
    <v>Lugoj</v>
    <v>45871522-cc6f-d294-f9eb-ad46a09c68e6</v>
    <v>en-US</v>
    <v>Map</v>
  </rv>
  <rv s="2">
    <v>30</v>
    <v>7</v>
    <v>85</v>
    <v>7</v>
    <v>0</v>
    <v>Image of Caraș-Severin County</v>
  </rv>
  <rv s="0">
    <v>536870912</v>
    <v>Reșița</v>
    <v>4a43a2ef-2d74-0d23-13ca-dd321558f16a</v>
    <v>en-US</v>
    <v>Map</v>
  </rv>
  <rv s="3">
    <v>https://www.bing.com/search?q=cara%c8%99-severin+county+vest+romania&amp;form=skydnc</v>
    <v>Learn more on Bing</v>
  </rv>
  <rv s="1">
    <fb>246588</fb>
    <v>9</v>
  </rv>
  <rv s="5">
    <v>#VALUE!</v>
    <v>en-US</v>
    <v>f236c4b6-3033-3e05-9418-43c6d669da82</v>
    <v>536870912</v>
    <v>1</v>
    <v>87</v>
    <v>3</v>
    <v>Caraș-Severin County</v>
    <v>5</v>
    <v>6</v>
    <v>Map</v>
    <v>7</v>
    <v>8</v>
    <v>RO-CS</v>
    <v>262</v>
    <v>263</v>
    <v>3</v>
    <v>Caraș-Severin is a county of Romania on the border with Serbia. The majority of its territory lies within the historical region of Banat, with a few northeastern villages considered part of Transylvania. The county seat is Reșița. The ...</v>
    <v>264</v>
    <v>265</v>
    <v>266</v>
    <v>Caraș-Severin County</v>
    <v>267</v>
    <v>7</v>
    <v>Caraș-Severin County</v>
    <v>mdp/vdpid/8845257</v>
  </rv>
  <rv s="0">
    <v>536870912</v>
    <v>Timiș County</v>
    <v>655fa6eb-9e3d-05b3-4101-2413d655f1ff</v>
    <v>en-US</v>
    <v>Map</v>
  </rv>
  <rv s="1">
    <fb>88.05</fb>
    <v>9</v>
  </rv>
  <rv s="2">
    <v>31</v>
    <v>7</v>
    <v>88</v>
    <v>7</v>
    <v>0</v>
    <v>Image of Lugoj</v>
  </rv>
  <rv s="1">
    <fb>45.686111111111003</fb>
    <v>14</v>
  </rv>
  <rv s="0">
    <v>805306368</v>
    <v>Călin-Ionel Dobra (Mayor)</v>
    <v>a5de9b18-2769-6482-c701-ff2adfaf2515</v>
    <v>en-US</v>
    <v>Generic</v>
  </rv>
  <rv s="4">
    <v>20</v>
  </rv>
  <rv s="3">
    <v>https://www.bing.com/search?q=lugoj+romania&amp;form=skydnc</v>
    <v>Learn more on Bing</v>
  </rv>
  <rv s="1">
    <fb>21.900555555556</fb>
    <v>14</v>
  </rv>
  <rv s="1">
    <fb>35450</fb>
    <v>9</v>
  </rv>
  <rv s="6">
    <v>#VALUE!</v>
    <v>en-US</v>
    <v>45871522-cc6f-d294-f9eb-ad46a09c68e6</v>
    <v>536870912</v>
    <v>1</v>
    <v>89</v>
    <v>12</v>
    <v>Lugoj</v>
    <v>5</v>
    <v>6</v>
    <v>Map</v>
    <v>7</v>
    <v>8</v>
    <v>269</v>
    <v>270</v>
    <v>26</v>
    <v>Lugoj is a city in Timiș County, Romania. The Timiș River divides the city into two halves: the "Romanian Lugoj" that spreads on the right bank, and the "German Lugoj" on the left bank. The city administers two villages, Măguri and Tapia.</v>
    <v>271</v>
    <v>272</v>
    <v>274</v>
    <v>275</v>
    <v>276</v>
    <v>Lugoj</v>
    <v>277</v>
    <v>7</v>
    <v>Lugoj</v>
    <v>mdp/vdpid/7025580844664225793</v>
  </rv>
  <rv s="1">
    <fb>197.65</fb>
    <v>9</v>
  </rv>
  <rv s="2">
    <v>32</v>
    <v>7</v>
    <v>90</v>
    <v>7</v>
    <v>0</v>
    <v>Image of Reșița</v>
  </rv>
  <rv s="1">
    <fb>45.3</fb>
    <v>14</v>
  </rv>
  <rv s="0">
    <v>805306368</v>
    <v>Ioan Popa (Mayor)</v>
    <v>a521f7d6-d30b-01a8-0911-4731c8566303</v>
    <v>en-US</v>
    <v>Generic</v>
  </rv>
  <rv s="4">
    <v>21</v>
  </rv>
  <rv s="3">
    <v>https://www.bing.com/search?q=re%c8%99i%c8%9ba+romania&amp;form=skydnc</v>
    <v>Learn more on Bing</v>
  </rv>
  <rv s="1">
    <fb>21.890277777778</fb>
    <v>14</v>
  </rv>
  <rv s="1">
    <fb>58393</fb>
    <v>9</v>
  </rv>
  <rv s="6">
    <v>#VALUE!</v>
    <v>en-US</v>
    <v>4a43a2ef-2d74-0d23-13ca-dd321558f16a</v>
    <v>536870912</v>
    <v>1</v>
    <v>91</v>
    <v>12</v>
    <v>Reșița</v>
    <v>5</v>
    <v>6</v>
    <v>Map</v>
    <v>7</v>
    <v>8</v>
    <v>261</v>
    <v>279</v>
    <v>26</v>
    <v>Reșița is a city in western Romania and the capital of Caraș-Severin County. It is located in the Banat region. The city had a population of 58,393 in 2021. It administers six villages: Câlnic, Cuptoare, Doman, Moniom, Secu, and Țerova.</v>
    <v>280</v>
    <v>281</v>
    <v>283</v>
    <v>284</v>
    <v>285</v>
    <v>Reșița</v>
    <v>286</v>
    <v>7</v>
    <v>Reșița</v>
    <v>mdp/vdpid/7025598020422991873</v>
  </rv>
  <rv s="1">
    <fb>8696.7000000000007</fb>
    <v>9</v>
  </rv>
  <rv s="0">
    <v>536870912</v>
    <v>Timișoara</v>
    <v>174337bb-a364-9f71-2069-7600c5f49d59</v>
    <v>en-US</v>
    <v>Map</v>
  </rv>
  <rv s="2">
    <v>33</v>
    <v>7</v>
    <v>92</v>
    <v>7</v>
    <v>0</v>
    <v>Image of Timiș County</v>
  </rv>
  <rv s="0">
    <v>805306368</v>
    <v>Alfred Simonis (President)</v>
    <v>9f750a4d-8903-6f31-f8a4-e94209146a22</v>
    <v>en-US</v>
    <v>Generic</v>
  </rv>
  <rv s="4">
    <v>22</v>
  </rv>
  <rv s="3">
    <v>https://www.bing.com/search?q=timi%c8%99+county+romania&amp;form=skydnc</v>
    <v>Learn more on Bing</v>
  </rv>
  <rv s="1">
    <fb>650533</fb>
    <v>9</v>
  </rv>
  <rv s="10">
    <v>#VALUE!</v>
    <v>en-US</v>
    <v>655fa6eb-9e3d-05b3-4101-2413d655f1ff</v>
    <v>536870912</v>
    <v>1</v>
    <v>94</v>
    <v>95</v>
    <v>Timiș County</v>
    <v>5</v>
    <v>6</v>
    <v>Map</v>
    <v>7</v>
    <v>8</v>
    <v>RO-TM</v>
    <v>288</v>
    <v>289</v>
    <v>3</v>
    <v>Timiș is a county of western Romania on the border with Hungary and Serbia, in the historical region of Banat, with the county seat at Timișoara. It is the westernmost and the largest county in Romania in terms of land area. The county is also ...</v>
    <v>290</v>
    <v>289</v>
    <v>292</v>
    <v>293</v>
    <v>Timiș County</v>
    <v>294</v>
    <v>7</v>
    <v>Timiș County</v>
    <v>mdp/vdpid/8827593</v>
  </rv>
  <rv s="1">
    <fb>130.5</fb>
    <v>9</v>
  </rv>
  <rv s="2">
    <v>34</v>
    <v>7</v>
    <v>96</v>
    <v>7</v>
    <v>0</v>
    <v>Image of Timișoara</v>
  </rv>
  <rv s="1">
    <fb>45.759722222222003</fb>
    <v>14</v>
  </rv>
  <rv s="0">
    <v>805306368</v>
    <v>Dominic Fritz (Mayor)</v>
    <v>99a0b4c7-6bf7-9c3c-118d-bb96bee9c2e1</v>
    <v>en-US</v>
    <v>Generic</v>
  </rv>
  <rv s="4">
    <v>23</v>
  </rv>
  <rv s="3">
    <v>https://www.bing.com/search?q=timisoara&amp;form=skydnc</v>
    <v>Learn more on Bing</v>
  </rv>
  <rv s="1">
    <fb>21.23</fb>
    <v>14</v>
  </rv>
  <rv s="1">
    <fb>317750</fb>
    <v>9</v>
  </rv>
  <rv s="6">
    <v>#VALUE!</v>
    <v>en-US</v>
    <v>174337bb-a364-9f71-2069-7600c5f49d59</v>
    <v>536870912</v>
    <v>1</v>
    <v>97</v>
    <v>12</v>
    <v>Timișoara</v>
    <v>5</v>
    <v>6</v>
    <v>Map</v>
    <v>7</v>
    <v>20</v>
    <v>269</v>
    <v>296</v>
    <v>3</v>
    <v>Timișoara, officially the Municipality of Timișoara, is the capital city of Timiș County, Banat, and the main economic, social and cultural center in western Romania. Located on the Bega River, Timișoara is considered the informal capital city ...</v>
    <v>297</v>
    <v>298</v>
    <v>300</v>
    <v>301</v>
    <v>302</v>
    <v>Timișoara</v>
    <v>303</v>
    <v>68</v>
    <v>Timișoara</v>
    <v>mdp/vdpid/7025500099950149633</v>
  </rv>
  <rv s="0">
    <v>536870912</v>
    <v>Covasna County</v>
    <v>fa5ce805-c93a-97b6-9e15-4b761a9b83c6</v>
    <v>en-US</v>
    <v>Map</v>
  </rv>
  <rv s="1">
    <fb>3710</fb>
    <v>9</v>
  </rv>
  <rv s="0">
    <v>536870912</v>
    <v>Sfântu Gheorghe</v>
    <v>23573f2c-c1b8-969b-5654-f35071a77ba1</v>
    <v>en-US</v>
    <v>Map</v>
  </rv>
  <rv s="2">
    <v>35</v>
    <v>7</v>
    <v>98</v>
    <v>7</v>
    <v>0</v>
    <v>Image of Covasna County</v>
  </rv>
  <rv s="3">
    <v>https://www.bing.com/search?q=covasna+county+centru+romania&amp;form=skydnc</v>
    <v>Learn more on Bing</v>
  </rv>
  <rv s="1">
    <fb>200042</fb>
    <v>9</v>
  </rv>
  <rv s="5">
    <v>#VALUE!</v>
    <v>en-US</v>
    <v>fa5ce805-c93a-97b6-9e15-4b761a9b83c6</v>
    <v>536870912</v>
    <v>1</v>
    <v>100</v>
    <v>3</v>
    <v>Covasna County</v>
    <v>5</v>
    <v>6</v>
    <v>Map</v>
    <v>7</v>
    <v>8</v>
    <v>RO-CV</v>
    <v>306</v>
    <v>307</v>
    <v>3</v>
    <v>Covasna County is a county of Romania, in eastern Transylvania, with the county seat at Sfântu Gheorghe. In 2011, it had a population of 210,177, making it the second least populous of Romania's 41 counties and the population density was 55.6 ...</v>
    <v>308</v>
    <v>307</v>
    <v>309</v>
    <v>Covasna County</v>
    <v>310</v>
    <v>7</v>
    <v>Covasna County</v>
    <v>mdp/vdpid/8842962</v>
  </rv>
  <rv s="2">
    <v>36</v>
    <v>7</v>
    <v>101</v>
    <v>7</v>
    <v>0</v>
    <v>Image of Sfântu Gheorghe</v>
  </rv>
  <rv s="1">
    <fb>45.865277777777798</fb>
    <v>14</v>
  </rv>
  <rv s="0">
    <v>805306368</v>
    <v>Árpád András Antal (Mayor)</v>
    <v>af067db8-a94f-9972-127e-209de3f7dda4</v>
    <v>en-US</v>
    <v>Generic</v>
  </rv>
  <rv s="4">
    <v>24</v>
  </rv>
  <rv s="3">
    <v>https://www.bing.com/search?q=sf%c3%a2ntu+gheorghe+romania&amp;form=skydnc</v>
    <v>Learn more on Bing</v>
  </rv>
  <rv s="1">
    <fb>25.787777777777801</fb>
    <v>14</v>
  </rv>
  <rv s="1">
    <fb>50080</fb>
    <v>9</v>
  </rv>
  <rv s="11">
    <v>#VALUE!</v>
    <v>en-US</v>
    <v>23573f2c-c1b8-969b-5654-f35071a77ba1</v>
    <v>536870912</v>
    <v>1</v>
    <v>102</v>
    <v>103</v>
    <v>Sfântu Gheorghe</v>
    <v>5</v>
    <v>6</v>
    <v>Map</v>
    <v>7</v>
    <v>104</v>
    <v>305</v>
    <v>26</v>
    <v>Sfântu Gheorghe is a city that serves as the seat of Covasna County in Transylvania, Romania. Located in the central part of the country, it lies on the Olt River in a valley between the Baraolt Mountains and the Bodoc Mountains. The town ...</v>
    <v>312</v>
    <v>313</v>
    <v>315</v>
    <v>316</v>
    <v>317</v>
    <v>Sfântu Gheorghe</v>
    <v>318</v>
    <v>7</v>
    <v>Sfântu Gheorghe</v>
    <v>mdp/vdpid/7050132279615553537</v>
  </rv>
  <rv s="0">
    <v>536870912</v>
    <v>Giroc</v>
    <v>5f5db927-eac2-d8b7-879b-d34d2a3d4b89</v>
    <v>en-US</v>
    <v>Map</v>
  </rv>
  <rv s="1">
    <fb>55.28</fb>
    <v>9</v>
  </rv>
  <rv s="2">
    <v>37</v>
    <v>7</v>
    <v>105</v>
    <v>7</v>
    <v>0</v>
    <v>Image of Giroc</v>
  </rv>
  <rv s="1">
    <fb>45.682366000000002</fb>
    <v>14</v>
  </rv>
  <rv s="0">
    <v>805306368</v>
    <v>Dan Vîrtosu (Mayor)</v>
    <v>ca5104cf-9fe4-8568-82e6-183050369536</v>
    <v>en-US</v>
    <v>Generic</v>
  </rv>
  <rv s="4">
    <v>25</v>
  </rv>
  <rv s="3">
    <v>https://www.bing.com/search?q=giroc+romania&amp;form=skydnc</v>
    <v>Learn more on Bing</v>
  </rv>
  <rv s="1">
    <fb>21.245318999999999</fb>
    <v>14</v>
  </rv>
  <rv s="1">
    <fb>22270</fb>
    <v>9</v>
  </rv>
  <rv s="6">
    <v>#VALUE!</v>
    <v>en-US</v>
    <v>5f5db927-eac2-d8b7-879b-d34d2a3d4b89</v>
    <v>536870912</v>
    <v>1</v>
    <v>106</v>
    <v>12</v>
    <v>Giroc</v>
    <v>5</v>
    <v>6</v>
    <v>Map</v>
    <v>7</v>
    <v>8</v>
    <v>269</v>
    <v>321</v>
    <v>26</v>
    <v>Giroc is a commune in Timiș County, Romania. It is composed of two villages, Chișoda and Giroc. It is located near Timișoara, south of the city. Giroc is a suburban commune of Timișoara, located three kilometers south of it. In recent years, by ...</v>
    <v>322</v>
    <v>323</v>
    <v>325</v>
    <v>326</v>
    <v>327</v>
    <v>Giroc</v>
    <v>328</v>
    <v>7</v>
    <v>Giroc</v>
    <v>mdp/vdpid/7025498829310918657</v>
  </rv>
  <rv s="0">
    <v>536870912</v>
    <v>Dolj County</v>
    <v>dea77125-28db-fbbc-ff54-52cbc5d207dd</v>
    <v>en-US</v>
    <v>Map</v>
  </rv>
  <rv s="1">
    <fb>5562</fb>
    <v>9</v>
  </rv>
  <rv s="0">
    <v>536870912</v>
    <v>Craiova</v>
    <v>9469eb18-4424-3624-1a6a-af15978b5278</v>
    <v>en-US</v>
    <v>Map</v>
  </rv>
  <rv s="2">
    <v>38</v>
    <v>7</v>
    <v>107</v>
    <v>7</v>
    <v>0</v>
    <v>Image of Dolj County</v>
  </rv>
  <rv s="3">
    <v>https://www.bing.com/search?q=dolj+county+%22sud+vest%22+romania&amp;form=skydnc</v>
    <v>Learn more on Bing</v>
  </rv>
  <rv s="1">
    <fb>599442</fb>
    <v>9</v>
  </rv>
  <rv s="5">
    <v>#VALUE!</v>
    <v>en-US</v>
    <v>dea77125-28db-fbbc-ff54-52cbc5d207dd</v>
    <v>536870912</v>
    <v>1</v>
    <v>109</v>
    <v>3</v>
    <v>Dolj County</v>
    <v>5</v>
    <v>6</v>
    <v>Map</v>
    <v>7</v>
    <v>8</v>
    <v>RO-DJ</v>
    <v>331</v>
    <v>332</v>
    <v>3</v>
    <v>Dolj County is a county of Romania on the border with Bulgaria, in Oltenia, with the capital city at Craiova. In 2011, the county had a population of 660,544 and a population density of 89/km². This county has a total area of 7,414 km².</v>
    <v>333</v>
    <v>332</v>
    <v>334</v>
    <v>Dolj County</v>
    <v>335</v>
    <v>7</v>
    <v>Dolj County</v>
    <v>mdp/vdpid/8841667</v>
  </rv>
  <rv s="1">
    <fb>81.41</fb>
    <v>9</v>
  </rv>
  <rv s="2">
    <v>39</v>
    <v>7</v>
    <v>110</v>
    <v>7</v>
    <v>0</v>
    <v>Image of Craiova</v>
  </rv>
  <rv s="1">
    <fb>44.333333333333002</fb>
    <v>14</v>
  </rv>
  <rv s="0">
    <v>805306368</v>
    <v>Lia Olguța Vasilescu (Mayor)</v>
    <v>bebc9763-6479-9519-42a8-c085fe9ccbee</v>
    <v>en-US</v>
    <v>Generic</v>
  </rv>
  <rv s="4">
    <v>26</v>
  </rv>
  <rv s="3">
    <v>https://www.bing.com/search?q=craiova&amp;form=skydnc</v>
    <v>Learn more on Bing</v>
  </rv>
  <rv s="1">
    <fb>23.816666666667</fb>
    <v>14</v>
  </rv>
  <rv s="1">
    <fb>296137</fb>
    <v>9</v>
  </rv>
  <rv s="6">
    <v>#VALUE!</v>
    <v>en-US</v>
    <v>9469eb18-4424-3624-1a6a-af15978b5278</v>
    <v>536870912</v>
    <v>1</v>
    <v>111</v>
    <v>12</v>
    <v>Craiova</v>
    <v>5</v>
    <v>6</v>
    <v>Map</v>
    <v>7</v>
    <v>20</v>
    <v>330</v>
    <v>337</v>
    <v>3</v>
    <v>Craiova is the largest city in southwestern Romania, the seventh largest city in the country and the capital of Dolj County, situated near the east bank of the river Jiu in central Oltenia. It is a longstanding political center, and is located ...</v>
    <v>338</v>
    <v>339</v>
    <v>341</v>
    <v>342</v>
    <v>343</v>
    <v>Craiova</v>
    <v>344</v>
    <v>7</v>
    <v>Craiova</v>
    <v>mdp/vdpid/7241858560127139841</v>
  </rv>
  <rv s="0">
    <v>536870912</v>
    <v>Vânju Mare</v>
    <v>05cc409f-a27f-920c-b620-665a8db21e22</v>
    <v>en-US</v>
    <v>Map</v>
  </rv>
  <rv s="1">
    <fb>93.57</fb>
    <v>9</v>
  </rv>
  <rv s="2">
    <v>40</v>
    <v>7</v>
    <v>112</v>
    <v>7</v>
    <v>0</v>
    <v>Image of Vânju Mare</v>
  </rv>
  <rv s="1">
    <fb>44.431944444443999</fb>
    <v>14</v>
  </rv>
  <rv s="0">
    <v>805306368</v>
    <v>Alexandru Mijaiche (Mayor)</v>
    <v>fbc12699-e5bd-88c5-9578-35fa0d96eef0</v>
    <v>en-US</v>
    <v>Generic</v>
  </rv>
  <rv s="4">
    <v>27</v>
  </rv>
  <rv s="3">
    <v>https://www.bing.com/search?q=v%c3%a2nju+mare+romania&amp;form=skydnc</v>
    <v>Learn more on Bing</v>
  </rv>
  <rv s="1">
    <fb>22.876944444444</fb>
    <v>14</v>
  </rv>
  <rv s="1">
    <fb>5078</fb>
    <v>9</v>
  </rv>
  <rv s="6">
    <v>#VALUE!</v>
    <v>en-US</v>
    <v>05cc409f-a27f-920c-b620-665a8db21e22</v>
    <v>536870912</v>
    <v>1</v>
    <v>113</v>
    <v>12</v>
    <v>Vânju Mare</v>
    <v>5</v>
    <v>6</v>
    <v>Map</v>
    <v>7</v>
    <v>8</v>
    <v>98</v>
    <v>347</v>
    <v>26</v>
    <v>Vânju Mare is a small town located in Mehedinți County, Romania. Four villages are administered by the town: Bucura, Nicolae Bălcescu, Orevița Mare, and Traian. It is situated in the historical region of Oltenia.</v>
    <v>348</v>
    <v>349</v>
    <v>351</v>
    <v>352</v>
    <v>353</v>
    <v>Vânju Mare</v>
    <v>354</v>
    <v>7</v>
    <v>Vânju Mare</v>
    <v>mdp/vdpid/7241819327714820097</v>
  </rv>
  <rv s="0">
    <v>536870912</v>
    <v>Slobozia</v>
    <v>e5553c22-9f16-687c-7ae4-954ad748eb74</v>
    <v>en-US</v>
    <v>Map</v>
  </rv>
  <rv s="0">
    <v>536870912</v>
    <v>Ialomița County</v>
    <v>fc33a349-ea3d-08f4-c751-0ae5b7dcfa8c</v>
    <v>en-US</v>
    <v>Map</v>
  </rv>
  <rv s="1">
    <fb>132.87</fb>
    <v>9</v>
  </rv>
  <rv s="2">
    <v>41</v>
    <v>7</v>
    <v>114</v>
    <v>7</v>
    <v>0</v>
    <v>Image of Slobozia</v>
  </rv>
  <rv s="1">
    <fb>44.563888888888997</fb>
    <v>14</v>
  </rv>
  <rv s="0">
    <v>805306368</v>
    <v>Dănuț-Alexandru Potor (Mayor)</v>
    <v>ea407a0d-792e-4472-0228-24f0fa47989d</v>
    <v>en-US</v>
    <v>Generic</v>
  </rv>
  <rv s="4">
    <v>28</v>
  </rv>
  <rv s="3">
    <v>https://www.bing.com/search?q=slobozia+romania&amp;form=skydnc</v>
    <v>Learn more on Bing</v>
  </rv>
  <rv s="1">
    <fb>27.366111111111</fb>
    <v>14</v>
  </rv>
  <rv s="1">
    <fb>41550</fb>
    <v>9</v>
  </rv>
  <rv s="6">
    <v>#VALUE!</v>
    <v>en-US</v>
    <v>e5553c22-9f16-687c-7ae4-954ad748eb74</v>
    <v>536870912</v>
    <v>1</v>
    <v>115</v>
    <v>12</v>
    <v>Slobozia</v>
    <v>5</v>
    <v>6</v>
    <v>Map</v>
    <v>7</v>
    <v>8</v>
    <v>357</v>
    <v>358</v>
    <v>26</v>
    <v>Slobozia is the capital city of Ialomița County, Muntenia, Romania, with a population of 41,550 in 2021. Its name is from the Romanian "slobozie", which meant a recently colonized village which was free of taxation. The word itself comes from ...</v>
    <v>359</v>
    <v>360</v>
    <v>362</v>
    <v>363</v>
    <v>364</v>
    <v>Slobozia</v>
    <v>365</v>
    <v>7</v>
    <v>Slobozia</v>
    <v>mdp/vdpid/7242545034799611905</v>
  </rv>
  <rv s="1">
    <fb>4453</fb>
    <v>9</v>
  </rv>
  <rv s="0">
    <v>536870912</v>
    <v>Călărași</v>
    <v>7b4f7abc-c92e-4386-bd42-3a396d1e2d6f</v>
    <v>en-US</v>
    <v>Map</v>
  </rv>
  <rv s="2">
    <v>42</v>
    <v>7</v>
    <v>116</v>
    <v>7</v>
    <v>0</v>
    <v>Image of Ialomița County</v>
  </rv>
  <rv s="3">
    <v>https://www.bing.com/search?q=ialomi%c8%9ba+county+romania&amp;form=skydnc</v>
    <v>Learn more on Bing</v>
  </rv>
  <rv s="1">
    <fb>250816</fb>
    <v>9</v>
  </rv>
  <rv s="12">
    <v>#VALUE!</v>
    <v>en-US</v>
    <v>fc33a349-ea3d-08f4-c751-0ae5b7dcfa8c</v>
    <v>536870912</v>
    <v>1</v>
    <v>118</v>
    <v>119</v>
    <v>Ialomița County</v>
    <v>5</v>
    <v>6</v>
    <v>Map</v>
    <v>7</v>
    <v>8</v>
    <v>RO-IL</v>
    <v>367</v>
    <v>368</v>
    <v>3</v>
    <v>Ialomița County is a county of Romania, in Muntenia, with the capital city at Slobozia.</v>
    <v>369</v>
    <v>356</v>
    <v>370</v>
    <v>Ialomița County</v>
    <v>371</v>
    <v>Ialomița County</v>
    <v>mdp/vdpid/8838374</v>
  </rv>
  <rv s="0">
    <v>536870912</v>
    <v>Călărași County</v>
    <v>cd578b99-3dd3-5dea-7c8b-4e9135436f97</v>
    <v>en-US</v>
    <v>Map</v>
  </rv>
  <rv s="1">
    <fb>133.22</fb>
    <v>9</v>
  </rv>
  <rv s="2">
    <v>43</v>
    <v>7</v>
    <v>120</v>
    <v>7</v>
    <v>0</v>
    <v>Image of Călărași</v>
  </rv>
  <rv s="1">
    <fb>44.2</fb>
    <v>14</v>
  </rv>
  <rv s="0">
    <v>805306368</v>
    <v>Marius-Grigore Dulce (Mayor)</v>
    <v>309ae35c-8acb-1709-7ffa-88ea5fa3433c</v>
    <v>en-US</v>
    <v>Generic</v>
  </rv>
  <rv s="4">
    <v>29</v>
  </rv>
  <rv s="3">
    <v>https://www.bing.com/search?q=c%c4%83l%c4%83ra%c8%99i+sud+muntenia+romania&amp;form=skydnc</v>
    <v>Learn more on Bing</v>
  </rv>
  <rv s="1">
    <fb>27.333333333333002</fb>
    <v>14</v>
  </rv>
  <rv s="1">
    <fb>58211</fb>
    <v>9</v>
  </rv>
  <rv s="6">
    <v>#VALUE!</v>
    <v>en-US</v>
    <v>7b4f7abc-c92e-4386-bd42-3a396d1e2d6f</v>
    <v>536870912</v>
    <v>1</v>
    <v>121</v>
    <v>12</v>
    <v>Călărași</v>
    <v>5</v>
    <v>6</v>
    <v>Map</v>
    <v>7</v>
    <v>8</v>
    <v>373</v>
    <v>374</v>
    <v>26</v>
    <v>Călărași, the capital of Călărași County in the Muntenia region, is situated in south-east Romania, on the banks of the Danube's Borcea branch, at about 12 kilometres from the Bulgarian border and 125 kilometres from Bucharest. It is one of six ...</v>
    <v>375</v>
    <v>376</v>
    <v>378</v>
    <v>379</v>
    <v>380</v>
    <v>Călărași</v>
    <v>381</v>
    <v>7</v>
    <v>Călărași</v>
    <v>mdp/vdpid/7242575408187572225</v>
  </rv>
  <rv s="0">
    <v>536870912</v>
    <v>Corlățel</v>
    <v>a358e040-8bea-323c-0d02-cb575b951b48</v>
    <v>en-US</v>
    <v>Map</v>
  </rv>
  <rv s="1">
    <fb>46.54</fb>
    <v>9</v>
  </rv>
  <rv s="2">
    <v>44</v>
    <v>7</v>
    <v>122</v>
    <v>7</v>
    <v>0</v>
    <v>Image of Corlățel</v>
  </rv>
  <rv s="1">
    <fb>44.382545999999998</fb>
    <v>14</v>
  </rv>
  <rv s="3">
    <v>https://www.bing.com/search?q=corl%c4%83%c8%9bel&amp;form=skydnc</v>
    <v>Learn more on Bing</v>
  </rv>
  <rv s="1">
    <fb>22.923323</fb>
    <v>14</v>
  </rv>
  <rv s="1">
    <fb>1162</fb>
    <v>9</v>
  </rv>
  <rv s="9">
    <v>#VALUE!</v>
    <v>en-US</v>
    <v>a358e040-8bea-323c-0d02-cb575b951b48</v>
    <v>536870912</v>
    <v>1</v>
    <v>123</v>
    <v>70</v>
    <v>Corlățel</v>
    <v>5</v>
    <v>6</v>
    <v>Map</v>
    <v>7</v>
    <v>8</v>
    <v>98</v>
    <v>384</v>
    <v>26</v>
    <v>Corlățel is a commune located in Mehedinți County, Oltenia, Romania. It is composed of two villages, Corlățel and Valea Anilor.</v>
    <v>385</v>
    <v>386</v>
    <v>387</v>
    <v>388</v>
    <v>Corlățel</v>
    <v>389</v>
    <v>7</v>
    <v>Corlățel</v>
    <v>mdp/vdpid/7241819530333257729</v>
  </rv>
  <rv s="0">
    <v>536870912</v>
    <v>Hunedoara County</v>
    <v>202a8128-b503-a325-37e5-8e5e68c15867</v>
    <v>en-US</v>
    <v>Map</v>
  </rv>
  <rv s="1">
    <fb>7063</fb>
    <v>9</v>
  </rv>
  <rv s="0">
    <v>536870912</v>
    <v>Deva, Romania</v>
    <v>6db33371-d93a-82b9-c731-c560e6dc2960</v>
    <v>en-US</v>
    <v>Map</v>
  </rv>
  <rv s="2">
    <v>45</v>
    <v>7</v>
    <v>124</v>
    <v>7</v>
    <v>0</v>
    <v>Image of Hunedoara County</v>
  </rv>
  <rv s="3">
    <v>https://www.bing.com/search?q=hunedoara+county+romania&amp;form=skydnc</v>
    <v>Learn more on Bing</v>
  </rv>
  <rv s="1">
    <fb>361657</fb>
    <v>9</v>
  </rv>
  <rv s="5">
    <v>#VALUE!</v>
    <v>en-US</v>
    <v>202a8128-b503-a325-37e5-8e5e68c15867</v>
    <v>536870912</v>
    <v>1</v>
    <v>126</v>
    <v>3</v>
    <v>Hunedoara County</v>
    <v>5</v>
    <v>6</v>
    <v>Map</v>
    <v>7</v>
    <v>8</v>
    <v>RO-HD</v>
    <v>392</v>
    <v>393</v>
    <v>3</v>
    <v>Hunedoara County is a county of Romania. Hunedoara County is located in the Transylvania region with a few divisions in the north being located in the Crișana region. Its capital city is Deva, and it’s located on the left bank of the Mureș ...</v>
    <v>394</v>
    <v>393</v>
    <v>395</v>
    <v>Hunedoara County</v>
    <v>396</v>
    <v>7</v>
    <v>Hunedoara County</v>
    <v>mdp/vdpid/8838443</v>
  </rv>
  <rv s="1">
    <fb>34</fb>
    <v>9</v>
  </rv>
  <rv s="2">
    <v>46</v>
    <v>7</v>
    <v>127</v>
    <v>7</v>
    <v>0</v>
    <v>Image of Deva, Romania</v>
  </rv>
  <rv s="1">
    <fb>45.871944444443997</fb>
    <v>14</v>
  </rv>
  <rv s="0">
    <v>805306368</v>
    <v>Lucian-Ioan Rus (Mayor)</v>
    <v>f28dfae1-04d1-1c85-d1ea-fa5350dadf2b</v>
    <v>en-US</v>
    <v>Generic</v>
  </rv>
  <rv s="4">
    <v>30</v>
  </rv>
  <rv s="3">
    <v>https://www.bing.com/search?q=deva+romania&amp;form=skydnc</v>
    <v>Learn more on Bing</v>
  </rv>
  <rv s="1">
    <fb>22.911666666666999</fb>
    <v>14</v>
  </rv>
  <rv s="1">
    <fb>53113</fb>
    <v>9</v>
  </rv>
  <rv s="6">
    <v>#VALUE!</v>
    <v>en-US</v>
    <v>6db33371-d93a-82b9-c731-c560e6dc2960</v>
    <v>536870912</v>
    <v>1</v>
    <v>128</v>
    <v>12</v>
    <v>Deva, Romania</v>
    <v>5</v>
    <v>6</v>
    <v>Map</v>
    <v>7</v>
    <v>8</v>
    <v>391</v>
    <v>398</v>
    <v>26</v>
    <v>Deva is a city in Romania, in the historical region of Transylvania, on the left bank of the river Mureș. It is the capital of Hunedoara County. Its name was first recorded in 1269 as castrum Dewa. The origin of the name gave rise to ...</v>
    <v>399</v>
    <v>400</v>
    <v>402</v>
    <v>403</v>
    <v>404</v>
    <v>Deva, Romania</v>
    <v>405</v>
    <v>7</v>
    <v>Deva, Romania</v>
    <v>mdp/vdpid/7049568614097092609</v>
  </rv>
  <rv s="0">
    <v>536870912</v>
    <v>Sărmaș</v>
    <v>d1e996f2-5388-131c-a207-a1b6b3367f8c</v>
    <v>en-US</v>
    <v>Map</v>
  </rv>
  <rv s="1">
    <fb>72</fb>
    <v>9</v>
  </rv>
  <rv s="2">
    <v>47</v>
    <v>7</v>
    <v>129</v>
    <v>7</v>
    <v>0</v>
    <v>Image of Sărmaș</v>
  </rv>
  <rv s="1">
    <fb>46.914661000000002</fb>
    <v>14</v>
  </rv>
  <rv s="0">
    <v>805306368</v>
    <v>Valentin Mîndru (Mayor)</v>
    <v>9c5909e4-0268-527e-e978-81e93d36bce0</v>
    <v>en-US</v>
    <v>Generic</v>
  </rv>
  <rv s="4">
    <v>31</v>
  </rv>
  <rv s="3">
    <v>https://www.bing.com/search?q=s%c4%83rma%c8%99+romania&amp;form=skydnc</v>
    <v>Learn more on Bing</v>
  </rv>
  <rv s="1">
    <fb>25.477805</fb>
    <v>14</v>
  </rv>
  <rv s="1">
    <fb>3366</fb>
    <v>9</v>
  </rv>
  <rv s="6">
    <v>#VALUE!</v>
    <v>en-US</v>
    <v>d1e996f2-5388-131c-a207-a1b6b3367f8c</v>
    <v>536870912</v>
    <v>1</v>
    <v>130</v>
    <v>12</v>
    <v>Sărmaș</v>
    <v>5</v>
    <v>6</v>
    <v>Map</v>
    <v>7</v>
    <v>8</v>
    <v>71</v>
    <v>408</v>
    <v>26</v>
    <v>Sărmaș is a commune in Harghita County, Transylvania, Romania. Ethnic Romanians represent the majority. The commune is composed of five villages: Hodoșa, Fundoaia, Platonești, Runc, and Sărmaș. At the 2002 census, 80.6% of inhabitants were ...</v>
    <v>409</v>
    <v>410</v>
    <v>412</v>
    <v>413</v>
    <v>414</v>
    <v>Sărmaș</v>
    <v>415</v>
    <v>7</v>
    <v>Sărmaș</v>
    <v>mdp/vdpid/7049897706872897537</v>
  </rv>
  <rv s="0">
    <v>536870912</v>
    <v>Iași County</v>
    <v>2be9dc91-9009-1844-f4a7-f66e4de3e1e2</v>
    <v>en-US</v>
    <v>Map</v>
  </rv>
  <rv s="1">
    <fb>5476</fb>
    <v>9</v>
  </rv>
  <rv s="0">
    <v>536870912</v>
    <v>Iași</v>
    <v>2ae59ab1-f50f-069e-28d2-67f366ba2cd8</v>
    <v>en-US</v>
    <v>Map</v>
  </rv>
  <rv s="2">
    <v>48</v>
    <v>7</v>
    <v>131</v>
    <v>7</v>
    <v>0</v>
    <v>Image of Iași County</v>
  </rv>
  <rv s="3">
    <v>https://www.bing.com/search?q=ia%c8%99i+county+%22nord+est%22+romania&amp;form=skydnc</v>
    <v>Learn more on Bing</v>
  </rv>
  <rv s="1">
    <fb>760774</fb>
    <v>9</v>
  </rv>
  <rv s="12">
    <v>#VALUE!</v>
    <v>en-US</v>
    <v>2be9dc91-9009-1844-f4a7-f66e4de3e1e2</v>
    <v>536870912</v>
    <v>1</v>
    <v>133</v>
    <v>119</v>
    <v>Iași County</v>
    <v>5</v>
    <v>6</v>
    <v>Map</v>
    <v>7</v>
    <v>8</v>
    <v>RO-IS</v>
    <v>418</v>
    <v>419</v>
    <v>3</v>
    <v>Iași County is a county of Romania, in Western Moldavia, with the administrative seat at Iași. It is the most populous county in Romania, after the Municipality of Bucharest.</v>
    <v>420</v>
    <v>419</v>
    <v>421</v>
    <v>Iași County</v>
    <v>422</v>
    <v>Iași County</v>
    <v>mdp/vdpid/8838335</v>
  </rv>
  <rv s="0">
    <v>536870912</v>
    <v>Ocna Mureș</v>
    <v>a9c56149-3b9b-de6d-8ad3-1d186494b97e</v>
    <v>en-US</v>
    <v>Map</v>
  </rv>
  <rv s="1">
    <fb>68.34</fb>
    <v>9</v>
  </rv>
  <rv s="2">
    <v>49</v>
    <v>7</v>
    <v>134</v>
    <v>7</v>
    <v>0</v>
    <v>Image of Ocna Mureș</v>
  </rv>
  <rv s="1">
    <fb>46.39</fb>
    <v>14</v>
  </rv>
  <rv s="0">
    <v>805306368</v>
    <v>Silviu Vințeler (Mayor)</v>
    <v>6a784ac0-850c-5e97-9d53-924f1f1c9035</v>
    <v>en-US</v>
    <v>Generic</v>
  </rv>
  <rv s="4">
    <v>32</v>
  </rv>
  <rv s="3">
    <v>https://www.bing.com/search?q=ocna+mure%c8%99+romania&amp;form=skydnc</v>
    <v>Learn more on Bing</v>
  </rv>
  <rv s="1">
    <fb>23.86</fb>
    <v>14</v>
  </rv>
  <rv s="1">
    <fb>12480</fb>
    <v>9</v>
  </rv>
  <rv s="6">
    <v>#VALUE!</v>
    <v>en-US</v>
    <v>a9c56149-3b9b-de6d-8ad3-1d186494b97e</v>
    <v>536870912</v>
    <v>1</v>
    <v>135</v>
    <v>12</v>
    <v>Ocna Mureș</v>
    <v>5</v>
    <v>6</v>
    <v>Map</v>
    <v>7</v>
    <v>8</v>
    <v>113</v>
    <v>425</v>
    <v>26</v>
    <v>Ocna Mureș is a town in Alba County, Romania, located in the north-eastern corner of the county, near the Mureș River. The town administers five villages: Cisteiu de Mureș, Micoșlaca, Războieni-Cetate, Uioara de Jos, and Uioara de Sus. Its ...</v>
    <v>426</v>
    <v>427</v>
    <v>429</v>
    <v>430</v>
    <v>431</v>
    <v>Ocna Mureș</v>
    <v>432</v>
    <v>7</v>
    <v>Ocna Mureș</v>
    <v>mdp/vdpid/7049587849695330305</v>
  </rv>
  <rv s="0">
    <v>536870912</v>
    <v>Mureș County</v>
    <v>3f4266e8-0170-a113-1032-f94336eaafdf</v>
    <v>en-US</v>
    <v>Map</v>
  </rv>
  <rv s="1">
    <fb>6714</fb>
    <v>9</v>
  </rv>
  <rv s="0">
    <v>536870912</v>
    <v>Târgu Mureș</v>
    <v>dcf7a23a-10af-e536-a6ed-7cb35c6932f8</v>
    <v>en-US</v>
    <v>Map</v>
  </rv>
  <rv s="2">
    <v>50</v>
    <v>7</v>
    <v>136</v>
    <v>7</v>
    <v>0</v>
    <v>Image of Mureș County</v>
  </rv>
  <rv s="3">
    <v>https://www.bing.com/search?q=mure%c8%99+county+romania&amp;form=skydnc</v>
    <v>Learn more on Bing</v>
  </rv>
  <rv s="1">
    <fb>518193</fb>
    <v>9</v>
  </rv>
  <rv s="5">
    <v>#VALUE!</v>
    <v>en-US</v>
    <v>3f4266e8-0170-a113-1032-f94336eaafdf</v>
    <v>536870912</v>
    <v>1</v>
    <v>138</v>
    <v>3</v>
    <v>Mureș County</v>
    <v>5</v>
    <v>6</v>
    <v>Map</v>
    <v>7</v>
    <v>8</v>
    <v>RO-MS</v>
    <v>435</v>
    <v>436</v>
    <v>3</v>
    <v>Mureș County is a county of Romania, in the historical region of Transylvania, with the administrative centre in Târgu Mureș. The county was established in 1968, after the administrative reorganization that re-introduced the historical județ ...</v>
    <v>437</v>
    <v>436</v>
    <v>438</v>
    <v>Mureș County</v>
    <v>439</v>
    <v>7</v>
    <v>Mureș County</v>
    <v>mdp/vdpid/8835150</v>
  </rv>
  <rv s="1">
    <fb>66.959999999999994</fb>
    <v>9</v>
  </rv>
  <rv s="2">
    <v>51</v>
    <v>7</v>
    <v>139</v>
    <v>7</v>
    <v>0</v>
    <v>Image of Târgu Mureș</v>
  </rv>
  <rv s="1">
    <fb>46.549722222222002</fb>
    <v>14</v>
  </rv>
  <rv s="0">
    <v>805306368</v>
    <v>Zoltán Soós (Mayor)</v>
    <v>d8fb0ab5-3677-fcf6-1b56-32f620ca1eb3</v>
    <v>en-US</v>
    <v>Generic</v>
  </rv>
  <rv s="4">
    <v>33</v>
  </rv>
  <rv s="3">
    <v>https://www.bing.com/search?q=t%c3%a2rgu+mure%c8%99&amp;form=skydnc</v>
    <v>Learn more on Bing</v>
  </rv>
  <rv s="1">
    <fb>24.559722222222</fb>
    <v>14</v>
  </rv>
  <rv s="1">
    <fb>127849</fb>
    <v>9</v>
  </rv>
  <rv s="6">
    <v>#VALUE!</v>
    <v>en-US</v>
    <v>dcf7a23a-10af-e536-a6ed-7cb35c6932f8</v>
    <v>536870912</v>
    <v>1</v>
    <v>140</v>
    <v>12</v>
    <v>Târgu Mureș</v>
    <v>5</v>
    <v>6</v>
    <v>Map</v>
    <v>7</v>
    <v>141</v>
    <v>434</v>
    <v>441</v>
    <v>3</v>
    <v>Târgu Mureș is the seat of Mureș County in the historical region of Transylvania, Romania. It is the 16th-largest city in Romania, with 116,033 inhabitants as of the 2021 census. It lies on the Mureș River, the second-longest river in Romania.</v>
    <v>442</v>
    <v>443</v>
    <v>445</v>
    <v>446</v>
    <v>447</v>
    <v>Târgu Mureș</v>
    <v>448</v>
    <v>7</v>
    <v>Târgu Mureș</v>
    <v>mdp/vdpid/7049504011849826305</v>
  </rv>
  <rv s="0">
    <v>536870912</v>
    <v>Vințu de Jos</v>
    <v>7fab0f99-241b-2f3c-7e18-db16af43e610</v>
    <v>en-US</v>
    <v>Map</v>
  </rv>
  <rv s="1">
    <fb>88.39</fb>
    <v>9</v>
  </rv>
  <rv s="2">
    <v>52</v>
    <v>7</v>
    <v>142</v>
    <v>7</v>
    <v>0</v>
    <v>Image of Vințu de Jos</v>
  </rv>
  <rv s="1">
    <fb>46.025893000000003</fb>
    <v>14</v>
  </rv>
  <rv s="0">
    <v>805306368</v>
    <v>Petru-Ioan Barbu (Mayor)</v>
    <v>b07e3839-b935-4eff-1007-f661a37f97a6</v>
    <v>en-US</v>
    <v>Generic</v>
  </rv>
  <rv s="4">
    <v>34</v>
  </rv>
  <rv s="3">
    <v>https://www.bing.com/search?q=vin%c8%9bu+de+jos&amp;form=skydnc</v>
    <v>Learn more on Bing</v>
  </rv>
  <rv s="1">
    <fb>23.457940000000001</fb>
    <v>14</v>
  </rv>
  <rv s="1">
    <fb>4923</fb>
    <v>9</v>
  </rv>
  <rv s="6">
    <v>#VALUE!</v>
    <v>en-US</v>
    <v>7fab0f99-241b-2f3c-7e18-db16af43e610</v>
    <v>536870912</v>
    <v>1</v>
    <v>143</v>
    <v>12</v>
    <v>Vințu de Jos</v>
    <v>5</v>
    <v>6</v>
    <v>Map</v>
    <v>7</v>
    <v>8</v>
    <v>113</v>
    <v>451</v>
    <v>26</v>
    <v>Vințu de Jos, also known as Vinț, is a commune located in the centre of Alba County, Transylvania, Romania. It is composed of eighteen villages: Câmpu Goblii, Ciocașu, Crișeni, Dealu Ferului, Gura Cuțului, Hațegana, Inuri, Laz, Mătăcina, ...</v>
    <v>452</v>
    <v>453</v>
    <v>455</v>
    <v>456</v>
    <v>457</v>
    <v>Vințu de Jos</v>
    <v>458</v>
    <v>7</v>
    <v>Vințu de Jos</v>
    <v>mdp/vdpid/7049596541568286721</v>
  </rv>
  <rv s="0">
    <v>536870912</v>
    <v>Olt County</v>
    <v>b11684a9-7647-de09-64a1-49b27c0b2422</v>
    <v>en-US</v>
    <v>Map</v>
  </rv>
  <rv s="1">
    <fb>5498</fb>
    <v>9</v>
  </rv>
  <rv s="0">
    <v>536870912</v>
    <v>Slatina, Romania</v>
    <v>2a30fd50-0145-4603-2728-dfa151e5370c</v>
    <v>en-US</v>
    <v>Map</v>
  </rv>
  <rv s="2">
    <v>53</v>
    <v>7</v>
    <v>144</v>
    <v>7</v>
    <v>0</v>
    <v>Image of Olt County</v>
  </rv>
  <rv s="0">
    <v>536870912</v>
    <v>Caracal, Romania</v>
    <v>9d291205-885a-fa31-c747-4ab4e78b8048</v>
    <v>en-US</v>
    <v>Map</v>
  </rv>
  <rv s="3">
    <v>https://www.bing.com/search?q=olt+county+%22sud+vest%22+romania&amp;form=skydnc</v>
    <v>Learn more on Bing</v>
  </rv>
  <rv s="1">
    <fb>383280</fb>
    <v>9</v>
  </rv>
  <rv s="5">
    <v>#VALUE!</v>
    <v>en-US</v>
    <v>b11684a9-7647-de09-64a1-49b27c0b2422</v>
    <v>536870912</v>
    <v>1</v>
    <v>146</v>
    <v>3</v>
    <v>Olt County</v>
    <v>5</v>
    <v>6</v>
    <v>Map</v>
    <v>7</v>
    <v>8</v>
    <v>RO-OT</v>
    <v>461</v>
    <v>462</v>
    <v>3</v>
    <v>Olt County is a county of Romania on the border with Bulgaria, in the historical regions of Oltenia and Muntenia. The capital city is Slatina. On 24 August 2017, the Olt County Council decided to hold a name referendum on 15 October 2017 for the ...</v>
    <v>463</v>
    <v>464</v>
    <v>465</v>
    <v>Olt County</v>
    <v>466</v>
    <v>7</v>
    <v>Olt County</v>
    <v>mdp/vdpid/8834378</v>
  </rv>
  <rv s="1">
    <fb>53.93</fb>
    <v>9</v>
  </rv>
  <rv s="2">
    <v>54</v>
    <v>7</v>
    <v>147</v>
    <v>7</v>
    <v>0</v>
    <v>Image of Slatina, Romania</v>
  </rv>
  <rv s="1">
    <fb>44.429722222221997</fb>
    <v>14</v>
  </rv>
  <rv s="0">
    <v>805306368</v>
    <v>Mario De Mezzo (Mayor)</v>
    <v>70c4faca-53e3-d400-e8ae-674f21017304</v>
    <v>en-US</v>
    <v>Generic</v>
  </rv>
  <rv s="4">
    <v>35</v>
  </rv>
  <rv s="3">
    <v>https://www.bing.com/search?q=slatina+romania&amp;form=skydnc</v>
    <v>Learn more on Bing</v>
  </rv>
  <rv s="1">
    <fb>24.364166666667</fb>
    <v>14</v>
  </rv>
  <rv s="1">
    <fb>63487</fb>
    <v>9</v>
  </rv>
  <rv s="6">
    <v>#VALUE!</v>
    <v>en-US</v>
    <v>2a30fd50-0145-4603-2728-dfa151e5370c</v>
    <v>536870912</v>
    <v>1</v>
    <v>148</v>
    <v>12</v>
    <v>Slatina, Romania</v>
    <v>5</v>
    <v>6</v>
    <v>Map</v>
    <v>7</v>
    <v>8</v>
    <v>460</v>
    <v>468</v>
    <v>26</v>
    <v>Slatina is the capital city of Olt County, Romania, on the river Olt. It is located in the south of Romania, on the eastern side of the river Olt, in the historical region of Muntenia. The population was 63,487 in 2021; the urban area has around ...</v>
    <v>469</v>
    <v>470</v>
    <v>472</v>
    <v>473</v>
    <v>474</v>
    <v>Slatina, Romania</v>
    <v>475</v>
    <v>7</v>
    <v>Slatina, Romania</v>
    <v>mdp/vdpid/7241960440157175809</v>
  </rv>
  <rv s="2">
    <v>55</v>
    <v>7</v>
    <v>149</v>
    <v>7</v>
    <v>0</v>
    <v>Image of Caracal, Romania</v>
  </rv>
  <rv s="1">
    <fb>44.1</fb>
    <v>14</v>
  </rv>
  <rv s="0">
    <v>805306368</v>
    <v>Ion Doldurea (Mayor)</v>
    <v>05f2799c-48d9-aa52-42ae-2e075afdb12c</v>
    <v>en-US</v>
    <v>Generic</v>
  </rv>
  <rv s="4">
    <v>36</v>
  </rv>
  <rv s="3">
    <v>https://www.bing.com/search?q=caracal+romania&amp;form=skydnc</v>
    <v>Learn more on Bing</v>
  </rv>
  <rv s="1">
    <fb>24.333333333333002</fb>
    <v>14</v>
  </rv>
  <rv s="1">
    <fb>27403</fb>
    <v>9</v>
  </rv>
  <rv s="6">
    <v>#VALUE!</v>
    <v>en-US</v>
    <v>9d291205-885a-fa31-c747-4ab4e78b8048</v>
    <v>536870912</v>
    <v>1</v>
    <v>150</v>
    <v>12</v>
    <v>Caracal, Romania</v>
    <v>5</v>
    <v>6</v>
    <v>Map</v>
    <v>7</v>
    <v>8</v>
    <v>460</v>
    <v>408</v>
    <v>26</v>
    <v>Caracal is a city in Olt County, Romania, situated in the historic region of Oltenia, on the plains between the lower reaches of the Jiu and Olt rivers. The region's plains are well known for their agricultural specialty in cultivating grains ...</v>
    <v>477</v>
    <v>478</v>
    <v>480</v>
    <v>481</v>
    <v>482</v>
    <v>Caracal, Romania</v>
    <v>483</v>
    <v>7</v>
    <v>Caracal, Romania</v>
    <v>mdp/vdpid/7242010124489850881</v>
  </rv>
  <rv s="0">
    <v>536870912</v>
    <v>Poroina Mare</v>
    <v>b9ddbef2-68e6-9d1a-c95e-633d6d51f84c</v>
    <v>en-US</v>
    <v>Map</v>
  </rv>
  <rv s="1">
    <fb>54.74</fb>
    <v>9</v>
  </rv>
  <rv s="2">
    <v>56</v>
    <v>7</v>
    <v>151</v>
    <v>7</v>
    <v>0</v>
    <v>Image of Poroina Mare</v>
  </rv>
  <rv s="1">
    <fb>44.491799</fb>
    <v>14</v>
  </rv>
  <rv s="0">
    <v>805306368</v>
    <v>Valentin Laurențiu Anuța (Mayor)</v>
    <v>f54f1dde-ef77-052b-9045-f1f4e617a689</v>
    <v>en-US</v>
    <v>Generic</v>
  </rv>
  <rv s="4">
    <v>37</v>
  </rv>
  <rv s="3">
    <v>https://www.bing.com/search?q=poroina+mare&amp;form=skydnc</v>
    <v>Learn more on Bing</v>
  </rv>
  <rv s="1">
    <fb>22.957011999999999</fb>
    <v>14</v>
  </rv>
  <rv s="1">
    <fb>866</fb>
    <v>9</v>
  </rv>
  <rv s="6">
    <v>#VALUE!</v>
    <v>en-US</v>
    <v>b9ddbef2-68e6-9d1a-c95e-633d6d51f84c</v>
    <v>536870912</v>
    <v>1</v>
    <v>152</v>
    <v>12</v>
    <v>Poroina Mare</v>
    <v>5</v>
    <v>6</v>
    <v>Map</v>
    <v>7</v>
    <v>8</v>
    <v>98</v>
    <v>486</v>
    <v>26</v>
    <v>Poroina Mare is a commune located in Mehedinți County, Oltenia, Romania. It is composed of four villages: Fântânile Negre, Poroina Mare, Stignița, and Șipotu.</v>
    <v>487</v>
    <v>488</v>
    <v>490</v>
    <v>491</v>
    <v>492</v>
    <v>Poroina Mare</v>
    <v>493</v>
    <v>7</v>
    <v>Poroina Mare</v>
    <v>mdp/vdpid/7241818226173149185</v>
  </rv>
  <rv s="0">
    <v>536870912</v>
    <v>Vâlcea County</v>
    <v>7bfc5a59-d44b-48f9-b75d-740ad5186eaa</v>
    <v>en-US</v>
    <v>Map</v>
  </rv>
  <rv s="1">
    <fb>5765</fb>
    <v>9</v>
  </rv>
  <rv s="0">
    <v>536870912</v>
    <v>Râmnicu Vâlcea</v>
    <v>a5f642d3-c339-15f7-4a2b-2b11cc6735ce</v>
    <v>en-US</v>
    <v>Map</v>
  </rv>
  <rv s="0">
    <v>536870912</v>
    <v>Kingdom of Romania</v>
    <v>8f5355ff-cef5-f163-df1f-f1226d928709</v>
    <v>en-US</v>
    <v>Map</v>
  </rv>
  <rv s="2">
    <v>57</v>
    <v>7</v>
    <v>153</v>
    <v>7</v>
    <v>0</v>
    <v>Image of Vâlcea County</v>
  </rv>
  <rv s="3">
    <v>https://www.bing.com/search?q=v%c3%a2lcea+county+%22sud+vest%22+romania&amp;form=skydnc</v>
    <v>Learn more on Bing</v>
  </rv>
  <rv s="1">
    <fb>341861</fb>
    <v>9</v>
  </rv>
  <rv s="5">
    <v>#VALUE!</v>
    <v>en-US</v>
    <v>7bfc5a59-d44b-48f9-b75d-740ad5186eaa</v>
    <v>536870912</v>
    <v>1</v>
    <v>155</v>
    <v>3</v>
    <v>Vâlcea County</v>
    <v>5</v>
    <v>6</v>
    <v>Map</v>
    <v>7</v>
    <v>8</v>
    <v>RO-VL</v>
    <v>496</v>
    <v>497</v>
    <v>498</v>
    <v>Vâlcea County is a county that lies in south-central Romania. Located in the historical regions of Oltenia and Muntenia, it is also part of the wider Wallachia region. Its capital city is Râmnicu Vâlcea.</v>
    <v>499</v>
    <v>497</v>
    <v>500</v>
    <v>Vâlcea County</v>
    <v>501</v>
    <v>7</v>
    <v>Vâlcea County</v>
    <v>mdp/vdpid/8825389</v>
  </rv>
  <rv s="1">
    <fb>89.52</fb>
    <v>9</v>
  </rv>
  <rv s="2">
    <v>58</v>
    <v>7</v>
    <v>156</v>
    <v>7</v>
    <v>0</v>
    <v>Image of Râmnicu Vâlcea</v>
  </rv>
  <rv s="1">
    <fb>45.104722222222001</fb>
    <v>14</v>
  </rv>
  <rv s="0">
    <v>805306368</v>
    <v>Mircia Gutău (Mayor)</v>
    <v>97cd81b9-5e3e-3df0-6888-71d9b23300d5</v>
    <v>en-US</v>
    <v>Generic</v>
  </rv>
  <rv s="4">
    <v>38</v>
  </rv>
  <rv s="3">
    <v>https://www.bing.com/search?q=r%c3%a2mnicu+v%c3%a2lcea+romania&amp;form=skydnc</v>
    <v>Learn more on Bing</v>
  </rv>
  <rv s="1">
    <fb>24.375555555556002</fb>
    <v>14</v>
  </rv>
  <rv s="1">
    <fb>93151</fb>
    <v>9</v>
  </rv>
  <rv s="6">
    <v>#VALUE!</v>
    <v>en-US</v>
    <v>a5f642d3-c339-15f7-4a2b-2b11cc6735ce</v>
    <v>536870912</v>
    <v>1</v>
    <v>157</v>
    <v>12</v>
    <v>Râmnicu Vâlcea</v>
    <v>5</v>
    <v>6</v>
    <v>Map</v>
    <v>7</v>
    <v>8</v>
    <v>495</v>
    <v>503</v>
    <v>26</v>
    <v>Râmnicu Vâlcea is a city in Romania. Located in the south-central part of the country, in the historical province of Oltenia, it is the seat of Vâlcea County and its main urban settlement. According to the 2021 Romanian census, it has a ...</v>
    <v>504</v>
    <v>505</v>
    <v>507</v>
    <v>508</v>
    <v>509</v>
    <v>Râmnicu Vâlcea</v>
    <v>510</v>
    <v>7</v>
    <v>Râmnicu Vâlcea</v>
    <v>mdp/vdpid/7049784976950165505</v>
  </rv>
  <rv s="0">
    <v>536870912</v>
    <v>Satu Mare County</v>
    <v>61f38a75-f137-9e6e-2306-81c1a708240e</v>
    <v>en-US</v>
    <v>Map</v>
  </rv>
  <rv s="1">
    <fb>4418</fb>
    <v>9</v>
  </rv>
  <rv s="0">
    <v>536870912</v>
    <v>Satu Mare</v>
    <v>8af44bc4-f2a5-5182-27a1-0497a3e9eb26</v>
    <v>en-US</v>
    <v>Map</v>
  </rv>
  <rv s="2">
    <v>59</v>
    <v>7</v>
    <v>158</v>
    <v>7</v>
    <v>0</v>
    <v>Image of Satu Mare County</v>
  </rv>
  <rv s="3">
    <v>https://www.bing.com/search?q=satu+mare+county+romania&amp;form=skydnc</v>
    <v>Learn more on Bing</v>
  </rv>
  <rv s="1">
    <fb>330668</fb>
    <v>9</v>
  </rv>
  <rv s="5">
    <v>#VALUE!</v>
    <v>en-US</v>
    <v>61f38a75-f137-9e6e-2306-81c1a708240e</v>
    <v>536870912</v>
    <v>1</v>
    <v>160</v>
    <v>3</v>
    <v>Satu Mare County</v>
    <v>5</v>
    <v>6</v>
    <v>Map</v>
    <v>7</v>
    <v>8</v>
    <v>RO-SM</v>
    <v>513</v>
    <v>514</v>
    <v>3</v>
    <v>Satu Mare County is a county of Romania, on the border with Hungary and Ukraine. The capital city is Satu Mare. In Hungarian, it is known as Szatmár megye, in German as Kreis Sathmar, in Ukrainian as Сату-Маре, and in Slovak as Satmárska župa.</v>
    <v>515</v>
    <v>514</v>
    <v>516</v>
    <v>Satu Mare County</v>
    <v>517</v>
    <v>7</v>
    <v>Satu Mare County</v>
    <v>mdp/vdpid/8830382</v>
  </rv>
  <rv s="1">
    <fb>150.30000000000001</fb>
    <v>9</v>
  </rv>
  <rv s="2">
    <v>60</v>
    <v>7</v>
    <v>161</v>
    <v>7</v>
    <v>0</v>
    <v>Image of Satu Mare</v>
  </rv>
  <rv s="1">
    <fb>47.79</fb>
    <v>14</v>
  </rv>
  <rv s="0">
    <v>805306368</v>
    <v>Gábor Kereskényi (Mayor)</v>
    <v>0361dcf9-971a-8087-402c-d73b9243abe8</v>
    <v>en-US</v>
    <v>Generic</v>
  </rv>
  <rv s="4">
    <v>39</v>
  </rv>
  <rv s="3">
    <v>https://www.bing.com/search?q=satu+mare&amp;form=skydnc</v>
    <v>Learn more on Bing</v>
  </rv>
  <rv s="1">
    <fb>22.89</fb>
    <v>14</v>
  </rv>
  <rv s="1">
    <fb>109437</fb>
    <v>9</v>
  </rv>
  <rv s="6">
    <v>#VALUE!</v>
    <v>en-US</v>
    <v>8af44bc4-f2a5-5182-27a1-0497a3e9eb26</v>
    <v>536870912</v>
    <v>1</v>
    <v>162</v>
    <v>12</v>
    <v>Satu Mare</v>
    <v>5</v>
    <v>6</v>
    <v>Map</v>
    <v>7</v>
    <v>20</v>
    <v>512</v>
    <v>519</v>
    <v>3</v>
    <v>Satu Mare is a city in Romania with a population of 91,520. It is the capital of Satu Mare County as well as the centre of the Satu Mare metropolitan area. It lies in the region of Maramureș, broadly part of Transylvania. Mentioned in the Gesta ...</v>
    <v>520</v>
    <v>521</v>
    <v>523</v>
    <v>524</v>
    <v>525</v>
    <v>Satu Mare</v>
    <v>526</v>
    <v>7</v>
    <v>Satu Mare</v>
    <v>mdp/vdpid/7049268301930692609</v>
  </rv>
  <rv s="0">
    <v>536870912</v>
    <v>Calafat</v>
    <v>817efdd1-289f-a7d2-a1ec-8983d1b5cb86</v>
    <v>en-US</v>
    <v>Map</v>
  </rv>
  <rv s="1">
    <fb>103.59</fb>
    <v>9</v>
  </rv>
  <rv s="2">
    <v>61</v>
    <v>7</v>
    <v>163</v>
    <v>7</v>
    <v>0</v>
    <v>Image of Calafat</v>
  </rv>
  <rv s="1">
    <fb>43.985833333332998</fb>
    <v>14</v>
  </rv>
  <rv s="0">
    <v>805306368</v>
    <v>Mihai Cotea (Mayor)</v>
    <v>dd8e8c01-536a-4c16-2952-6cc9a536b4bd</v>
    <v>en-US</v>
    <v>Generic</v>
  </rv>
  <rv s="4">
    <v>40</v>
  </rv>
  <rv s="3">
    <v>https://www.bing.com/search?q=calafat+romania&amp;form=skydnc</v>
    <v>Learn more on Bing</v>
  </rv>
  <rv s="1">
    <fb>22.9575</fb>
    <v>14</v>
  </rv>
  <rv s="1">
    <fb>13807</fb>
    <v>9</v>
  </rv>
  <rv s="6">
    <v>#VALUE!</v>
    <v>en-US</v>
    <v>817efdd1-289f-a7d2-a1ec-8983d1b5cb86</v>
    <v>536870912</v>
    <v>1</v>
    <v>164</v>
    <v>12</v>
    <v>Calafat</v>
    <v>5</v>
    <v>6</v>
    <v>Map</v>
    <v>7</v>
    <v>8</v>
    <v>330</v>
    <v>529</v>
    <v>26</v>
    <v>Calafat is a city in Dolj County, southern Romania, in the region of Oltenia. It lies on the river Danube, opposite the Bulgarian city of Vidin, to which it is linked by the Calafat-Vidin Bridge, opened in 2013. After the destruction of the ...</v>
    <v>530</v>
    <v>531</v>
    <v>533</v>
    <v>534</v>
    <v>535</v>
    <v>Calafat</v>
    <v>536</v>
    <v>7</v>
    <v>Calafat</v>
    <v>mdp/vdpid/7241873510002327553</v>
  </rv>
  <rv s="0">
    <v>536870912</v>
    <v>Sălaj County</v>
    <v>a1b242e4-860b-a6ec-6f82-2159334291e6</v>
    <v>en-US</v>
    <v>Map</v>
  </rv>
  <rv s="1">
    <fb>3864</fb>
    <v>9</v>
  </rv>
  <rv s="0">
    <v>536870912</v>
    <v>Zalău</v>
    <v>0a6b90fb-3c3d-4991-e199-03a711995985</v>
    <v>en-US</v>
    <v>Map</v>
  </rv>
  <rv s="2">
    <v>62</v>
    <v>7</v>
    <v>165</v>
    <v>7</v>
    <v>0</v>
    <v>Image of Sălaj County</v>
  </rv>
  <rv s="3">
    <v>https://www.bing.com/search?q=s%c4%83laj+county+romania&amp;form=skydnc</v>
    <v>Learn more on Bing</v>
  </rv>
  <rv s="1">
    <fb>212224</fb>
    <v>9</v>
  </rv>
  <rv s="5">
    <v>#VALUE!</v>
    <v>en-US</v>
    <v>a1b242e4-860b-a6ec-6f82-2159334291e6</v>
    <v>536870912</v>
    <v>1</v>
    <v>167</v>
    <v>3</v>
    <v>Sălaj County</v>
    <v>5</v>
    <v>6</v>
    <v>Map</v>
    <v>7</v>
    <v>8</v>
    <v>RO-SJ</v>
    <v>539</v>
    <v>540</v>
    <v>3</v>
    <v>Sălaj County is a county of Romania, located in the north-west of the country, in the historical regions of Crișana and Transylvania. It is bordered to the north by Satu Mare and Maramureș counties, to the west and south-west by Bihor County, ...</v>
    <v>541</v>
    <v>540</v>
    <v>542</v>
    <v>Sălaj County</v>
    <v>543</v>
    <v>7</v>
    <v>Sălaj County</v>
    <v>mdp/vdpid/8830761</v>
  </rv>
  <rv s="1">
    <fb>90.09</fb>
    <v>9</v>
  </rv>
  <rv s="2">
    <v>63</v>
    <v>7</v>
    <v>168</v>
    <v>7</v>
    <v>0</v>
    <v>Image of Zalău</v>
  </rv>
  <rv s="1">
    <fb>47.191111111110999</fb>
    <v>14</v>
  </rv>
  <rv s="0">
    <v>805306368</v>
    <v>Ionel Ciunt (Mayor)</v>
    <v>1237a7da-c69e-5a78-a2be-d9bacc69bf73</v>
    <v>en-US</v>
    <v>Generic</v>
  </rv>
  <rv s="4">
    <v>41</v>
  </rv>
  <rv s="3">
    <v>https://www.bing.com/search?q=zalau+online&amp;form=skydnc</v>
    <v>Learn more on Bing</v>
  </rv>
  <rv s="1">
    <fb>23.057222222221998</fb>
    <v>14</v>
  </rv>
  <rv s="1">
    <fb>52359</fb>
    <v>9</v>
  </rv>
  <rv s="8">
    <v>#VALUE!</v>
    <v>en-US</v>
    <v>0a6b90fb-3c3d-4991-e199-03a711995985</v>
    <v>536870912</v>
    <v>1</v>
    <v>169</v>
    <v>31</v>
    <v>Zalău</v>
    <v>5</v>
    <v>6</v>
    <v>Map</v>
    <v>7</v>
    <v>8</v>
    <v>538</v>
    <v>538</v>
    <v>545</v>
    <v>26</v>
    <v>Zalău (Romanian pronunciation:, unofficial and former official name: Romanian: Zălau is the seat of Sălaj County, Romania. In 2021, its estimated population was 52,359. Zalău is situated in the area inhabited by "Free Dacians", 8 km away from ...</v>
    <v>546</v>
    <v>547</v>
    <v>549</v>
    <v>550</v>
    <v>551</v>
    <v>Zalău</v>
    <v>552</v>
    <v>7</v>
    <v>Zalău</v>
    <v>mdp/vdpid/7049294076515975169</v>
  </rv>
  <rv s="0">
    <v>536870912</v>
    <v>Vlăhița</v>
    <v>f73d6a8c-8b29-e621-c86d-8f9426fb81a0</v>
    <v>en-US</v>
    <v>Map</v>
  </rv>
  <rv s="1">
    <fb>98.48</fb>
    <v>9</v>
  </rv>
  <rv s="2">
    <v>64</v>
    <v>7</v>
    <v>170</v>
    <v>7</v>
    <v>0</v>
    <v>Image of Vlăhița</v>
  </rv>
  <rv s="1">
    <fb>46.344539900000001</fb>
    <v>14</v>
  </rv>
  <rv s="0">
    <v>805306368</v>
    <v>Csaba Lőrincz (Mayor)</v>
    <v>e6c4f96a-76b1-4d99-f40f-bcdfc0b81eb4</v>
    <v>en-US</v>
    <v>Generic</v>
  </rv>
  <rv s="4">
    <v>42</v>
  </rv>
  <rv s="3">
    <v>https://www.bing.com/search?q=vl%c4%83hi%c8%9ba+romania&amp;form=skydnc</v>
    <v>Learn more on Bing</v>
  </rv>
  <rv s="1">
    <fb>25.529804899999998</fb>
    <v>14</v>
  </rv>
  <rv s="1">
    <fb>6468</fb>
    <v>9</v>
  </rv>
  <rv s="6">
    <v>#VALUE!</v>
    <v>en-US</v>
    <v>f73d6a8c-8b29-e621-c86d-8f9426fb81a0</v>
    <v>536870912</v>
    <v>1</v>
    <v>171</v>
    <v>12</v>
    <v>Vlăhița</v>
    <v>5</v>
    <v>6</v>
    <v>Map</v>
    <v>7</v>
    <v>8</v>
    <v>71</v>
    <v>555</v>
    <v>26</v>
    <v>Vlăhița is a town in Harghita County, Romania. It lies in the Székely Land, an ethno-cultural region in eastern Transylvania. The town administers two villages: Băile Homorod and Minele Lueta. Its Romanian name is of Slavic origin, meaning ...</v>
    <v>556</v>
    <v>557</v>
    <v>559</v>
    <v>560</v>
    <v>561</v>
    <v>Vlăhița</v>
    <v>562</v>
    <v>7</v>
    <v>Vlăhița</v>
    <v>mdp/vdpid/7050107064449761281</v>
  </rv>
  <rv s="0">
    <v>536870912</v>
    <v>Dealu</v>
    <v>084d5456-6c05-9d5d-a80f-8f22640b5df8</v>
    <v>en-US</v>
    <v>Map</v>
  </rv>
  <rv s="1">
    <fb>96.95</fb>
    <v>9</v>
  </rv>
  <rv s="2">
    <v>65</v>
    <v>7</v>
    <v>172</v>
    <v>7</v>
    <v>0</v>
    <v>Image of Dealu</v>
  </rv>
  <rv s="1">
    <fb>46.414630000000002</fb>
    <v>14</v>
  </rv>
  <rv s="0">
    <v>805306368</v>
    <v>Elemér Imre Bálint (Mayor)</v>
    <v>0e282792-97e5-1882-1fc0-a045f8830b99</v>
    <v>en-US</v>
    <v>Generic</v>
  </rv>
  <rv s="4">
    <v>43</v>
  </rv>
  <rv s="3">
    <v>https://www.bing.com/search?q=dealu+romania&amp;form=skydnc</v>
    <v>Learn more on Bing</v>
  </rv>
  <rv s="1">
    <fb>25.327705000000002</fb>
    <v>14</v>
  </rv>
  <rv s="1">
    <fb>4104</fb>
    <v>9</v>
  </rv>
  <rv s="6">
    <v>#VALUE!</v>
    <v>en-US</v>
    <v>084d5456-6c05-9d5d-a80f-8f22640b5df8</v>
    <v>536870912</v>
    <v>1</v>
    <v>173</v>
    <v>12</v>
    <v>Dealu</v>
    <v>5</v>
    <v>6</v>
    <v>Map</v>
    <v>7</v>
    <v>8</v>
    <v>71</v>
    <v>565</v>
    <v>26</v>
    <v>Dealu is a commune in Harghita County, Romania. It lies in the Székely Land, an ethno-cultural region in eastern Transylvania. The commune is composed of seven villages: Dealu, Fâncel, Sâncrai, Tămașu, Tibod, Ulcani, and Valea Rotundă.</v>
    <v>566</v>
    <v>567</v>
    <v>569</v>
    <v>570</v>
    <v>571</v>
    <v>Dealu</v>
    <v>572</v>
    <v>7</v>
    <v>Dealu</v>
    <v>mdp/vdpid/7049915889499504641</v>
  </rv>
  <rv s="0">
    <v>536870912</v>
    <v>Suceava County</v>
    <v>0730647e-3d4b-ffb2-f452-53c11e65cf8d</v>
    <v>en-US</v>
    <v>Map</v>
  </rv>
  <rv s="1">
    <fb>8553</fb>
    <v>9</v>
  </rv>
  <rv s="0">
    <v>536870912</v>
    <v>Suceava</v>
    <v>4ef39fd3-1a4a-c17e-4b7f-dac79d4cb668</v>
    <v>en-US</v>
    <v>Map</v>
  </rv>
  <rv s="2">
    <v>66</v>
    <v>7</v>
    <v>174</v>
    <v>7</v>
    <v>0</v>
    <v>Image of Suceava County</v>
  </rv>
  <rv s="3">
    <v>https://www.bing.com/search?q=suceava+county+%22nord+est%22+moldavia&amp;form=skydnc</v>
    <v>Learn more on Bing</v>
  </rv>
  <rv s="1">
    <fb>642551</fb>
    <v>9</v>
  </rv>
  <rv s="12">
    <v>#VALUE!</v>
    <v>en-US</v>
    <v>0730647e-3d4b-ffb2-f452-53c11e65cf8d</v>
    <v>536870912</v>
    <v>1</v>
    <v>176</v>
    <v>119</v>
    <v>Suceava County</v>
    <v>5</v>
    <v>6</v>
    <v>Map</v>
    <v>7</v>
    <v>8</v>
    <v>RO-SV</v>
    <v>575</v>
    <v>576</v>
    <v>3</v>
    <v>Suceava County is a county of Romania. Most of its territory lies in the southern part of the historical region of Bukovina, while the remainder forms part of Western Moldavia proper. The county seat is the historical town of Suceava which was ...</v>
    <v>577</v>
    <v>576</v>
    <v>578</v>
    <v>Suceava County</v>
    <v>579</v>
    <v>Suceava County</v>
    <v>mdp/vdpid/8828354</v>
  </rv>
  <rv s="0">
    <v>536870912</v>
    <v>Teleorman County</v>
    <v>a13105c9-1956-9418-947c-69c3f670616f</v>
    <v>en-US</v>
    <v>Map</v>
  </rv>
  <rv s="1">
    <fb>5790</fb>
    <v>9</v>
  </rv>
  <rv s="0">
    <v>536870912</v>
    <v>Alexandria, Romania</v>
    <v>1a1632b4-9061-8786-3d4c-ffa2061166c3</v>
    <v>en-US</v>
    <v>Map</v>
  </rv>
  <rv s="2">
    <v>67</v>
    <v>7</v>
    <v>177</v>
    <v>7</v>
    <v>0</v>
    <v>Image of Teleorman County</v>
  </rv>
  <rv s="3">
    <v>https://www.bing.com/search?q=teleorman+county+romania&amp;form=skydnc</v>
    <v>Learn more on Bing</v>
  </rv>
  <rv s="1">
    <fb>323544</fb>
    <v>9</v>
  </rv>
  <rv s="5">
    <v>#VALUE!</v>
    <v>en-US</v>
    <v>a13105c9-1956-9418-947c-69c3f670616f</v>
    <v>536870912</v>
    <v>1</v>
    <v>179</v>
    <v>3</v>
    <v>Teleorman County</v>
    <v>5</v>
    <v>6</v>
    <v>Map</v>
    <v>7</v>
    <v>8</v>
    <v>RO-TR</v>
    <v>582</v>
    <v>583</v>
    <v>3</v>
    <v>Teleorman County is a county of Romania on the border with Bulgaria, in the historical region Muntenia, with its capital city at Alexandria. The name Teleorman is of Cumanic origin. It literally means wild/crazy forest and, by extension, "thick ...</v>
    <v>584</v>
    <v>583</v>
    <v>585</v>
    <v>Teleorman County</v>
    <v>586</v>
    <v>7</v>
    <v>Teleorman County</v>
    <v>mdp/vdpid/8827787</v>
  </rv>
  <rv s="1">
    <fb>9.56</fb>
    <v>9</v>
  </rv>
  <rv s="2">
    <v>68</v>
    <v>7</v>
    <v>180</v>
    <v>7</v>
    <v>0</v>
    <v>Image of Alexandria, Romania</v>
  </rv>
  <rv s="1">
    <fb>43.968611111111002</fb>
    <v>14</v>
  </rv>
  <rv s="0">
    <v>805306368</v>
    <v>Victor Drăgusin (Mayor)</v>
    <v>3007f767-094c-ad85-0203-a0c66daf7156</v>
    <v>en-US</v>
    <v>Generic</v>
  </rv>
  <rv s="4">
    <v>44</v>
  </rv>
  <rv s="3">
    <v>https://www.bing.com/search?q=alexandria+romania&amp;form=skydnc</v>
    <v>Learn more on Bing</v>
  </rv>
  <rv s="1">
    <fb>25.333333333333002</fb>
    <v>14</v>
  </rv>
  <rv s="1">
    <fb>40390</fb>
    <v>9</v>
  </rv>
  <rv s="6">
    <v>#VALUE!</v>
    <v>en-US</v>
    <v>1a1632b4-9061-8786-3d4c-ffa2061166c3</v>
    <v>536870912</v>
    <v>1</v>
    <v>181</v>
    <v>12</v>
    <v>Alexandria, Romania</v>
    <v>5</v>
    <v>6</v>
    <v>Map</v>
    <v>7</v>
    <v>8</v>
    <v>581</v>
    <v>588</v>
    <v>26</v>
    <v>Alexandria is the capital city of the Teleorman County, Muntenia, Romania. It is located south-west of Bucharest, towards the Bulgarian border, and has over 40,000 inhabitants. The 44th parallel north passes just north of the city.</v>
    <v>589</v>
    <v>590</v>
    <v>592</v>
    <v>593</v>
    <v>594</v>
    <v>Alexandria, Romania</v>
    <v>595</v>
    <v>7</v>
    <v>Alexandria, Romania</v>
    <v>mdp/vdpid/7242052014580957185</v>
  </rv>
  <rv s="0">
    <v>536870912</v>
    <v>Gepiu</v>
    <v>b1493e98-8d8e-1341-a397-dcd9504d0be7</v>
    <v>en-US</v>
    <v>Map</v>
  </rv>
  <rv s="1">
    <fb>38.21</fb>
    <v>9</v>
  </rv>
  <rv s="2">
    <v>69</v>
    <v>7</v>
    <v>182</v>
    <v>7</v>
    <v>0</v>
    <v>Image of Gepiu</v>
  </rv>
  <rv s="1">
    <fb>46.917512000000002</fb>
    <v>14</v>
  </rv>
  <rv s="3">
    <v>https://www.bing.com/search?q=gepiu+romania&amp;form=skydnc</v>
    <v>Learn more on Bing</v>
  </rv>
  <rv s="1">
    <fb>21.799814000000001</fb>
    <v>14</v>
  </rv>
  <rv s="1">
    <fb>2216</fb>
    <v>9</v>
  </rv>
  <rv s="7">
    <v>#VALUE!</v>
    <v>en-US</v>
    <v>b1493e98-8d8e-1341-a397-dcd9504d0be7</v>
    <v>536870912</v>
    <v>1</v>
    <v>183</v>
    <v>25</v>
    <v>Gepiu</v>
    <v>5</v>
    <v>6</v>
    <v>Map</v>
    <v>7</v>
    <v>8</v>
    <v>46</v>
    <v>46</v>
    <v>598</v>
    <v>26</v>
    <v>Gepiu is a commune located in Bihor County, Crișana, Romania. It is composed of two villages, Bicaci and Gepiu. These were part of Cefa Commune until 2003, when they were split off.</v>
    <v>599</v>
    <v>600</v>
    <v>601</v>
    <v>602</v>
    <v>Gepiu</v>
    <v>603</v>
    <v>7</v>
    <v>Gepiu</v>
    <v>mdp/vdpid/7025279715178971137</v>
  </rv>
  <rv s="0">
    <v>536870912</v>
    <v>Biharia</v>
    <v>b9273040-3201-de92-076a-c7c786cd9533</v>
    <v>en-US</v>
    <v>Map</v>
  </rv>
  <rv s="1">
    <fb>58.5</fb>
    <v>9</v>
  </rv>
  <rv s="2">
    <v>70</v>
    <v>7</v>
    <v>184</v>
    <v>7</v>
    <v>0</v>
    <v>Image of Biharia</v>
  </rv>
  <rv s="1">
    <fb>47.152887999999997</fb>
    <v>14</v>
  </rv>
  <rv s="0">
    <v>805306368</v>
    <v>Zoltan Szilagyi (Mayor)</v>
    <v>c75bbea8-cab4-c676-74d9-853952b878c9</v>
    <v>en-US</v>
    <v>Generic</v>
  </rv>
  <rv s="4">
    <v>45</v>
  </rv>
  <rv s="3">
    <v>https://www.bing.com/search?q=biharia+romania&amp;form=skydnc</v>
    <v>Learn more on Bing</v>
  </rv>
  <rv s="1">
    <fb>21.920341000000001</fb>
    <v>14</v>
  </rv>
  <rv s="1">
    <fb>4393</fb>
    <v>9</v>
  </rv>
  <rv s="8">
    <v>#VALUE!</v>
    <v>en-US</v>
    <v>b9273040-3201-de92-076a-c7c786cd9533</v>
    <v>536870912</v>
    <v>1</v>
    <v>185</v>
    <v>31</v>
    <v>Biharia</v>
    <v>5</v>
    <v>6</v>
    <v>Map</v>
    <v>7</v>
    <v>8</v>
    <v>46</v>
    <v>46</v>
    <v>606</v>
    <v>26</v>
    <v>Biharia is a commune in Bihor County, Crișana, Romania. It is composed of two villages, Biharia and Cauaceu. The village is first mentioned in 1067 as Byhor, later as Bychor in 1213, as Bihar in 1332, and again, in 1349 as Byhor. The Gesta ...</v>
    <v>607</v>
    <v>608</v>
    <v>610</v>
    <v>611</v>
    <v>612</v>
    <v>Biharia</v>
    <v>613</v>
    <v>7</v>
    <v>Biharia</v>
    <v>mdp/vdpid/7025252153920847873</v>
  </rv>
  <rv s="0">
    <v>536870912</v>
    <v>Cluj County</v>
    <v>28809817-0c91-c619-fb4f-e8e5cb804a76</v>
    <v>en-US</v>
    <v>Map</v>
  </rv>
  <rv s="1">
    <fb>6674</fb>
    <v>9</v>
  </rv>
  <rv s="0">
    <v>536870912</v>
    <v>Cluj-Napoca</v>
    <v>4fac2f6c-c969-4f54-9152-df76012c606b</v>
    <v>en-US</v>
    <v>Map</v>
  </rv>
  <rv s="2">
    <v>71</v>
    <v>7</v>
    <v>186</v>
    <v>7</v>
    <v>0</v>
    <v>Image of Cluj County</v>
  </rv>
  <rv s="3">
    <v>https://www.bing.com/search?q=cluj+county+romania&amp;form=skydnc</v>
    <v>Learn more on Bing</v>
  </rv>
  <rv s="1">
    <fb>679141</fb>
    <v>9</v>
  </rv>
  <rv s="5">
    <v>#VALUE!</v>
    <v>en-US</v>
    <v>28809817-0c91-c619-fb4f-e8e5cb804a76</v>
    <v>536870912</v>
    <v>1</v>
    <v>188</v>
    <v>3</v>
    <v>Cluj County</v>
    <v>5</v>
    <v>6</v>
    <v>Map</v>
    <v>7</v>
    <v>8</v>
    <v>RO-CJ</v>
    <v>616</v>
    <v>617</v>
    <v>3</v>
    <v>Cluj County is a county of Romania, in Transylvania. Its seat is Cluj-Napoca. In Hungarian it is known as Kolozs megye. Under the Kingdom of Hungary, a county with an identical name existed since the 11th century.</v>
    <v>618</v>
    <v>617</v>
    <v>619</v>
    <v>Cluj County</v>
    <v>620</v>
    <v>7</v>
    <v>Cluj County</v>
    <v>mdp/vdpid/8843827</v>
  </rv>
  <rv s="1">
    <fb>179.5</fb>
    <v>9</v>
  </rv>
  <rv s="2">
    <v>72</v>
    <v>7</v>
    <v>189</v>
    <v>7</v>
    <v>0</v>
    <v>Image of Cluj-Napoca</v>
  </rv>
  <rv s="1">
    <fb>46.768909999999998</fb>
    <v>14</v>
  </rv>
  <rv s="0">
    <v>805306368</v>
    <v>Emil Boc (Mayor)</v>
    <v>0e6e6e3e-eb29-e0f3-7a41-606ff8ae0ef3</v>
    <v>en-US</v>
    <v>Generic</v>
  </rv>
  <rv s="4">
    <v>46</v>
  </rv>
  <rv s="3">
    <v>https://www.bing.com/search?q=cluj-napoca&amp;form=skydnc</v>
    <v>Learn more on Bing</v>
  </rv>
  <rv s="1">
    <fb>23.59066</fb>
    <v>14</v>
  </rv>
  <rv s="1">
    <fb>318045</fb>
    <v>9</v>
  </rv>
  <rv s="6">
    <v>#VALUE!</v>
    <v>en-US</v>
    <v>4fac2f6c-c969-4f54-9152-df76012c606b</v>
    <v>536870912</v>
    <v>1</v>
    <v>190</v>
    <v>12</v>
    <v>Cluj-Napoca</v>
    <v>5</v>
    <v>6</v>
    <v>Map</v>
    <v>7</v>
    <v>20</v>
    <v>615</v>
    <v>622</v>
    <v>3</v>
    <v>Cluj-Napoca, or simply Cluj, is a city in northwestern Romania. It is the second-most populous city in the country and the seat of Cluj County. Geographically, it is roughly equidistant from Bucharest, Budapest and Belgrade. Located in the ...</v>
    <v>623</v>
    <v>624</v>
    <v>626</v>
    <v>627</v>
    <v>628</v>
    <v>Cluj-Napoca</v>
    <v>629</v>
    <v>7</v>
    <v>Cluj-Napoca</v>
    <v>mdp/vdpid/7049391971135127553</v>
  </rv>
  <rv s="0">
    <v>536870912</v>
    <v>Bucovăț, Dolj</v>
    <v>2b739997-b9f9-92e6-09b6-a503f87452af</v>
    <v>en-US</v>
    <v>Map</v>
  </rv>
  <rv s="1">
    <fb>82.64</fb>
    <v>9</v>
  </rv>
  <rv s="2">
    <v>73</v>
    <v>7</v>
    <v>191</v>
    <v>7</v>
    <v>0</v>
    <v>Image of Bucovăț, Dolj</v>
  </rv>
  <rv s="1">
    <fb>44.281478</fb>
    <v>14</v>
  </rv>
  <rv s="1">
    <fb>23.707377999999999</fb>
    <v>14</v>
  </rv>
  <rv s="1">
    <fb>4011</fb>
    <v>9</v>
  </rv>
  <rv s="13">
    <v>#VALUE!</v>
    <v>en-US</v>
    <v>2b739997-b9f9-92e6-09b6-a503f87452af</v>
    <v>536870912</v>
    <v>1</v>
    <v>192</v>
    <v>193</v>
    <v>Bucovăț, Dolj</v>
    <v>194</v>
    <v>6</v>
    <v>Map</v>
    <v>7</v>
    <v>8</v>
    <v>330</v>
    <v>632</v>
    <v>26</v>
    <v>Bucovăț is a commune in Dolj County, Oltenia, Romania with a population of 4,224 people. It is composed of seven villages: Bucovăț, Cârligei, Italieni, Leamna de Jos, Leamna de Sus, Palilula and Sărbătoarea.</v>
    <v>633</v>
    <v>634</v>
    <v>635</v>
    <v>Bucovăț, Dolj</v>
    <v>636</v>
    <v>7</v>
    <v>Bucovăț, Dolj</v>
    <v>mdp/vdpid/7241857846155935745</v>
  </rv>
  <rv s="0">
    <v>536870912</v>
    <v>Giurgiu County</v>
    <v>ff095b0d-49c5-6888-d3bc-754012945cca</v>
    <v>en-US</v>
    <v>Map</v>
  </rv>
  <rv s="1">
    <fb>3526</fb>
    <v>9</v>
  </rv>
  <rv s="0">
    <v>536870912</v>
    <v>Giurgiu</v>
    <v>7c71b11c-fdbb-62ab-b029-cb11aa412271</v>
    <v>en-US</v>
    <v>Map</v>
  </rv>
  <rv s="2">
    <v>74</v>
    <v>7</v>
    <v>195</v>
    <v>7</v>
    <v>0</v>
    <v>Image of Giurgiu County</v>
  </rv>
  <rv s="0">
    <v>536870912</v>
    <v>Ghimpați</v>
    <v>f87b4c8a-91cd-f6fa-836a-a32aae2e3fd2</v>
    <v>en-US</v>
    <v>Map</v>
  </rv>
  <rv s="3">
    <v>https://www.bing.com/search?q=giurgiu+county+sud+muntenia+romania&amp;form=skydnc</v>
    <v>Learn more on Bing</v>
  </rv>
  <rv s="1">
    <fb>262066</fb>
    <v>9</v>
  </rv>
  <rv s="12">
    <v>#VALUE!</v>
    <v>en-US</v>
    <v>ff095b0d-49c5-6888-d3bc-754012945cca</v>
    <v>536870912</v>
    <v>1</v>
    <v>197</v>
    <v>119</v>
    <v>Giurgiu County</v>
    <v>5</v>
    <v>6</v>
    <v>Map</v>
    <v>7</v>
    <v>8</v>
    <v>RO-GR</v>
    <v>639</v>
    <v>640</v>
    <v>3</v>
    <v>Giurgiu is a county of Romania on the border with Bulgaria, in Muntenia, with the capital city at Giurgiu.</v>
    <v>641</v>
    <v>642</v>
    <v>643</v>
    <v>Giurgiu County</v>
    <v>644</v>
    <v>Giurgiu County</v>
    <v>mdp/vdpid/8839633</v>
  </rv>
  <rv s="1">
    <fb>46.94</fb>
    <v>9</v>
  </rv>
  <rv s="2">
    <v>75</v>
    <v>7</v>
    <v>198</v>
    <v>7</v>
    <v>0</v>
    <v>Image of Giurgiu</v>
  </rv>
  <rv s="1">
    <fb>43.9</fb>
    <v>14</v>
  </rv>
  <rv s="0">
    <v>805306368</v>
    <v>Adrian-Valentin Anghelescu (Mayor)</v>
    <v>8310ccec-cf0a-b2e1-fdcf-82af7c34066c</v>
    <v>en-US</v>
    <v>Generic</v>
  </rv>
  <rv s="4">
    <v>47</v>
  </rv>
  <rv s="3">
    <v>https://www.bing.com/search?q=giurgiu&amp;form=skydnc</v>
    <v>Learn more on Bing</v>
  </rv>
  <rv s="1">
    <fb>25.966666666666999</fb>
    <v>14</v>
  </rv>
  <rv s="1">
    <fb>54551</fb>
    <v>9</v>
  </rv>
  <rv s="6">
    <v>#VALUE!</v>
    <v>en-US</v>
    <v>7c71b11c-fdbb-62ab-b029-cb11aa412271</v>
    <v>536870912</v>
    <v>1</v>
    <v>199</v>
    <v>12</v>
    <v>Giurgiu</v>
    <v>5</v>
    <v>6</v>
    <v>Map</v>
    <v>7</v>
    <v>8</v>
    <v>638</v>
    <v>646</v>
    <v>26</v>
    <v>Giurgiu is a city in southern Romania. The seat of Giurgiu County, it lies in the historical region of Muntenia. It is situated amongst mud-flats and marshes on the left bank of the Danube facing the Bulgarian city of Ruse on the opposite bank. ...</v>
    <v>647</v>
    <v>648</v>
    <v>650</v>
    <v>651</v>
    <v>652</v>
    <v>Giurgiu</v>
    <v>653</v>
    <v>7</v>
    <v>Giurgiu</v>
    <v>mdp/vdpid/7242450721243660289</v>
  </rv>
  <rv s="0">
    <v>536870912</v>
    <v>Sânmihaiu Român</v>
    <v>3f295b89-77ae-4e56-a8b5-397a5ee424f1</v>
    <v>en-US</v>
    <v>Map</v>
  </rv>
  <rv s="1">
    <fb>75.260000000000005</fb>
    <v>9</v>
  </rv>
  <rv s="2">
    <v>76</v>
    <v>7</v>
    <v>200</v>
    <v>7</v>
    <v>0</v>
    <v>Image of Sânmihaiu Român</v>
  </rv>
  <rv s="1">
    <fb>45.694833000000003</fb>
    <v>14</v>
  </rv>
  <rv s="0">
    <v>805306368</v>
    <v>Viorel Marcuți (Mayor)</v>
    <v>a6d9ccf7-e08a-8ae9-6890-4c28ffe6d78f</v>
    <v>en-US</v>
    <v>Generic</v>
  </rv>
  <rv s="4">
    <v>48</v>
  </rv>
  <rv s="3">
    <v>https://www.bing.com/search?q=s%c3%a2nmihaiu+rom%c3%a2n+romania&amp;form=skydnc</v>
    <v>Learn more on Bing</v>
  </rv>
  <rv s="1">
    <fb>21.078669000000001</fb>
    <v>14</v>
  </rv>
  <rv s="1">
    <fb>8419</fb>
    <v>9</v>
  </rv>
  <rv s="6">
    <v>#VALUE!</v>
    <v>en-US</v>
    <v>3f295b89-77ae-4e56-a8b5-397a5ee424f1</v>
    <v>536870912</v>
    <v>1</v>
    <v>201</v>
    <v>12</v>
    <v>Sânmihaiu Român</v>
    <v>5</v>
    <v>6</v>
    <v>Map</v>
    <v>7</v>
    <v>8</v>
    <v>269</v>
    <v>656</v>
    <v>26</v>
    <v>Sânmihaiu Român is a commune in Timiș County, Romania. It is composed of three villages: Sânmihaiu German, Sânmihaiu Român and Utvin. It lies on the canalized section of the river Bega, southwest of Timișoara.</v>
    <v>657</v>
    <v>658</v>
    <v>660</v>
    <v>661</v>
    <v>662</v>
    <v>Sânmihaiu Român</v>
    <v>663</v>
    <v>7</v>
    <v>Sânmihaiu Român</v>
    <v>mdp/vdpid/7025545216635437057</v>
  </rv>
  <rv s="0">
    <v>536870912</v>
    <v>Livezeni</v>
    <v>270ed3e3-3164-732a-2afc-24e51fb3ba68</v>
    <v>en-US</v>
    <v>Map</v>
  </rv>
  <rv s="1">
    <fb>25.12</fb>
    <v>9</v>
  </rv>
  <rv s="2">
    <v>77</v>
    <v>7</v>
    <v>202</v>
    <v>7</v>
    <v>0</v>
    <v>Image of Livezeni</v>
  </rv>
  <rv s="1">
    <fb>46.551568000000003</fb>
    <v>14</v>
  </rv>
  <rv s="0">
    <v>805306368</v>
    <v>István Bányai (Mayor)</v>
    <v>68dbfc25-6641-7d02-3bcf-98da268335c1</v>
    <v>en-US</v>
    <v>Generic</v>
  </rv>
  <rv s="4">
    <v>49</v>
  </rv>
  <rv s="3">
    <v>https://www.bing.com/search?q=livezeni+romania&amp;form=skydnc</v>
    <v>Learn more on Bing</v>
  </rv>
  <rv s="1">
    <fb>24.651318</fb>
    <v>14</v>
  </rv>
  <rv s="1">
    <fb>4610</fb>
    <v>9</v>
  </rv>
  <rv s="6">
    <v>#VALUE!</v>
    <v>en-US</v>
    <v>270ed3e3-3164-732a-2afc-24e51fb3ba68</v>
    <v>536870912</v>
    <v>1</v>
    <v>203</v>
    <v>12</v>
    <v>Livezeni</v>
    <v>5</v>
    <v>6</v>
    <v>Map</v>
    <v>7</v>
    <v>8</v>
    <v>434</v>
    <v>666</v>
    <v>26</v>
    <v>Livezeni is a commune in Mureș County, Transylvania, Romania composed of four villages: Ivănești, Livezeni, Poienița, and Sânișor. In 2004, Corunca, along with the village of Bozeni, broke away from Livezeni to form an independent commune.</v>
    <v>667</v>
    <v>668</v>
    <v>670</v>
    <v>671</v>
    <v>672</v>
    <v>Livezeni</v>
    <v>673</v>
    <v>7</v>
    <v>Livezeni</v>
    <v>mdp/vdpid/7049527688595243009</v>
  </rv>
  <rv s="0">
    <v>536870912</v>
    <v>Syria</v>
    <v>0365d9b4-dcc9-76b1-38fe-00d02cbcd68f</v>
    <v>en-US</v>
    <v>Map</v>
  </rv>
  <rv s="1">
    <fb>0.75810052823612695</fb>
    <v>223</v>
  </rv>
  <rv s="1">
    <fb>185180</fb>
    <v>9</v>
  </rv>
  <rv s="1">
    <fb>239000</fb>
    <v>9</v>
  </rv>
  <rv s="1">
    <fb>23.684999999999999</fb>
    <v>224</v>
  </rv>
  <rv s="1">
    <fb>963</fb>
    <v>225</v>
  </rv>
  <rv s="0">
    <v>536870912</v>
    <v>Damascus</v>
    <v>c59c22f4-d509-942f-a2f4-b31fa809a1b5</v>
    <v>en-US</v>
    <v>Map</v>
  </rv>
  <rv s="1">
    <fb>28829.954000000002</fb>
    <v>9</v>
  </rv>
  <rv s="1">
    <fb>143.199979473582</fb>
    <v>226</v>
  </rv>
  <rv s="1">
    <fb>0.36702295336413898</fb>
    <v>223</v>
  </rv>
  <rv s="1">
    <fb>974.31713913344902</fb>
    <v>9</v>
  </rv>
  <rv s="1">
    <fb>2.8079999999999998</fb>
    <v>224</v>
  </rv>
  <rv s="1">
    <fb>2.67385503458041E-2</fb>
    <v>223</v>
  </rv>
  <rv s="1">
    <fb>97.791781432638501</fb>
    <v>227</v>
  </rv>
  <rv s="1">
    <fb>0.83</fb>
    <v>228</v>
  </rv>
  <rv s="1">
    <fb>40405006007.208603</fb>
    <v>229</v>
  </rv>
  <rv s="1">
    <fb>0.81663549999999996</fb>
    <v>223</v>
  </rv>
  <rv s="1">
    <fb>0.40051150000000002</fb>
    <v>223</v>
  </rv>
  <rv s="2">
    <v>78</v>
    <v>7</v>
    <v>206</v>
    <v>7</v>
    <v>0</v>
    <v>Image of Syria</v>
  </rv>
  <rv s="1">
    <fb>14</fb>
    <v>227</v>
  </rv>
  <rv s="0">
    <v>805306368</v>
    <v>Ahmed al-Sharaa (President)</v>
    <v>70143a6b-e0b9-1512-af74-a288e240938a</v>
    <v>en-US</v>
    <v>Generic</v>
  </rv>
  <rv s="4">
    <v>50</v>
  </rv>
  <rv s="3">
    <v>https://www.bing.com/search?q=syria&amp;form=skydnc</v>
    <v>Learn more on Bing</v>
  </rv>
  <rv s="1">
    <fb>71.778999999999996</fb>
    <v>227</v>
  </rv>
  <rv s="1">
    <fb>31</fb>
    <v>227</v>
  </rv>
  <rv s="1">
    <fb>1.02</fb>
    <v>228</v>
  </rv>
  <rv s="4">
    <v>51</v>
  </rv>
  <rv s="1">
    <fb>0.53691278149999999</fb>
    <v>223</v>
  </rv>
  <rv s="1">
    <fb>1.22</fb>
    <v>224</v>
  </rv>
  <rv s="1">
    <fb>24261882</fb>
    <v>9</v>
  </rv>
  <rv s="1">
    <fb>0.214</fb>
    <v>223</v>
  </rv>
  <rv s="1">
    <fb>0.28699999999999998</fb>
    <v>223</v>
  </rv>
  <rv s="1">
    <fb>0.44</fb>
    <v>223</v>
  </rv>
  <rv s="1">
    <fb>3.2000000000000001E-2</fb>
    <v>223</v>
  </rv>
  <rv s="1">
    <fb>7.5999999999999998E-2</fb>
    <v>223</v>
  </rv>
  <rv s="1">
    <fb>0.11599999999999999</fb>
    <v>223</v>
  </rv>
  <rv s="1">
    <fb>0.154</fb>
    <v>223</v>
  </rv>
  <rv s="1">
    <fb>0.44113998413085903</fb>
    <v>223</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Raqqa Governorate</v>
    <v>0b7a175f-cb0c-4f12-a872-0119ee237677</v>
    <v>en-US</v>
    <v>Map</v>
  </rv>
  <rv s="0">
    <v>536870912</v>
    <v>Deir ez-Zor Governorate</v>
    <v>73ead33c-8d7c-a2e3-d46b-d38cc25dcbc9</v>
    <v>en-US</v>
    <v>Map</v>
  </rv>
  <rv s="0">
    <v>536870912</v>
    <v>Hasakah Governorate</v>
    <v>5a14681e-86ef-4e87-8814-e97b2331491b</v>
    <v>en-US</v>
    <v>Map</v>
  </rv>
  <rv s="4">
    <v>52</v>
  </rv>
  <rv s="1">
    <fb>0.14194682792272501</fb>
    <v>223</v>
  </rv>
  <rv s="1">
    <fb>0.42700000000000005</fb>
    <v>223</v>
  </rv>
  <rv s="1">
    <fb>8.3699998855590804E-2</fb>
    <v>230</v>
  </rv>
  <rv s="1">
    <fb>9358019</fb>
    <v>9</v>
  </rv>
  <rv s="14">
    <v>#VALUE!</v>
    <v>en-US</v>
    <v>0365d9b4-dcc9-76b1-38fe-00d02cbcd68f</v>
    <v>536870912</v>
    <v>1</v>
    <v>220</v>
    <v>221</v>
    <v>Syria</v>
    <v>5</v>
    <v>6</v>
    <v>Map</v>
    <v>7</v>
    <v>222</v>
    <v>SY</v>
    <v>676</v>
    <v>677</v>
    <v>678</v>
    <v>679</v>
    <v>680</v>
    <v>681</v>
    <v>682</v>
    <v>683</v>
    <v>684</v>
    <v>SYP</v>
    <v>Syria, officially the Syrian Arab Republic, is a country in West Asia located in the Eastern Mediterranean and the Levant. It borders the Mediterranean Sea to the west, Turkey to the north and northwest, Iraq to the east and southeast, Jordan to ...</v>
    <v>685</v>
    <v>686</v>
    <v>687</v>
    <v>688</v>
    <v>689</v>
    <v>690</v>
    <v>691</v>
    <v>692</v>
    <v>693</v>
    <v>694</v>
    <v>681</v>
    <v>696</v>
    <v>697</v>
    <v>698</v>
    <v>699</v>
    <v>700</v>
    <v>Syria</v>
    <v>Ḥumāt ad-Diyār</v>
    <v>701</v>
    <v>الجمهورية العربية السورية</v>
    <v>702</v>
    <v>703</v>
    <v>704</v>
    <v>705</v>
    <v>706</v>
    <v>707</v>
    <v>708</v>
    <v>709</v>
    <v>710</v>
    <v>711</v>
    <v>712</v>
    <v>727</v>
    <v>728</v>
    <v>7</v>
    <v>729</v>
    <v>730</v>
    <v>Syria</v>
    <v>731</v>
    <v>mdp/vdpid/222</v>
  </rv>
  <rv s="0">
    <v>536870912</v>
    <v>Giarmata</v>
    <v>6735d992-090a-5674-86d3-5382889e1155</v>
    <v>en-US</v>
    <v>Map</v>
  </rv>
  <rv s="1">
    <fb>71.5</fb>
    <v>9</v>
  </rv>
  <rv s="2">
    <v>79</v>
    <v>7</v>
    <v>231</v>
    <v>7</v>
    <v>0</v>
    <v>Image of Giarmata</v>
  </rv>
  <rv s="1">
    <fb>45.847245000000001</fb>
    <v>14</v>
  </rv>
  <rv s="0">
    <v>805306368</v>
    <v>Claudiu Mihălceanu (Mayor)</v>
    <v>e7af759e-340c-8752-0bec-02d66f4a031d</v>
    <v>en-US</v>
    <v>Generic</v>
  </rv>
  <rv s="4">
    <v>53</v>
  </rv>
  <rv s="3">
    <v>https://www.bing.com/search?q=giarmata+romania&amp;form=skydnc</v>
    <v>Learn more on Bing</v>
  </rv>
  <rv s="1">
    <fb>21.314786999999999</fb>
    <v>14</v>
  </rv>
  <rv s="1">
    <fb>6831</fb>
    <v>9</v>
  </rv>
  <rv s="6">
    <v>#VALUE!</v>
    <v>en-US</v>
    <v>6735d992-090a-5674-86d3-5382889e1155</v>
    <v>536870912</v>
    <v>1</v>
    <v>232</v>
    <v>12</v>
    <v>Giarmata</v>
    <v>5</v>
    <v>6</v>
    <v>Map</v>
    <v>7</v>
    <v>8</v>
    <v>269</v>
    <v>734</v>
    <v>26</v>
    <v>Giarmata is a commune in Timiș County, Romania. It is composed of two villages, Cerneteaz and Giarmata. Giarmata commune is situated in the central part of Timiș County, on the edge of the Vinga Plain—an area that transitions between the Lipova ...</v>
    <v>735</v>
    <v>736</v>
    <v>738</v>
    <v>739</v>
    <v>740</v>
    <v>Giarmata</v>
    <v>741</v>
    <v>7</v>
    <v>Giarmata</v>
    <v>mdp/vdpid/7025498967622287361</v>
  </rv>
  <rv s="0">
    <v>536870912</v>
    <v>Moșnița Nouă</v>
    <v>f57d274d-f708-370f-74ee-29e197b4d7c7</v>
    <v>en-US</v>
    <v>Map</v>
  </rv>
  <rv s="1">
    <fb>66.37</fb>
    <v>9</v>
  </rv>
  <rv s="2">
    <v>80</v>
    <v>7</v>
    <v>233</v>
    <v>7</v>
    <v>0</v>
    <v>Image of Moșnița Nouă</v>
  </rv>
  <rv s="1">
    <fb>45.712871</fb>
    <v>14</v>
  </rv>
  <rv s="0">
    <v>805306368</v>
    <v>Gerald-Oscar Simonis (Mayor)</v>
    <v>09f22f61-e1a9-fa3b-6594-ab842cc32df4</v>
    <v>en-US</v>
    <v>Generic</v>
  </rv>
  <rv s="4">
    <v>54</v>
  </rv>
  <rv s="3">
    <v>https://www.bing.com/search?q=mo%c8%99ni%c8%9ba+nou%c4%83+romania&amp;form=skydnc</v>
    <v>Learn more on Bing</v>
  </rv>
  <rv s="1">
    <fb>21.342759999999998</fb>
    <v>14</v>
  </rv>
  <rv s="1">
    <fb>16424</fb>
    <v>9</v>
  </rv>
  <rv s="6">
    <v>#VALUE!</v>
    <v>en-US</v>
    <v>f57d274d-f708-370f-74ee-29e197b4d7c7</v>
    <v>536870912</v>
    <v>1</v>
    <v>234</v>
    <v>12</v>
    <v>Moșnița Nouă</v>
    <v>5</v>
    <v>6</v>
    <v>Map</v>
    <v>7</v>
    <v>8</v>
    <v>269</v>
    <v>744</v>
    <v>26</v>
    <v>Moșnița Nouă is a commune in Timiș County, Romania. It is composed of five villages: Albina, Moșnița Nouă, Moșnița Veche, Rudicica and Urseni. Moșnița Nouă is located in the central part of Timiș County, about 8 km from Timișoara city center.</v>
    <v>745</v>
    <v>746</v>
    <v>748</v>
    <v>749</v>
    <v>750</v>
    <v>Moșnița Nouă</v>
    <v>751</v>
    <v>7</v>
    <v>Moșnița Nouă</v>
    <v>mdp/vdpid/7025547420154986497</v>
  </rv>
  <rv s="0">
    <v>536870912</v>
    <v>Bâlvănești</v>
    <v>b542388c-c9f9-ff5c-c30f-137a060c2b61</v>
    <v>en-US</v>
    <v>Map</v>
  </rv>
  <rv s="1">
    <fb>48.04</fb>
    <v>9</v>
  </rv>
  <rv s="2">
    <v>81</v>
    <v>7</v>
    <v>235</v>
    <v>7</v>
    <v>0</v>
    <v>Image of Bâlvănești</v>
  </rv>
  <rv s="1">
    <fb>44.785195000000002</fb>
    <v>14</v>
  </rv>
  <rv s="3">
    <v>https://www.bing.com/search?q=b%c3%a2lv%c4%83ne%c8%99ti&amp;form=skydnc</v>
    <v>Learn more on Bing</v>
  </rv>
  <rv s="1">
    <fb>22.673107000000002</fb>
    <v>14</v>
  </rv>
  <rv s="1">
    <fb>815</fb>
    <v>9</v>
  </rv>
  <rv s="9">
    <v>#VALUE!</v>
    <v>en-US</v>
    <v>b542388c-c9f9-ff5c-c30f-137a060c2b61</v>
    <v>536870912</v>
    <v>1</v>
    <v>236</v>
    <v>70</v>
    <v>Bâlvănești</v>
    <v>5</v>
    <v>6</v>
    <v>Map</v>
    <v>7</v>
    <v>8</v>
    <v>98</v>
    <v>754</v>
    <v>26</v>
    <v>Bâlvănești is a commune located in Mehedinți County, Romania. It is composed of five villages: Bâlvănești, Băsești, Călineștii de Jos, Călineștii de Sus and Pârlagele. It is situated in the historical region of Oltenia.</v>
    <v>755</v>
    <v>756</v>
    <v>757</v>
    <v>758</v>
    <v>Bâlvănești</v>
    <v>759</v>
    <v>7</v>
    <v>Bâlvănești</v>
    <v>mdp/vdpid/7241794891582275585</v>
  </rv>
  <rv s="0">
    <v>536870912</v>
    <v>Robănești</v>
    <v>ed8ce3f3-ea37-4c08-910f-1e3c77697b20</v>
    <v>en-US</v>
    <v>Map</v>
  </rv>
  <rv s="1">
    <fb>59.69</fb>
    <v>9</v>
  </rv>
  <rv s="2">
    <v>82</v>
    <v>7</v>
    <v>237</v>
    <v>7</v>
    <v>0</v>
    <v>Image of Robănești</v>
  </rv>
  <rv s="1">
    <fb>44.3</fb>
    <v>14</v>
  </rv>
  <rv s="3">
    <v>https://www.bing.com/search?q=rob%c4%83ne%c8%99ti&amp;form=skydnc</v>
    <v>Learn more on Bing</v>
  </rv>
  <rv s="1">
    <fb>23.966666666666999</fb>
    <v>14</v>
  </rv>
  <rv s="1">
    <fb>2164</fb>
    <v>9</v>
  </rv>
  <rv s="9">
    <v>#VALUE!</v>
    <v>en-US</v>
    <v>ed8ce3f3-ea37-4c08-910f-1e3c77697b20</v>
    <v>536870912</v>
    <v>1</v>
    <v>238</v>
    <v>70</v>
    <v>Robănești</v>
    <v>5</v>
    <v>6</v>
    <v>Map</v>
    <v>7</v>
    <v>8</v>
    <v>330</v>
    <v>762</v>
    <v>26</v>
    <v>Robănești is a commune in Dolj County, Oltenia, Romania, with a population of 2,821 people. It is composed of six villages: Bojoiu, Golfin, Lăcrița Mare, Lăcrița Mică, Robăneștii de Jos and Robăneștii de Sus.</v>
    <v>763</v>
    <v>764</v>
    <v>765</v>
    <v>766</v>
    <v>Robănești</v>
    <v>767</v>
    <v>7</v>
    <v>Robănești</v>
    <v>mdp/vdpid/7242001572824088577</v>
  </rv>
  <rv s="0">
    <v>536870912</v>
    <v>Seini</v>
    <v>054a80e9-a7e4-fa09-e96e-85f5bca39eae</v>
    <v>en-US</v>
    <v>Map</v>
  </rv>
  <rv s="1">
    <fb>58.91</fb>
    <v>9</v>
  </rv>
  <rv s="2">
    <v>83</v>
    <v>7</v>
    <v>239</v>
    <v>7</v>
    <v>0</v>
    <v>Image of Seini</v>
  </rv>
  <rv s="1">
    <fb>47.747777777777998</fb>
    <v>14</v>
  </rv>
  <rv s="0">
    <v>805306368</v>
    <v>Gabriela Florica Tulbure (Mayor)</v>
    <v>db8f86bd-7946-4704-0688-7d964f5cb9ca</v>
    <v>en-US</v>
    <v>Generic</v>
  </rv>
  <rv s="4">
    <v>55</v>
  </rv>
  <rv s="3">
    <v>https://www.bing.com/search?q=seini+romania&amp;form=skydnc</v>
    <v>Learn more on Bing</v>
  </rv>
  <rv s="1">
    <fb>23.285277777777999</fb>
    <v>14</v>
  </rv>
  <rv s="1">
    <fb>8198</fb>
    <v>9</v>
  </rv>
  <rv s="6">
    <v>#VALUE!</v>
    <v>en-US</v>
    <v>054a80e9-a7e4-fa09-e96e-85f5bca39eae</v>
    <v>536870912</v>
    <v>1</v>
    <v>240</v>
    <v>12</v>
    <v>Seini</v>
    <v>5</v>
    <v>6</v>
    <v>Map</v>
    <v>7</v>
    <v>8</v>
    <v>236</v>
    <v>770</v>
    <v>26</v>
    <v>Seini is a town in Maramureș County, Romania. It administers two villages, Săbișa and Viile Apei. It officially became a town in 1989, as a result of the Romanian rural systematization program. The town is located in the western part of ...</v>
    <v>771</v>
    <v>772</v>
    <v>774</v>
    <v>775</v>
    <v>776</v>
    <v>Seini</v>
    <v>777</v>
    <v>7</v>
    <v>Seini</v>
    <v>mdp/vdpid/7049294759415775233</v>
  </rv>
  <rv s="0">
    <v>536870912</v>
    <v>Schitu, Olt</v>
    <v>444f8ea8-9ca1-a712-67cd-520c6fc08579</v>
    <v>en-US</v>
    <v>Map</v>
  </rv>
  <rv s="1">
    <fb>31.94</fb>
    <v>9</v>
  </rv>
  <rv s="2">
    <v>84</v>
    <v>7</v>
    <v>241</v>
    <v>7</v>
    <v>0</v>
    <v>Image of Schitu, Olt</v>
  </rv>
  <rv s="1">
    <fb>44.352037000000003</fb>
    <v>14</v>
  </rv>
  <rv s="0">
    <v>805306368</v>
    <v>Marian Lunganu (Mayor)</v>
    <v>ff12334f-06a9-70a4-7d4d-9de519d977cc</v>
    <v>en-US</v>
    <v>Generic</v>
  </rv>
  <rv s="4">
    <v>56</v>
  </rv>
  <rv s="3">
    <v>https://www.bing.com/search?q=schitu%2c+olt&amp;form=skydnc</v>
    <v>Learn more on Bing</v>
  </rv>
  <rv s="1">
    <fb>24.564983000000002</fb>
    <v>14</v>
  </rv>
  <rv s="1">
    <fb>2493</fb>
    <v>9</v>
  </rv>
  <rv s="6">
    <v>#VALUE!</v>
    <v>en-US</v>
    <v>444f8ea8-9ca1-a712-67cd-520c6fc08579</v>
    <v>536870912</v>
    <v>1</v>
    <v>242</v>
    <v>12</v>
    <v>Schitu, Olt</v>
    <v>5</v>
    <v>6</v>
    <v>Map</v>
    <v>7</v>
    <v>8</v>
    <v>460</v>
    <v>780</v>
    <v>26</v>
    <v>Schitu is a commune in Olt County, Muntenia, Romania. It is composed of five villages: Catanele, Greci, Lisa, Moșteni, and Schitu.</v>
    <v>781</v>
    <v>782</v>
    <v>784</v>
    <v>785</v>
    <v>786</v>
    <v>Schitu, Olt</v>
    <v>787</v>
    <v>7</v>
    <v>Schitu, Olt</v>
    <v>mdp/vdpid/7241963811991715841</v>
  </rv>
  <rv s="0">
    <v>536870912</v>
    <v>Băilești</v>
    <v>fe84f02a-e2a7-f145-ab60-f074ba5367c5</v>
    <v>en-US</v>
    <v>Map</v>
  </rv>
  <rv s="1">
    <fb>1.6</fb>
    <v>9</v>
  </rv>
  <rv s="2">
    <v>85</v>
    <v>7</v>
    <v>243</v>
    <v>7</v>
    <v>0</v>
    <v>Image of Băilești</v>
  </rv>
  <rv s="1">
    <fb>44.030833333333</fb>
    <v>14</v>
  </rv>
  <rv s="0">
    <v>805306368</v>
    <v>Irinel-Codruț Mușuroi (Mayor)</v>
    <v>405eab45-089a-b719-3afa-0c2057eb3d45</v>
    <v>en-US</v>
    <v>Generic</v>
  </rv>
  <rv s="4">
    <v>57</v>
  </rv>
  <rv s="3">
    <v>https://www.bing.com/search?q=b%c4%83ile%c8%99ti+romania&amp;form=skydnc</v>
    <v>Learn more on Bing</v>
  </rv>
  <rv s="1">
    <fb>23.352499999999999</fb>
    <v>14</v>
  </rv>
  <rv s="1">
    <fb>15928</fb>
    <v>9</v>
  </rv>
  <rv s="6">
    <v>#VALUE!</v>
    <v>en-US</v>
    <v>fe84f02a-e2a7-f145-ab60-f074ba5367c5</v>
    <v>536870912</v>
    <v>1</v>
    <v>244</v>
    <v>12</v>
    <v>Băilești</v>
    <v>5</v>
    <v>6</v>
    <v>Map</v>
    <v>7</v>
    <v>8</v>
    <v>330</v>
    <v>790</v>
    <v>26</v>
    <v>Băilești is a city in Dolj County, Oltenia, Romania, with a population of 15,928 in 2021. One village, Balasan, is administered by the city. The city lies in the western part of the Wallachian Plain, on the banks of the Balasan River, which ...</v>
    <v>791</v>
    <v>792</v>
    <v>794</v>
    <v>795</v>
    <v>796</v>
    <v>Băilești</v>
    <v>797</v>
    <v>7</v>
    <v>Băilești</v>
    <v>mdp/vdpid/7241899214458847233</v>
  </rv>
  <rv s="0">
    <v>536870912</v>
    <v>Dăneasa</v>
    <v>ab829426-1f20-a6ae-c3b5-204f5619fc0b</v>
    <v>en-US</v>
    <v>Map</v>
  </rv>
  <rv s="1">
    <fb>57.32</fb>
    <v>9</v>
  </rv>
  <rv s="2">
    <v>86</v>
    <v>7</v>
    <v>245</v>
    <v>7</v>
    <v>0</v>
    <v>Image of Dăneasa</v>
  </rv>
  <rv s="1">
    <fb>44.118982000000003</fb>
    <v>14</v>
  </rv>
  <rv s="0">
    <v>805306368</v>
    <v>Nicolae Soare (Mayor)</v>
    <v>b12a2a05-ba35-2a96-c38e-200d465abab5</v>
    <v>en-US</v>
    <v>Generic</v>
  </rv>
  <rv s="4">
    <v>58</v>
  </rv>
  <rv s="3">
    <v>https://www.bing.com/search?q=d%c4%83neasa+romania&amp;form=skydnc</v>
    <v>Learn more on Bing</v>
  </rv>
  <rv s="1">
    <fb>24.562943000000001</fb>
    <v>14</v>
  </rv>
  <rv s="1">
    <fb>3217</fb>
    <v>9</v>
  </rv>
  <rv s="6">
    <v>#VALUE!</v>
    <v>en-US</v>
    <v>ab829426-1f20-a6ae-c3b5-204f5619fc0b</v>
    <v>536870912</v>
    <v>1</v>
    <v>246</v>
    <v>12</v>
    <v>Dăneasa</v>
    <v>5</v>
    <v>6</v>
    <v>Map</v>
    <v>7</v>
    <v>8</v>
    <v>460</v>
    <v>800</v>
    <v>26</v>
    <v>Dăneasa is a commune in Olt County, Muntenia, Romania. It is composed of five villages: Berindei, Cioflanu, Dăneasa, Pestra, and Zănoaga.</v>
    <v>801</v>
    <v>802</v>
    <v>804</v>
    <v>805</v>
    <v>806</v>
    <v>Dăneasa</v>
    <v>807</v>
    <v>7</v>
    <v>Dăneasa</v>
    <v>mdp/vdpid/7242012294320750593</v>
  </rv>
  <rv s="0">
    <v>536870912</v>
    <v>Ulmeni, Maramureș</v>
    <v>1b62888f-f1c0-dc1f-9ee4-a6bbd4d7492d</v>
    <v>en-US</v>
    <v>Map</v>
  </rv>
  <rv s="2">
    <v>87</v>
    <v>7</v>
    <v>247</v>
    <v>7</v>
    <v>0</v>
    <v>Image of Ulmeni, Maramureș</v>
  </rv>
  <rv s="1">
    <fb>47.465555555556001</fb>
    <v>14</v>
  </rv>
  <rv s="0">
    <v>805306368</v>
    <v>Lucian Morar (Mayor)</v>
    <v>f21b44b3-a8ec-e4bf-87a2-869ab7a1c512</v>
    <v>en-US</v>
    <v>Generic</v>
  </rv>
  <rv s="4">
    <v>59</v>
  </rv>
  <rv s="1">
    <fb>23.300277777778</fb>
    <v>14</v>
  </rv>
  <rv s="1">
    <fb>7110</fb>
    <v>9</v>
  </rv>
  <rv s="15">
    <v>#VALUE!</v>
    <v>en-US</v>
    <v>1b62888f-f1c0-dc1f-9ee4-a6bbd4d7492d</v>
    <v>536870912</v>
    <v>1</v>
    <v>248</v>
    <v>249</v>
    <v>Ulmeni, Maramureș</v>
    <v>194</v>
    <v>6</v>
    <v>Map</v>
    <v>7</v>
    <v>104</v>
    <v>236</v>
    <v>26</v>
    <v>Ulmeni is a town in Maramureș County, Crișana, Romania. It was declared a town in 2004. The town administers seven villages: Arduzel, Chelința, Mânău, Someș-Uileac, Tohat, Țicău, and Vicea. Ulmeni is located in northwestern Romania, in the ...</v>
    <v>810</v>
    <v>811</v>
    <v>813</v>
    <v>814</v>
    <v>Ulmeni, Maramureș</v>
    <v>815</v>
    <v>7</v>
    <v>Ulmeni, Maramureș</v>
    <v>mdp/vdpid/7049300924254126081</v>
  </rv>
  <rv s="0">
    <v>536870912</v>
    <v>Câmpulung</v>
    <v>62cde850-86b1-a7d5-602d-f51468bfbe20</v>
    <v>en-US</v>
    <v>Map</v>
  </rv>
  <rv s="1">
    <fb>11.7</fb>
    <v>9</v>
  </rv>
  <rv s="2">
    <v>88</v>
    <v>7</v>
    <v>250</v>
    <v>7</v>
    <v>0</v>
    <v>Image of Câmpulung</v>
  </rv>
  <rv s="1">
    <fb>45.274999999999999</fb>
    <v>14</v>
  </rv>
  <rv s="0">
    <v>805306368</v>
    <v>Elena Lasconi (Mayor)</v>
    <v>74867640-ddfe-c4b5-187a-247c58470085</v>
    <v>en-US</v>
    <v>Generic</v>
  </rv>
  <rv s="4">
    <v>60</v>
  </rv>
  <rv s="3">
    <v>https://www.bing.com/search?q=c%c3%a2mpulung&amp;form=skydnc</v>
    <v>Learn more on Bing</v>
  </rv>
  <rv s="1">
    <fb>25.05</fb>
    <v>14</v>
  </rv>
  <rv s="1">
    <fb>27574</fb>
    <v>9</v>
  </rv>
  <rv s="8">
    <v>#VALUE!</v>
    <v>en-US</v>
    <v>62cde850-86b1-a7d5-602d-f51468bfbe20</v>
    <v>536870912</v>
    <v>1</v>
    <v>251</v>
    <v>31</v>
    <v>Câmpulung</v>
    <v>5</v>
    <v>6</v>
    <v>Map</v>
    <v>7</v>
    <v>8</v>
    <v>18</v>
    <v>18</v>
    <v>818</v>
    <v>26</v>
    <v>Câmpulung is a city in Argeș County, Muntenia, Romania. It is attested on the Fra Mauro map from 1450 as Campo longo. It is situated among the outlying hills of the Southern Carpathians, at the head of a long well-wooded glen traversed by the ...</v>
    <v>819</v>
    <v>820</v>
    <v>822</v>
    <v>823</v>
    <v>824</v>
    <v>Câmpulung</v>
    <v>825</v>
    <v>7</v>
    <v>Câmpulung</v>
    <v>mdp/vdpid/7049814313506177025</v>
  </rv>
  <rv s="0">
    <v>536870912</v>
    <v>Corabia</v>
    <v>d57270ce-4ac7-a786-45d9-c618b4f42e69</v>
    <v>en-US</v>
    <v>Map</v>
  </rv>
  <rv s="1">
    <fb>92.84</fb>
    <v>9</v>
  </rv>
  <rv s="2">
    <v>89</v>
    <v>7</v>
    <v>252</v>
    <v>7</v>
    <v>0</v>
    <v>Image of Corabia</v>
  </rv>
  <rv s="1">
    <fb>43.773611111111002</fb>
    <v>14</v>
  </rv>
  <rv s="0">
    <v>805306368</v>
    <v>Iulică Oane (Mayor)</v>
    <v>19af53ec-2899-6f20-3357-5506ef391f04</v>
    <v>en-US</v>
    <v>Generic</v>
  </rv>
  <rv s="4">
    <v>61</v>
  </rv>
  <rv s="3">
    <v>https://www.bing.com/search?q=corabia+romania&amp;form=skydnc</v>
    <v>Learn more on Bing</v>
  </rv>
  <rv s="1">
    <fb>24.503333333333</fb>
    <v>14</v>
  </rv>
  <rv s="1">
    <fb>13527</fb>
    <v>9</v>
  </rv>
  <rv s="6">
    <v>#VALUE!</v>
    <v>en-US</v>
    <v>d57270ce-4ac7-a786-45d9-c618b4f42e69</v>
    <v>536870912</v>
    <v>1</v>
    <v>253</v>
    <v>12</v>
    <v>Corabia</v>
    <v>5</v>
    <v>6</v>
    <v>Map</v>
    <v>7</v>
    <v>8</v>
    <v>460</v>
    <v>828</v>
    <v>26</v>
    <v>Corabia is a small Danube port located in Olt County, Oltenia, Romania, which used to be part of the now-dissolved Romanați County before World War II. Across the Danube from Corabia lies the Bulgarian village of Gigen.</v>
    <v>829</v>
    <v>830</v>
    <v>832</v>
    <v>833</v>
    <v>834</v>
    <v>Corabia</v>
    <v>835</v>
    <v>7</v>
    <v>Corabia</v>
    <v>mdp/vdpid/7242029537775583233</v>
  </rv>
  <rv s="0">
    <v>536870912</v>
    <v>Mihai Viteazu, Cluj</v>
    <v>5df63706-ad36-c353-5df7-61790355f7b7</v>
    <v>en-US</v>
    <v>Map</v>
  </rv>
  <rv s="1">
    <fb>47.53</fb>
    <v>9</v>
  </rv>
  <rv s="2">
    <v>90</v>
    <v>7</v>
    <v>254</v>
    <v>7</v>
    <v>0</v>
    <v>Image of Mihai Viteazu, Cluj</v>
  </rv>
  <rv s="1">
    <fb>46.536411000000001</fb>
    <v>14</v>
  </rv>
  <rv s="0">
    <v>805306368</v>
    <v>Paul-Cristian Olaru (Mayor)</v>
    <v>6caf19b0-b429-093d-50c0-272edb5c852d</v>
    <v>en-US</v>
    <v>Generic</v>
  </rv>
  <rv s="4">
    <v>62</v>
  </rv>
  <rv s="3">
    <v>https://www.bing.com/search?q=mihai+viteazu%2c+cluj+romania&amp;form=skydnc</v>
    <v>Learn more on Bing</v>
  </rv>
  <rv s="1">
    <fb>23.717054999999998</fb>
    <v>14</v>
  </rv>
  <rv s="1">
    <fb>5575</fb>
    <v>9</v>
  </rv>
  <rv s="6">
    <v>#VALUE!</v>
    <v>en-US</v>
    <v>5df63706-ad36-c353-5df7-61790355f7b7</v>
    <v>536870912</v>
    <v>1</v>
    <v>255</v>
    <v>12</v>
    <v>Mihai Viteazu, Cluj</v>
    <v>5</v>
    <v>6</v>
    <v>Map</v>
    <v>7</v>
    <v>8</v>
    <v>615</v>
    <v>838</v>
    <v>26</v>
    <v>Mihai Viteazu is a commune in Cluj County, Transylvania, Romania. It is composed of three villages: Cheia, Cornești, and Mihai Viteazu. Mihai Viteazu village, which is named after the medieval ruler Michael the Brave, was founded in 1925 by the ...</v>
    <v>839</v>
    <v>840</v>
    <v>842</v>
    <v>843</v>
    <v>844</v>
    <v>Mihai Viteazu, Cluj</v>
    <v>845</v>
    <v>7</v>
    <v>Mihai Viteazu, Cluj</v>
    <v>mdp/vdpid/7049398154579410945</v>
  </rv>
  <rv s="0">
    <v>536870912</v>
    <v>Turda</v>
    <v>1698dcc6-0b1c-0c68-90d1-c2ecb9d7c4ab</v>
    <v>en-US</v>
    <v>Map</v>
  </rv>
  <rv s="1">
    <fb>91.43</fb>
    <v>9</v>
  </rv>
  <rv s="2">
    <v>91</v>
    <v>7</v>
    <v>256</v>
    <v>7</v>
    <v>0</v>
    <v>Image of Turda</v>
  </rv>
  <rv s="1">
    <fb>46.566666666666997</fb>
    <v>14</v>
  </rv>
  <rv s="0">
    <v>805306368</v>
    <v>Cristian-Octavian Matei (Mayor)</v>
    <v>1122be89-3034-9a15-1cc3-778536c58df7</v>
    <v>en-US</v>
    <v>Generic</v>
  </rv>
  <rv s="4">
    <v>63</v>
  </rv>
  <rv s="3">
    <v>https://www.bing.com/search?q=turda+romania&amp;form=skydnc</v>
    <v>Learn more on Bing</v>
  </rv>
  <rv s="1">
    <fb>23.783333333333001</fb>
    <v>14</v>
  </rv>
  <rv s="1">
    <fb>43319</fb>
    <v>9</v>
  </rv>
  <rv s="6">
    <v>#VALUE!</v>
    <v>en-US</v>
    <v>1698dcc6-0b1c-0c68-90d1-c2ecb9d7c4ab</v>
    <v>536870912</v>
    <v>1</v>
    <v>257</v>
    <v>12</v>
    <v>Turda</v>
    <v>5</v>
    <v>6</v>
    <v>Map</v>
    <v>7</v>
    <v>8</v>
    <v>615</v>
    <v>848</v>
    <v>26</v>
    <v>Turda is a city in Cluj County, Transylvania, Romania. It is located in the southeastern part of the county, 34.2 km from the county seat, Cluj-Napoca, to which it is connected by the European route E81, and 6.7 km from nearby Câmpia Turzii.</v>
    <v>849</v>
    <v>850</v>
    <v>852</v>
    <v>853</v>
    <v>854</v>
    <v>Turda</v>
    <v>855</v>
    <v>7</v>
    <v>Turda</v>
    <v>mdp/vdpid/7049395609475743745</v>
  </rv>
  <rv s="0">
    <v>536870912</v>
    <v>Dumitra</v>
    <v>62752912-974b-3d7c-9b88-5094cb0796b9</v>
    <v>en-US</v>
    <v>Map</v>
  </rv>
  <rv s="1">
    <fb>88.99</fb>
    <v>9</v>
  </rv>
  <rv s="2">
    <v>92</v>
    <v>7</v>
    <v>258</v>
    <v>7</v>
    <v>0</v>
    <v>Image of Dumitra</v>
  </rv>
  <rv s="1">
    <fb>47.215386000000002</fb>
    <v>14</v>
  </rv>
  <rv s="0">
    <v>805306368</v>
    <v>Gheorghe Balajan (Mayor)</v>
    <v>65435943-9116-566c-d9ea-157eb332da8e</v>
    <v>en-US</v>
    <v>Generic</v>
  </rv>
  <rv s="4">
    <v>64</v>
  </rv>
  <rv s="3">
    <v>https://www.bing.com/search?q=dumitra&amp;form=skydnc</v>
    <v>Learn more on Bing</v>
  </rv>
  <rv s="1">
    <fb>24.404516000000001</fb>
    <v>14</v>
  </rv>
  <rv s="1">
    <fb>5264</fb>
    <v>9</v>
  </rv>
  <rv s="6">
    <v>#VALUE!</v>
    <v>en-US</v>
    <v>62752912-974b-3d7c-9b88-5094cb0796b9</v>
    <v>536870912</v>
    <v>1</v>
    <v>259</v>
    <v>12</v>
    <v>Dumitra</v>
    <v>5</v>
    <v>6</v>
    <v>Map</v>
    <v>7</v>
    <v>8</v>
    <v>184</v>
    <v>858</v>
    <v>26</v>
    <v>Dumitra is a commune in Bistrița-Năsăud County, Transylvania, Romania. It is composed of three villages: Cepari, Dumitra, and Tărpiu. The commune is situated on the Transylvanian Plateau, in the historic region of Nösnerland. It is located in ...</v>
    <v>859</v>
    <v>860</v>
    <v>862</v>
    <v>863</v>
    <v>864</v>
    <v>Dumitra</v>
    <v>865</v>
    <v>7</v>
    <v>Dumitra</v>
    <v>mdp/vdpid/7049433888019447809</v>
  </rv>
  <rv s="0">
    <v>536870912</v>
    <v>Sighetu Marmației</v>
    <v>3e134525-0c2b-24fa-cde1-109fb79ec537</v>
    <v>en-US</v>
    <v>Map</v>
  </rv>
  <rv s="1">
    <fb>111</fb>
    <v>9</v>
  </rv>
  <rv s="2">
    <v>93</v>
    <v>7</v>
    <v>260</v>
    <v>7</v>
    <v>0</v>
    <v>Image of Sighetu Marmației</v>
  </rv>
  <rv s="1">
    <fb>47.930944444444002</fb>
    <v>14</v>
  </rv>
  <rv s="0">
    <v>805306368</v>
    <v>Vasile Moldovan (Mayor)</v>
    <v>274306fc-b64d-85cf-4259-89d8ce043cc0</v>
    <v>en-US</v>
    <v>Generic</v>
  </rv>
  <rv s="4">
    <v>65</v>
  </rv>
  <rv s="3">
    <v>https://www.bing.com/search?q=sighetu+marma%c8%9biei+romania&amp;form=skydnc</v>
    <v>Learn more on Bing</v>
  </rv>
  <rv s="1">
    <fb>23.894694444443999</fb>
    <v>14</v>
  </rv>
  <rv s="1">
    <fb>32793</fb>
    <v>9</v>
  </rv>
  <rv s="4">
    <v>66</v>
  </rv>
  <rv s="8">
    <v>#VALUE!</v>
    <v>en-US</v>
    <v>3e134525-0c2b-24fa-cde1-109fb79ec537</v>
    <v>536870912</v>
    <v>1</v>
    <v>261</v>
    <v>31</v>
    <v>Sighetu Marmației</v>
    <v>5</v>
    <v>6</v>
    <v>Map</v>
    <v>7</v>
    <v>8</v>
    <v>236</v>
    <v>236</v>
    <v>868</v>
    <v>26</v>
    <v>Sighetu Marmației, until 1960 Sighet, is a city in Maramureș County near the Iza River, in northwestern Romania. Sighetu Marmației is situated along the Tisa river on the border with Ukraine, across from the Ukrainian town of Solotvyno. ...</v>
    <v>869</v>
    <v>870</v>
    <v>872</v>
    <v>873</v>
    <v>874</v>
    <v>Sighetu Marmației</v>
    <v>875</v>
    <v>876</v>
    <v>Sighetu Marmației</v>
    <v>mdp/vdpid/7048648086490447873</v>
  </rv>
  <rv s="0">
    <v>536870912</v>
    <v>Lunca Bradului</v>
    <v>0bca9da3-1e1a-7410-3212-dbb40bf345e1</v>
    <v>en-US</v>
    <v>Map</v>
  </rv>
  <rv s="1">
    <fb>310.33</fb>
    <v>9</v>
  </rv>
  <rv s="2">
    <v>94</v>
    <v>7</v>
    <v>262</v>
    <v>7</v>
    <v>0</v>
    <v>Image of Lunca Bradului</v>
  </rv>
  <rv s="1">
    <fb>47.008336999999997</fb>
    <v>14</v>
  </rv>
  <rv s="0">
    <v>805306368</v>
    <v>Alexandru Bexa (Mayor)</v>
    <v>ff227e45-e3fe-2dac-1641-c36b2d901d51</v>
    <v>en-US</v>
    <v>Generic</v>
  </rv>
  <rv s="4">
    <v>67</v>
  </rv>
  <rv s="3">
    <v>https://www.bing.com/search?q=lunca+bradului+romania&amp;form=skydnc</v>
    <v>Learn more on Bing</v>
  </rv>
  <rv s="1">
    <fb>25.124472000000001</fb>
    <v>14</v>
  </rv>
  <rv s="1">
    <fb>1666</fb>
    <v>9</v>
  </rv>
  <rv s="6">
    <v>#VALUE!</v>
    <v>en-US</v>
    <v>0bca9da3-1e1a-7410-3212-dbb40bf345e1</v>
    <v>536870912</v>
    <v>1</v>
    <v>263</v>
    <v>12</v>
    <v>Lunca Bradului</v>
    <v>5</v>
    <v>6</v>
    <v>Map</v>
    <v>7</v>
    <v>8</v>
    <v>434</v>
    <v>879</v>
    <v>26</v>
    <v>Lunca Bradului is a commune in Mureș County, Transylvania, Romania. It is composed of three villages: Lunca Bradului, Neagra, and Sălard. The commune is situated at the foot of the Călimani and Gurghiu mountains, at an altitude of about 600 m. ...</v>
    <v>880</v>
    <v>881</v>
    <v>883</v>
    <v>884</v>
    <v>885</v>
    <v>Lunca Bradului</v>
    <v>886</v>
    <v>7</v>
    <v>Lunca Bradului</v>
    <v>mdp/vdpid/7049516393653338113</v>
  </rv>
  <rv s="0">
    <v>536870912</v>
    <v>Șimian, Bihor</v>
    <v>73cc7443-cb3b-d953-d9c1-a24792b09c36</v>
    <v>en-US</v>
    <v>Map</v>
  </rv>
  <rv s="1">
    <fb>91.94</fb>
    <v>9</v>
  </rv>
  <rv s="2">
    <v>95</v>
    <v>7</v>
    <v>264</v>
    <v>7</v>
    <v>0</v>
    <v>Image of Șimian, Bihor</v>
  </rv>
  <rv s="1">
    <fb>47.478073000000002</fb>
    <v>14</v>
  </rv>
  <rv s="1">
    <fb>22.066634000000001</fb>
    <v>14</v>
  </rv>
  <rv s="1">
    <fb>3540</fb>
    <v>9</v>
  </rv>
  <rv s="16">
    <v>#VALUE!</v>
    <v>en-US</v>
    <v>73cc7443-cb3b-d953-d9c1-a24792b09c36</v>
    <v>536870912</v>
    <v>1</v>
    <v>265</v>
    <v>266</v>
    <v>Șimian, Bihor</v>
    <v>194</v>
    <v>6</v>
    <v>Map</v>
    <v>7</v>
    <v>8</v>
    <v>46</v>
    <v>46</v>
    <v>889</v>
    <v>26</v>
    <v>Șimian is a commune in Bihor County, Crișana, Romania with a population of 3,876 people. It is composed of three villages: Șilindru, Șimian and Voivozi.</v>
    <v>890</v>
    <v>891</v>
    <v>892</v>
    <v>Șimian, Bihor</v>
    <v>893</v>
    <v>7</v>
    <v>Șimian, Bihor</v>
    <v>mdp/vdpid/7025236937824796673</v>
  </rv>
  <rv s="0">
    <v>536870912</v>
    <v>Meseșenii de Jos</v>
    <v>9c53d01c-35ba-ea9a-9689-ff44a258300a</v>
    <v>en-US</v>
    <v>Map</v>
  </rv>
  <rv s="1">
    <fb>62.86</fb>
    <v>9</v>
  </rv>
  <rv s="2">
    <v>96</v>
    <v>7</v>
    <v>267</v>
    <v>7</v>
    <v>0</v>
    <v>Image of Meseșenii de Jos</v>
  </rv>
  <rv s="1">
    <fb>47.15</fb>
    <v>14</v>
  </rv>
  <rv s="0">
    <v>805306368</v>
    <v>Alexandru Bercean (Mayor)</v>
    <v>3ba1921c-e39c-d5f9-2c4d-86d482dd28c8</v>
    <v>en-US</v>
    <v>Generic</v>
  </rv>
  <rv s="4">
    <v>68</v>
  </rv>
  <rv s="3">
    <v>https://www.bing.com/search?q=mese%c8%99enii+de+jos+romania&amp;form=skydnc</v>
    <v>Learn more on Bing</v>
  </rv>
  <rv s="1">
    <fb>22.983333330000001</fb>
    <v>14</v>
  </rv>
  <rv s="1">
    <fb>3317</fb>
    <v>9</v>
  </rv>
  <rv s="8">
    <v>#VALUE!</v>
    <v>en-US</v>
    <v>9c53d01c-35ba-ea9a-9689-ff44a258300a</v>
    <v>536870912</v>
    <v>1</v>
    <v>268</v>
    <v>31</v>
    <v>Meseșenii de Jos</v>
    <v>5</v>
    <v>6</v>
    <v>Map</v>
    <v>7</v>
    <v>8</v>
    <v>538</v>
    <v>538</v>
    <v>896</v>
    <v>26</v>
    <v>Meseșenii de Jos is a commune located in Sălaj County, Crișana, Romania. It is composed of four villages: Aghireș, Fetindia, Meseșenii de Jos and Meseșenii de Sus. In Romanian, Meseșenii de Jos was traditionally known as Cățălul-unguresc. A 1925 ...</v>
    <v>897</v>
    <v>898</v>
    <v>900</v>
    <v>901</v>
    <v>902</v>
    <v>Meseșenii de Jos</v>
    <v>903</v>
    <v>7</v>
    <v>Meseșenii de Jos</v>
    <v>mdp/vdpid/7049292046154072065</v>
  </rv>
  <rv s="0">
    <v>536870912</v>
    <v>Aleșd</v>
    <v>58db0c8e-e6de-ab7e-c1b6-b10ffa80e9e7</v>
    <v>en-US</v>
    <v>Map</v>
  </rv>
  <rv s="1">
    <fb>71.95</fb>
    <v>9</v>
  </rv>
  <rv s="2">
    <v>97</v>
    <v>7</v>
    <v>269</v>
    <v>7</v>
    <v>0</v>
    <v>Image of Aleșd</v>
  </rv>
  <rv s="1">
    <fb>47.057222222222002</fb>
    <v>14</v>
  </rv>
  <rv s="0">
    <v>805306368</v>
    <v>Ioan Coloman Todoca (Mayor)</v>
    <v>1c2b9588-fa30-707e-f19b-394881c089e5</v>
    <v>en-US</v>
    <v>Generic</v>
  </rv>
  <rv s="4">
    <v>69</v>
  </rv>
  <rv s="3">
    <v>https://www.bing.com/search?q=ale%c8%99d+romania&amp;form=skydnc</v>
    <v>Learn more on Bing</v>
  </rv>
  <rv s="1">
    <fb>22.396944444443999</fb>
    <v>14</v>
  </rv>
  <rv s="1">
    <fb>9662</fb>
    <v>9</v>
  </rv>
  <rv s="8">
    <v>#VALUE!</v>
    <v>en-US</v>
    <v>58db0c8e-e6de-ab7e-c1b6-b10ffa80e9e7</v>
    <v>536870912</v>
    <v>1</v>
    <v>270</v>
    <v>31</v>
    <v>Aleșd</v>
    <v>5</v>
    <v>6</v>
    <v>Map</v>
    <v>7</v>
    <v>8</v>
    <v>46</v>
    <v>46</v>
    <v>906</v>
    <v>26</v>
    <v>Aleșd is a town in Bihor County, western Romania. It administers three villages: Pădurea Neagră, Peștiș, and Tinăud. The town is located in the east of the county, near the border with Cluj County, at the foot of the Apuseni Mountains. It lies ...</v>
    <v>907</v>
    <v>908</v>
    <v>910</v>
    <v>911</v>
    <v>912</v>
    <v>Aleșd</v>
    <v>913</v>
    <v>7</v>
    <v>Aleșd</v>
    <v>mdp/vdpid/7025310192686333953</v>
  </rv>
  <rv s="0">
    <v>536870912</v>
    <v>Bistrița Bârgăului</v>
    <v>a53dccd5-58dd-193d-659f-7359e749a283</v>
    <v>en-US</v>
    <v>Map</v>
  </rv>
  <rv s="1">
    <fb>186.4</fb>
    <v>9</v>
  </rv>
  <rv s="2">
    <v>98</v>
    <v>7</v>
    <v>271</v>
    <v>7</v>
    <v>0</v>
    <v>Image of Bistrița Bârgăului</v>
  </rv>
  <rv s="1">
    <fb>47.151308999999998</fb>
    <v>14</v>
  </rv>
  <rv s="0">
    <v>805306368</v>
    <v>Vasile Laba (Mayor)</v>
    <v>5e3bb9fc-1d4b-282d-95c9-c427853f8b96</v>
    <v>en-US</v>
    <v>Generic</v>
  </rv>
  <rv s="4">
    <v>70</v>
  </rv>
  <rv s="3">
    <v>https://www.bing.com/search?q=bistri%c8%9ba+b%c3%a2rg%c4%83ului&amp;form=skydnc</v>
    <v>Learn more on Bing</v>
  </rv>
  <rv s="1">
    <fb>24.866161000000002</fb>
    <v>14</v>
  </rv>
  <rv s="1">
    <fb>4193</fb>
    <v>9</v>
  </rv>
  <rv s="6">
    <v>#VALUE!</v>
    <v>en-US</v>
    <v>a53dccd5-58dd-193d-659f-7359e749a283</v>
    <v>536870912</v>
    <v>1</v>
    <v>272</v>
    <v>12</v>
    <v>Bistrița Bârgăului</v>
    <v>5</v>
    <v>6</v>
    <v>Map</v>
    <v>7</v>
    <v>8</v>
    <v>184</v>
    <v>916</v>
    <v>26</v>
    <v>Bistrița Bârgăului is a commune in Bistrița-Năsăud County, Transylvania, Romania. It is composed of two villages, Bistrița Bârgăului and Colibița. The commune is located in the eastern part of the county, on the border with Mureș and Suceava ...</v>
    <v>917</v>
    <v>918</v>
    <v>920</v>
    <v>921</v>
    <v>922</v>
    <v>Bistrița Bârgăului</v>
    <v>923</v>
    <v>7</v>
    <v>Bistrița Bârgăului</v>
    <v>mdp/vdpid/7049459139977674753</v>
  </rv>
  <rv s="0">
    <v>536870912</v>
    <v>Chișlaz</v>
    <v>1ffd1800-a566-8d16-7731-896b2544b4bc</v>
    <v>en-US</v>
    <v>Map</v>
  </rv>
  <rv s="1">
    <fb>72.05</fb>
    <v>9</v>
  </rv>
  <rv s="2">
    <v>99</v>
    <v>7</v>
    <v>273</v>
    <v>7</v>
    <v>0</v>
    <v>Image of Chișlaz</v>
  </rv>
  <rv s="1">
    <fb>47.277099999999997</fb>
    <v>14</v>
  </rv>
  <rv s="0">
    <v>805306368</v>
    <v>George Dorin Bézi (Mayor)</v>
    <v>ef26f0a3-a378-55b8-cc28-b7345ec0893c</v>
    <v>en-US</v>
    <v>Generic</v>
  </rv>
  <rv s="4">
    <v>71</v>
  </rv>
  <rv s="3">
    <v>https://www.bing.com/search?q=chi%c8%99laz&amp;form=skydnc</v>
    <v>Learn more on Bing</v>
  </rv>
  <rv s="1">
    <fb>22.2347</fb>
    <v>14</v>
  </rv>
  <rv s="1">
    <fb>3057</fb>
    <v>9</v>
  </rv>
  <rv s="8">
    <v>#VALUE!</v>
    <v>en-US</v>
    <v>1ffd1800-a566-8d16-7731-896b2544b4bc</v>
    <v>536870912</v>
    <v>1</v>
    <v>274</v>
    <v>31</v>
    <v>Chișlaz</v>
    <v>5</v>
    <v>6</v>
    <v>Map</v>
    <v>7</v>
    <v>8</v>
    <v>46</v>
    <v>46</v>
    <v>926</v>
    <v>26</v>
    <v>Chișlaz is a commune in Bihor County, Crișana, Romania with a population of 3,057 people as of 2021. It is composed of seven villages: Chiraleu, Chișlaz, Hăucești, Mișca, Poclușa de Barcău, Sărsig, and Sânlazăr.</v>
    <v>927</v>
    <v>928</v>
    <v>930</v>
    <v>931</v>
    <v>932</v>
    <v>Chișlaz</v>
    <v>933</v>
    <v>7</v>
    <v>Chișlaz</v>
    <v>mdp/vdpid/7025259754670784513</v>
  </rv>
  <rv s="0">
    <v>536870912</v>
    <v>Pănet</v>
    <v>6b515905-fa6e-ee36-92fd-194264e5b9cc</v>
    <v>en-US</v>
    <v>Map</v>
  </rv>
  <rv s="1">
    <fb>72.31</fb>
    <v>9</v>
  </rv>
  <rv s="2">
    <v>100</v>
    <v>7</v>
    <v>275</v>
    <v>7</v>
    <v>0</v>
    <v>Image of Pănet</v>
  </rv>
  <rv s="1">
    <fb>46.559913000000002</fb>
    <v>14</v>
  </rv>
  <rv s="0">
    <v>805306368</v>
    <v>Előd-Barna Bodó (Mayor)</v>
    <v>07841bec-3399-0fb9-e10e-24fd1a63b262</v>
    <v>en-US</v>
    <v>Generic</v>
  </rv>
  <rv s="4">
    <v>72</v>
  </rv>
  <rv s="3">
    <v>https://www.bing.com/search?q=p%c4%83net+romania&amp;form=skydnc</v>
    <v>Learn more on Bing</v>
  </rv>
  <rv s="1">
    <fb>24.435195</fb>
    <v>14</v>
  </rv>
  <rv s="1">
    <fb>5725</fb>
    <v>9</v>
  </rv>
  <rv s="6">
    <v>#VALUE!</v>
    <v>en-US</v>
    <v>6b515905-fa6e-ee36-92fd-194264e5b9cc</v>
    <v>536870912</v>
    <v>1</v>
    <v>276</v>
    <v>12</v>
    <v>Pănet</v>
    <v>5</v>
    <v>6</v>
    <v>Map</v>
    <v>7</v>
    <v>8</v>
    <v>434</v>
    <v>936</v>
    <v>26</v>
    <v>Pănet is a commune in Mureș County, Transylvania, Romania composed of five villages: Berghia, Cuieșd, Hărțău, Pănet, and Sântioana de Mureș {Csittszentiván). The commune has an absolute Székely Hungarian majority. According to the 2011 census, ...</v>
    <v>937</v>
    <v>938</v>
    <v>940</v>
    <v>941</v>
    <v>942</v>
    <v>Pănet</v>
    <v>943</v>
    <v>7</v>
    <v>Pănet</v>
    <v>mdp/vdpid/7049500551247036417</v>
  </rv>
  <rv s="0">
    <v>536870912</v>
    <v>Câmpia Turzii</v>
    <v>9ec324c1-1d43-a09a-e576-fc426c96702b</v>
    <v>en-US</v>
    <v>Map</v>
  </rv>
  <rv s="1">
    <fb>23.78</fb>
    <v>9</v>
  </rv>
  <rv s="2">
    <v>101</v>
    <v>7</v>
    <v>277</v>
    <v>7</v>
    <v>0</v>
    <v>Image of Câmpia Turzii</v>
  </rv>
  <rv s="1">
    <fb>46.544444444443997</fb>
    <v>14</v>
  </rv>
  <rv s="0">
    <v>805306368</v>
    <v>Dorin Lojigan (Mayor)</v>
    <v>4bb373a7-db15-1ec7-4b01-c710e24b1af9</v>
    <v>en-US</v>
    <v>Generic</v>
  </rv>
  <rv s="4">
    <v>73</v>
  </rv>
  <rv s="3">
    <v>https://www.bing.com/search?q=c%c3%a2mpia+turzii&amp;form=skydnc</v>
    <v>Learn more on Bing</v>
  </rv>
  <rv s="1">
    <fb>23.879166666667</fb>
    <v>14</v>
  </rv>
  <rv s="1">
    <fb>20590</fb>
    <v>9</v>
  </rv>
  <rv s="6">
    <v>#VALUE!</v>
    <v>en-US</v>
    <v>9ec324c1-1d43-a09a-e576-fc426c96702b</v>
    <v>536870912</v>
    <v>1</v>
    <v>278</v>
    <v>12</v>
    <v>Câmpia Turzii</v>
    <v>5</v>
    <v>6</v>
    <v>Map</v>
    <v>7</v>
    <v>8</v>
    <v>615</v>
    <v>946</v>
    <v>26</v>
    <v>Câmpia Turzii is a municipality in Cluj County, Transylvania, Romania, which was formed in 1925 by the union of two villages, Ghiriș and Sâncrai. It was declared a town in 1950 and a city in 1998. The city is located in the southeastern part of ...</v>
    <v>947</v>
    <v>948</v>
    <v>950</v>
    <v>951</v>
    <v>952</v>
    <v>Câmpia Turzii</v>
    <v>953</v>
    <v>7</v>
    <v>Câmpia Turzii</v>
    <v>mdp/vdpid/7049398560051167233</v>
  </rv>
  <rv s="0">
    <v>536870912</v>
    <v>Moșoaia</v>
    <v>8fbb9005-bbb9-2899-d5b9-0df346afe030</v>
    <v>en-US</v>
    <v>Map</v>
  </rv>
  <rv s="1">
    <fb>44.9</fb>
    <v>9</v>
  </rv>
  <rv s="2">
    <v>102</v>
    <v>7</v>
    <v>279</v>
    <v>7</v>
    <v>0</v>
    <v>Image of Moșoaia</v>
  </rv>
  <rv s="1">
    <fb>44.830126999999997</fb>
    <v>14</v>
  </rv>
  <rv s="0">
    <v>805306368</v>
    <v>Ion Necula (Mayor)</v>
    <v>dce8c038-ea5e-1436-4602-f19ff0d6650a</v>
    <v>en-US</v>
    <v>Generic</v>
  </rv>
  <rv s="4">
    <v>74</v>
  </rv>
  <rv s="3">
    <v>https://www.bing.com/search?q=mo%c8%99oaia+romania&amp;form=skydnc</v>
    <v>Learn more on Bing</v>
  </rv>
  <rv s="1">
    <fb>24.790945000000001</fb>
    <v>14</v>
  </rv>
  <rv s="1">
    <fb>7883</fb>
    <v>9</v>
  </rv>
  <rv s="6">
    <v>#VALUE!</v>
    <v>en-US</v>
    <v>8fbb9005-bbb9-2899-d5b9-0df346afe030</v>
    <v>536870912</v>
    <v>1</v>
    <v>280</v>
    <v>12</v>
    <v>Moșoaia</v>
    <v>5</v>
    <v>6</v>
    <v>Map</v>
    <v>7</v>
    <v>8</v>
    <v>18</v>
    <v>956</v>
    <v>26</v>
    <v>Moșoaia is a commune in Argeș County, Muntenia, Romania. It is composed of seven villages: Bătrâni, Ciocănăi, Dealu Viilor, Hințești, Lăzărești, Moșoaia, and Smeura.</v>
    <v>957</v>
    <v>958</v>
    <v>960</v>
    <v>961</v>
    <v>962</v>
    <v>Moșoaia</v>
    <v>963</v>
    <v>7</v>
    <v>Moșoaia</v>
    <v>mdp/vdpid/7241969273579503617</v>
  </rv>
  <rv s="0">
    <v>536870912</v>
    <v>Slobozia, Argeș</v>
    <v>83eea8bd-78c0-a26a-1afd-9a423f82f9d7</v>
    <v>en-US</v>
    <v>Map</v>
  </rv>
  <rv s="1">
    <fb>62.01</fb>
    <v>9</v>
  </rv>
  <rv s="2">
    <v>103</v>
    <v>7</v>
    <v>281</v>
    <v>7</v>
    <v>0</v>
    <v>Image of Slobozia, Argeș</v>
  </rv>
  <rv s="1">
    <fb>44.500683000000002</fb>
    <v>14</v>
  </rv>
  <rv s="1">
    <fb>25.190508000000001</fb>
    <v>14</v>
  </rv>
  <rv s="1">
    <fb>4209</fb>
    <v>9</v>
  </rv>
  <rv s="13">
    <v>#VALUE!</v>
    <v>en-US</v>
    <v>83eea8bd-78c0-a26a-1afd-9a423f82f9d7</v>
    <v>536870912</v>
    <v>1</v>
    <v>282</v>
    <v>193</v>
    <v>Slobozia, Argeș</v>
    <v>194</v>
    <v>6</v>
    <v>Map</v>
    <v>7</v>
    <v>8</v>
    <v>18</v>
    <v>966</v>
    <v>26</v>
    <v>Slobozia is a commune in Argeș County, Muntenia, Romania. It is composed of two villages, Nigrișoara and Slobozia.</v>
    <v>967</v>
    <v>968</v>
    <v>969</v>
    <v>Slobozia, Argeș</v>
    <v>970</v>
    <v>7</v>
    <v>Slobozia, Argeș</v>
    <v>mdp/vdpid/7241994591975505921</v>
  </rv>
  <rv s="0">
    <v>536870912</v>
    <v>Sânandrei</v>
    <v>c9879c24-4910-91e4-7f97-3507d1145bcd</v>
    <v>en-US</v>
    <v>Map</v>
  </rv>
  <rv s="1">
    <fb>92.4</fb>
    <v>9</v>
  </rv>
  <rv s="2">
    <v>104</v>
    <v>7</v>
    <v>283</v>
    <v>7</v>
    <v>0</v>
    <v>Image of Sânandrei</v>
  </rv>
  <rv s="1">
    <fb>45.872199999999999</fb>
    <v>14</v>
  </rv>
  <rv s="0">
    <v>805306368</v>
    <v>Claudiu-Florin Coman (Mayor)</v>
    <v>f4d6d878-3ac2-9f7a-41b8-bd41215a8d41</v>
    <v>en-US</v>
    <v>Generic</v>
  </rv>
  <rv s="4">
    <v>75</v>
  </rv>
  <rv s="3">
    <v>https://www.bing.com/search?q=s%c3%a2nandrei+romania&amp;form=skydnc</v>
    <v>Learn more on Bing</v>
  </rv>
  <rv s="1">
    <fb>21.186392000000001</fb>
    <v>14</v>
  </rv>
  <rv s="1">
    <fb>7137</fb>
    <v>9</v>
  </rv>
  <rv s="6">
    <v>#VALUE!</v>
    <v>en-US</v>
    <v>c9879c24-4910-91e4-7f97-3507d1145bcd</v>
    <v>536870912</v>
    <v>1</v>
    <v>284</v>
    <v>12</v>
    <v>Sânandrei</v>
    <v>5</v>
    <v>6</v>
    <v>Map</v>
    <v>7</v>
    <v>8</v>
    <v>269</v>
    <v>973</v>
    <v>26</v>
    <v>Sânandrei is a commune in Timiș County, Romania. It is composed of three villages: Carani, Covaci and Sânandrei. Sânandrei is located in western Romania, in the south of the Western Plain, also known as the Tisa Plain, 12 km from Timișoara. The ...</v>
    <v>974</v>
    <v>975</v>
    <v>977</v>
    <v>978</v>
    <v>979</v>
    <v>Sânandrei</v>
    <v>980</v>
    <v>7</v>
    <v>Sânandrei</v>
    <v>mdp/vdpid/7025496940112510977</v>
  </rv>
  <rv s="0">
    <v>536870912</v>
    <v>Săcălaz</v>
    <v>c5849ea7-1beb-892a-9dbb-2bf5df5ac807</v>
    <v>en-US</v>
    <v>Map</v>
  </rv>
  <rv s="1">
    <fb>119.49</fb>
    <v>9</v>
  </rv>
  <rv s="2">
    <v>105</v>
    <v>7</v>
    <v>285</v>
    <v>7</v>
    <v>0</v>
    <v>Image of Săcălaz</v>
  </rv>
  <rv s="1">
    <fb>45.782207</fb>
    <v>14</v>
  </rv>
  <rv s="0">
    <v>805306368</v>
    <v>Dumitru Boboi (Mayor)</v>
    <v>02324718-720c-a182-b415-f39ca375862e</v>
    <v>en-US</v>
    <v>Generic</v>
  </rv>
  <rv s="4">
    <v>76</v>
  </rv>
  <rv s="3">
    <v>https://www.bing.com/search?q=s%c4%83c%c4%83laz+romania&amp;form=skydnc</v>
    <v>Learn more on Bing</v>
  </rv>
  <rv s="1">
    <fb>20.984446599999998</fb>
    <v>14</v>
  </rv>
  <rv s="1">
    <fb>9223</fb>
    <v>9</v>
  </rv>
  <rv s="6">
    <v>#VALUE!</v>
    <v>en-US</v>
    <v>c5849ea7-1beb-892a-9dbb-2bf5df5ac807</v>
    <v>536870912</v>
    <v>1</v>
    <v>286</v>
    <v>12</v>
    <v>Săcălaz</v>
    <v>5</v>
    <v>6</v>
    <v>Map</v>
    <v>7</v>
    <v>8</v>
    <v>269</v>
    <v>983</v>
    <v>26</v>
    <v>Săcălaz is a commune in Timiș County, Romania. It is composed of three villages: Beregsău Mare, Beregsău Mic and Săcălaz. Săcălaz is located 10 km west of Timișoara and covers an area of 136.1 km². The relief is flat. The Timiș River is the most ...</v>
    <v>984</v>
    <v>985</v>
    <v>987</v>
    <v>988</v>
    <v>989</v>
    <v>Săcălaz</v>
    <v>990</v>
    <v>7</v>
    <v>Săcălaz</v>
    <v>mdp/vdpid/7025497871650652161</v>
  </rv>
  <rv s="0">
    <v>536870912</v>
    <v>Ghimbav</v>
    <v>711dbafe-b127-c653-0fc7-a1e5d2fdf1f9</v>
    <v>en-US</v>
    <v>Map</v>
  </rv>
  <rv s="1">
    <fb>28.3</fb>
    <v>9</v>
  </rv>
  <rv s="2">
    <v>106</v>
    <v>7</v>
    <v>287</v>
    <v>7</v>
    <v>0</v>
    <v>Image of Ghimbav</v>
  </rv>
  <rv s="1">
    <fb>45.662777777777997</fb>
    <v>14</v>
  </rv>
  <rv s="0">
    <v>805306368</v>
    <v>Ionel Fliundra (Mayor)</v>
    <v>df3dbebc-4184-935e-a74a-514bbb1c936b</v>
    <v>en-US</v>
    <v>Generic</v>
  </rv>
  <rv s="4">
    <v>77</v>
  </rv>
  <rv s="3">
    <v>https://www.bing.com/search?q=ghimbav+romania&amp;form=skydnc</v>
    <v>Learn more on Bing</v>
  </rv>
  <rv s="1">
    <fb>25.506111111111</fb>
    <v>14</v>
  </rv>
  <rv s="1">
    <fb>7208</fb>
    <v>9</v>
  </rv>
  <rv s="6">
    <v>#VALUE!</v>
    <v>en-US</v>
    <v>711dbafe-b127-c653-0fc7-a1e5d2fdf1f9</v>
    <v>536870912</v>
    <v>1</v>
    <v>288</v>
    <v>12</v>
    <v>Ghimbav</v>
    <v>5</v>
    <v>6</v>
    <v>Map</v>
    <v>7</v>
    <v>8</v>
    <v>158</v>
    <v>993</v>
    <v>26</v>
    <v>Ghimbav is a town in Brașov County, Transylvania, central Romania. The town is situated in the southern part of the Transylvanian Plateau, at an altitude of 559 m, on the banks of the river Ghimbășel. It is located in the Burzenland ethnographic ...</v>
    <v>994</v>
    <v>995</v>
    <v>997</v>
    <v>998</v>
    <v>999</v>
    <v>Ghimbav</v>
    <v>1000</v>
    <v>7</v>
    <v>Ghimbav</v>
    <v>mdp/vdpid/7050176442851655681</v>
  </rv>
  <rv s="0">
    <v>536870912</v>
    <v>Chișineu-Criș</v>
    <v>80fe4a05-4a86-2348-f144-342dc9e7b631</v>
    <v>en-US</v>
    <v>Map</v>
  </rv>
  <rv s="1">
    <fb>119</fb>
    <v>9</v>
  </rv>
  <rv s="2">
    <v>107</v>
    <v>7</v>
    <v>289</v>
    <v>7</v>
    <v>0</v>
    <v>Image of Chișineu-Criș</v>
  </rv>
  <rv s="1">
    <fb>46.522500000000001</fb>
    <v>14</v>
  </rv>
  <rv s="0">
    <v>805306368</v>
    <v>Ovidiu-Ioan Guleș (Mayor)</v>
    <v>0a9edf16-7c90-fb01-73e4-2d627f28a395</v>
    <v>en-US</v>
    <v>Generic</v>
  </rv>
  <rv s="4">
    <v>78</v>
  </rv>
  <rv s="3">
    <v>https://www.bing.com/search?q=chi%c8%99ineu-cri%c8%99+romania&amp;form=skydnc</v>
    <v>Learn more on Bing</v>
  </rv>
  <rv s="1">
    <fb>21.515833333332999</fb>
    <v>14</v>
  </rv>
  <rv s="1">
    <fb>7212</fb>
    <v>9</v>
  </rv>
  <rv s="6">
    <v>#VALUE!</v>
    <v>en-US</v>
    <v>80fe4a05-4a86-2348-f144-342dc9e7b631</v>
    <v>536870912</v>
    <v>1</v>
    <v>290</v>
    <v>12</v>
    <v>Chișineu-Criș</v>
    <v>5</v>
    <v>6</v>
    <v>Map</v>
    <v>7</v>
    <v>8</v>
    <v>120</v>
    <v>1003</v>
    <v>26</v>
    <v>Chișineu-Criș is a town in Arad County, Crișana, Romania. The town is situated on the north-western side of the county, at a 43 km distance from Arad, the county seat. The administrative territory stretches over 119 km² on the Crișul Alb ...</v>
    <v>1004</v>
    <v>1005</v>
    <v>1007</v>
    <v>1008</v>
    <v>1009</v>
    <v>Chișineu-Criș</v>
    <v>1010</v>
    <v>7</v>
    <v>Chișineu-Criș</v>
    <v>mdp/vdpid/7025294793366306817</v>
  </rv>
  <rv s="0">
    <v>536870912</v>
    <v>Năsăud</v>
    <v>11491ac5-07ed-c1ce-5e47-83b8364737e3</v>
    <v>en-US</v>
    <v>Map</v>
  </rv>
  <rv s="1">
    <fb>43.25</fb>
    <v>9</v>
  </rv>
  <rv s="2">
    <v>108</v>
    <v>7</v>
    <v>291</v>
    <v>7</v>
    <v>0</v>
    <v>Image of Năsăud</v>
  </rv>
  <rv s="1">
    <fb>47.283333333332997</fb>
    <v>14</v>
  </rv>
  <rv s="0">
    <v>805306368</v>
    <v>Dorin-Nicolae Vlașin (Mayor)</v>
    <v>cd595fd0-f8c3-e7ab-7ee2-3c4ddb49009b</v>
    <v>en-US</v>
    <v>Generic</v>
  </rv>
  <rv s="4">
    <v>79</v>
  </rv>
  <rv s="3">
    <v>https://www.bing.com/search?q=n%c4%83s%c4%83ud+romania&amp;form=skydnc</v>
    <v>Learn more on Bing</v>
  </rv>
  <rv s="1">
    <fb>24.406666666667</fb>
    <v>14</v>
  </rv>
  <rv s="1">
    <fb>10215</fb>
    <v>9</v>
  </rv>
  <rv s="6">
    <v>#VALUE!</v>
    <v>en-US</v>
    <v>11491ac5-07ed-c1ce-5e47-83b8364737e3</v>
    <v>536870912</v>
    <v>1</v>
    <v>292</v>
    <v>12</v>
    <v>Năsăud</v>
    <v>5</v>
    <v>6</v>
    <v>Map</v>
    <v>7</v>
    <v>8</v>
    <v>184</v>
    <v>1013</v>
    <v>26</v>
    <v>Năsăud is a town in Bistrița-Năsăud County in Romania located in the historical region of Transylvania. The town administers two villages, Liviu Rebreanu and Lușca. The town lies on the Transylvanian Plateau, on the right bank of the Someșul ...</v>
    <v>1014</v>
    <v>1015</v>
    <v>1017</v>
    <v>1018</v>
    <v>1019</v>
    <v>Năsăud</v>
    <v>1020</v>
    <v>7</v>
    <v>Năsăud</v>
    <v>mdp/vdpid/7049428492080906241</v>
  </rv>
  <rv s="0">
    <v>536870912</v>
    <v>Zam, Hunedoara</v>
    <v>f973566e-e4f3-59e8-cf4a-5f6b577b35c9</v>
    <v>en-US</v>
    <v>Map</v>
  </rv>
  <rv s="1">
    <fb>161.88</fb>
    <v>9</v>
  </rv>
  <rv s="2">
    <v>109</v>
    <v>7</v>
    <v>293</v>
    <v>7</v>
    <v>0</v>
    <v>Image of Zam, Hunedoara</v>
  </rv>
  <rv s="1">
    <fb>46</fb>
    <v>14</v>
  </rv>
  <rv s="0">
    <v>805306368</v>
    <v>Sorin Ionel Nistor (Mayor)</v>
    <v>252fb5ce-fc2a-cc4c-afef-01a3522e28d7</v>
    <v>en-US</v>
    <v>Generic</v>
  </rv>
  <rv s="4">
    <v>80</v>
  </rv>
  <rv s="3">
    <v>https://www.bing.com/search?q=zam%2c+hunedoara&amp;form=skydnc</v>
    <v>Learn more on Bing</v>
  </rv>
  <rv s="1">
    <fb>22.4</fb>
    <v>14</v>
  </rv>
  <rv s="1">
    <fb>1585</fb>
    <v>9</v>
  </rv>
  <rv s="6">
    <v>#VALUE!</v>
    <v>en-US</v>
    <v>f973566e-e4f3-59e8-cf4a-5f6b577b35c9</v>
    <v>536870912</v>
    <v>1</v>
    <v>294</v>
    <v>12</v>
    <v>Zam, Hunedoara</v>
    <v>5</v>
    <v>6</v>
    <v>Map</v>
    <v>7</v>
    <v>8</v>
    <v>391</v>
    <v>1023</v>
    <v>26</v>
    <v>Zam is a commune in Hunedoara County, Transylvania, Romania. It is composed of thirteen villages: Almaș-Săliște, Almășel, Brășeu, Cerbia, Deleni, Godinești, Micănești, Pogănești, Pojoga, Sălciva, Tămășești, Valea, and Zam.</v>
    <v>1024</v>
    <v>1025</v>
    <v>1027</v>
    <v>1028</v>
    <v>1029</v>
    <v>Zam, Hunedoara</v>
    <v>1030</v>
    <v>7</v>
    <v>Zam, Hunedoara</v>
    <v>mdp/vdpid/7025539139609034753</v>
  </rv>
  <rv s="0">
    <v>536870912</v>
    <v>Ghiroda</v>
    <v>bcd7501d-0766-bddf-adc6-e52497ae8e21</v>
    <v>en-US</v>
    <v>Map</v>
  </rv>
  <rv s="1">
    <fb>34.130000000000003</fb>
    <v>9</v>
  </rv>
  <rv s="2">
    <v>110</v>
    <v>7</v>
    <v>295</v>
    <v>7</v>
    <v>0</v>
    <v>Image of Ghiroda</v>
  </rv>
  <rv s="1">
    <fb>45.791117</fb>
    <v>14</v>
  </rv>
  <rv s="0">
    <v>805306368</v>
    <v>Ionuț Stănușoiu (Mayor)</v>
    <v>618f51b2-ed40-bea6-8afc-28f1778778bc</v>
    <v>en-US</v>
    <v>Generic</v>
  </rv>
  <rv s="4">
    <v>81</v>
  </rv>
  <rv s="3">
    <v>https://www.bing.com/search?q=ghiroda+romania&amp;form=skydnc</v>
    <v>Learn more on Bing</v>
  </rv>
  <rv s="1">
    <fb>21.322704999999999</fb>
    <v>14</v>
  </rv>
  <rv s="1">
    <fb>8866</fb>
    <v>9</v>
  </rv>
  <rv s="6">
    <v>#VALUE!</v>
    <v>en-US</v>
    <v>bcd7501d-0766-bddf-adc6-e52497ae8e21</v>
    <v>536870912</v>
    <v>1</v>
    <v>296</v>
    <v>12</v>
    <v>Ghiroda</v>
    <v>5</v>
    <v>6</v>
    <v>Map</v>
    <v>7</v>
    <v>8</v>
    <v>269</v>
    <v>1033</v>
    <v>26</v>
    <v>Ghiroda is a commune in Timiș County, Romania. It is composed of two villages, Ghiroda and Giarmata-Vii. It is located near Timișoara, to the east. As a result of the development of the city, the commune shows characteristics of being a suburb ...</v>
    <v>1034</v>
    <v>1035</v>
    <v>1037</v>
    <v>1038</v>
    <v>1039</v>
    <v>Ghiroda</v>
    <v>1040</v>
    <v>7</v>
    <v>Ghiroda</v>
    <v>mdp/vdpid/7025500031952093185</v>
  </rv>
  <rv s="0">
    <v>536870912</v>
    <v>Crasna, Sălaj</v>
    <v>228dee8d-fafd-f8a0-c510-d0927307dba0</v>
    <v>en-US</v>
    <v>Map</v>
  </rv>
  <rv s="1">
    <fb>67.12</fb>
    <v>9</v>
  </rv>
  <rv s="2">
    <v>111</v>
    <v>7</v>
    <v>297</v>
    <v>7</v>
    <v>0</v>
    <v>Image of Crasna, Sălaj</v>
  </rv>
  <rv s="1">
    <fb>47.162748611111098</fb>
    <v>14</v>
  </rv>
  <rv s="0">
    <v>805306368</v>
    <v>István Kovács (Mayor)</v>
    <v>86eef143-a376-ceeb-d818-6bca60c1cac2</v>
    <v>en-US</v>
    <v>Generic</v>
  </rv>
  <rv s="4">
    <v>82</v>
  </rv>
  <rv s="1">
    <fb>22.870700833333299</fb>
    <v>14</v>
  </rv>
  <rv s="1">
    <fb>6024</fb>
    <v>9</v>
  </rv>
  <rv s="17">
    <v>#VALUE!</v>
    <v>en-US</v>
    <v>228dee8d-fafd-f8a0-c510-d0927307dba0</v>
    <v>536870912</v>
    <v>1</v>
    <v>298</v>
    <v>299</v>
    <v>Crasna, Sălaj</v>
    <v>194</v>
    <v>6</v>
    <v>Map</v>
    <v>7</v>
    <v>8</v>
    <v>538</v>
    <v>538</v>
    <v>1043</v>
    <v>26</v>
    <v>Crasna or Kraszna is a commune in Sălaj County, Crișana, Romania. It lies 14 km northwest of Zalău and 11 km southeast of Șimleu Silvaniei, on the river Crasna. It is composed of four villages: Crasna, Huseni, Marin and Ratin.</v>
    <v>1044</v>
    <v>1045</v>
    <v>1047</v>
    <v>1048</v>
    <v>Crasna, Sălaj</v>
    <v>1049</v>
    <v>7</v>
    <v>Crasna, Sălaj</v>
    <v>mdp/vdpid/7049291538106417153</v>
  </rv>
  <rv s="0">
    <v>536870912</v>
    <v>Bughea de Sus</v>
    <v>32f67c08-d8a7-21c3-8ac8-6a9b76f2b1e5</v>
    <v>en-US</v>
    <v>Map</v>
  </rv>
  <rv s="1">
    <fb>33.159999999999997</fb>
    <v>9</v>
  </rv>
  <rv s="2">
    <v>112</v>
    <v>7</v>
    <v>300</v>
    <v>7</v>
    <v>0</v>
    <v>Image of Bughea de Sus</v>
  </rv>
  <rv s="1">
    <fb>45.351593999999999</fb>
    <v>14</v>
  </rv>
  <rv s="0">
    <v>805306368</v>
    <v>Nicolae Tarbă (Mayor)</v>
    <v>cec7c032-153c-c83a-ab46-d7c15387d4ea</v>
    <v>en-US</v>
    <v>Generic</v>
  </rv>
  <rv s="4">
    <v>83</v>
  </rv>
  <rv s="3">
    <v>https://www.bing.com/search?q=bughea+de+sus&amp;form=skydnc</v>
    <v>Learn more on Bing</v>
  </rv>
  <rv s="1">
    <fb>25.027190999999998</fb>
    <v>14</v>
  </rv>
  <rv s="1">
    <fb>2966</fb>
    <v>9</v>
  </rv>
  <rv s="6">
    <v>#VALUE!</v>
    <v>en-US</v>
    <v>32f67c08-d8a7-21c3-8ac8-6a9b76f2b1e5</v>
    <v>536870912</v>
    <v>1</v>
    <v>301</v>
    <v>12</v>
    <v>Bughea de Sus</v>
    <v>5</v>
    <v>6</v>
    <v>Map</v>
    <v>7</v>
    <v>8</v>
    <v>18</v>
    <v>1052</v>
    <v>26</v>
    <v>Bughea de Sus is a commune in Argeș County, Muntenia, Romania. It is composed of a single village, Bughea de Sus. The village was part of Albeștii de Muscel Commune, as well as being the commune center, until 2004, when it was split off.</v>
    <v>1053</v>
    <v>1054</v>
    <v>1056</v>
    <v>1057</v>
    <v>1058</v>
    <v>Bughea de Sus</v>
    <v>1059</v>
    <v>7</v>
    <v>Bughea de Sus</v>
    <v>mdp/vdpid/7049814324847575041</v>
  </rv>
  <rv s="0">
    <v>536870912</v>
    <v>Acățari</v>
    <v>f20707d8-7e01-906c-cc67-2c070dac0bf3</v>
    <v>en-US</v>
    <v>Map</v>
  </rv>
  <rv s="1">
    <fb>74</fb>
    <v>9</v>
  </rv>
  <rv s="2">
    <v>113</v>
    <v>7</v>
    <v>302</v>
    <v>7</v>
    <v>0</v>
    <v>Image of Acățari</v>
  </rv>
  <rv s="1">
    <fb>46.448661700000002</fb>
    <v>14</v>
  </rv>
  <rv s="0">
    <v>805306368</v>
    <v>Csaba Osváth (Mayor)</v>
    <v>1b791279-bac4-8639-af90-5f4641f9a6fe</v>
    <v>en-US</v>
    <v>Generic</v>
  </rv>
  <rv s="4">
    <v>84</v>
  </rv>
  <rv s="3">
    <v>https://www.bing.com/search?q=ac%c4%83%c8%9bari+romania&amp;form=skydnc</v>
    <v>Learn more on Bing</v>
  </rv>
  <rv s="1">
    <fb>24.6445826</fb>
    <v>14</v>
  </rv>
  <rv s="1">
    <fb>5170</fb>
    <v>9</v>
  </rv>
  <rv s="6">
    <v>#VALUE!</v>
    <v>en-US</v>
    <v>f20707d8-7e01-906c-cc67-2c070dac0bf3</v>
    <v>536870912</v>
    <v>1</v>
    <v>303</v>
    <v>12</v>
    <v>Acățari</v>
    <v>5</v>
    <v>6</v>
    <v>Map</v>
    <v>7</v>
    <v>8</v>
    <v>434</v>
    <v>1062</v>
    <v>26</v>
    <v>Acățari is a commune in Mureș County, Transylvania, Romania composed of nine villages: Acățari, Corbești, Găiești, Gruișor, Murgești, Roteni, Stejeriș, Suveica, and Vălenii. The commune has an absolute Székely Hungarian majority. According to ...</v>
    <v>1063</v>
    <v>1064</v>
    <v>1066</v>
    <v>1067</v>
    <v>1068</v>
    <v>Acățari</v>
    <v>1069</v>
    <v>7</v>
    <v>Acățari</v>
    <v>mdp/vdpid/7049528763427586049</v>
  </rv>
  <rv s="0">
    <v>536870912</v>
    <v>Șomcuta Mare</v>
    <v>250f3e47-9994-38c1-cf7f-1addd41c5bde</v>
    <v>en-US</v>
    <v>Map</v>
  </rv>
  <rv s="1">
    <fb>120.4</fb>
    <v>9</v>
  </rv>
  <rv s="2">
    <v>114</v>
    <v>7</v>
    <v>304</v>
    <v>7</v>
    <v>0</v>
    <v>Image of Șomcuta Mare</v>
  </rv>
  <rv s="1">
    <fb>47.516666666667</fb>
    <v>14</v>
  </rv>
  <rv s="0">
    <v>805306368</v>
    <v>Gheorghe-Ioan Buda (Mayor)</v>
    <v>d8c0cbca-b5fd-1f13-0c4d-100f5ea8961c</v>
    <v>en-US</v>
    <v>Generic</v>
  </rv>
  <rv s="4">
    <v>85</v>
  </rv>
  <rv s="3">
    <v>https://www.bing.com/search?q=%c8%99omcuta+mare+romania&amp;form=skydnc</v>
    <v>Learn more on Bing</v>
  </rv>
  <rv s="1">
    <fb>23.466666666666999</fb>
    <v>14</v>
  </rv>
  <rv s="1">
    <fb>7703</fb>
    <v>9</v>
  </rv>
  <rv s="6">
    <v>#VALUE!</v>
    <v>en-US</v>
    <v>250f3e47-9994-38c1-cf7f-1addd41c5bde</v>
    <v>536870912</v>
    <v>1</v>
    <v>305</v>
    <v>12</v>
    <v>Șomcuta Mare</v>
    <v>5</v>
    <v>6</v>
    <v>Map</v>
    <v>7</v>
    <v>8</v>
    <v>236</v>
    <v>1072</v>
    <v>26</v>
    <v>Șomcuta Mare is a town in Maramureș County, Romania. The town administers seven villages: Buciumi, Buteasa, Ciolt, Codru Butesii, Finteușu Mare, Hovrila, and Vălenii Șomcutei. It was declared a town in 2004.</v>
    <v>1073</v>
    <v>1074</v>
    <v>1076</v>
    <v>1077</v>
    <v>1078</v>
    <v>Șomcuta Mare</v>
    <v>1079</v>
    <v>7</v>
    <v>Șomcuta Mare</v>
    <v>mdp/vdpid/7049321086860656641</v>
  </rv>
  <rv s="0">
    <v>536870912</v>
    <v>Livezi, Vâlcea</v>
    <v>7cb27257-0c56-a3fb-8508-3aa8395dbf3a</v>
    <v>en-US</v>
    <v>Map</v>
  </rv>
  <rv s="2">
    <v>115</v>
    <v>7</v>
    <v>306</v>
    <v>7</v>
    <v>0</v>
    <v>Image of Livezi, Vâlcea</v>
  </rv>
  <rv s="1">
    <fb>44.85</fb>
    <v>14</v>
  </rv>
  <rv s="1">
    <fb>2014</fb>
    <v>9</v>
  </rv>
  <rv s="13">
    <v>#VALUE!</v>
    <v>en-US</v>
    <v>7cb27257-0c56-a3fb-8508-3aa8395dbf3a</v>
    <v>536870912</v>
    <v>1</v>
    <v>307</v>
    <v>193</v>
    <v>Livezi, Vâlcea</v>
    <v>194</v>
    <v>6</v>
    <v>Map</v>
    <v>7</v>
    <v>8</v>
    <v>495</v>
    <v>762</v>
    <v>26</v>
    <v>Livezi is a commune located in Vâlcea County, Oltenia, Romania. It is composed of seven villages: Livezi, Părăușani, Pârâienii de Jos, Pârâienii de Mijloc, Pârâienii de Sus, Pleșoiu and Tina.</v>
    <v>1082</v>
    <v>1083</v>
    <v>343</v>
    <v>Livezi, Vâlcea</v>
    <v>1084</v>
    <v>7</v>
    <v>Livezi, Vâlcea</v>
    <v>mdp/vdpid/7241836391066238977</v>
  </rv>
  <rv s="0">
    <v>536870912</v>
    <v>Ocna Șugatag</v>
    <v>15fee094-002e-9f01-5047-d5fe4971bb21</v>
    <v>en-US</v>
    <v>Map</v>
  </rv>
  <rv s="1">
    <fb>85.21</fb>
    <v>9</v>
  </rv>
  <rv s="2">
    <v>116</v>
    <v>7</v>
    <v>308</v>
    <v>7</v>
    <v>0</v>
    <v>Image of Ocna Șugatag</v>
  </rv>
  <rv s="1">
    <fb>47.737386999999998</fb>
    <v>14</v>
  </rv>
  <rv s="0">
    <v>805306368</v>
    <v>Ioan Oanea (Mayor)</v>
    <v>cf093309-c460-f750-98fe-ec539a8a9d5c</v>
    <v>en-US</v>
    <v>Generic</v>
  </rv>
  <rv s="4">
    <v>86</v>
  </rv>
  <rv s="3">
    <v>https://www.bing.com/search?q=ocna+%c8%99ugatag+romania&amp;form=skydnc</v>
    <v>Learn more on Bing</v>
  </rv>
  <rv s="1">
    <fb>23.883268000000001</fb>
    <v>14</v>
  </rv>
  <rv s="1">
    <fb>3617</fb>
    <v>9</v>
  </rv>
  <rv s="6">
    <v>#VALUE!</v>
    <v>en-US</v>
    <v>15fee094-002e-9f01-5047-d5fe4971bb21</v>
    <v>536870912</v>
    <v>1</v>
    <v>309</v>
    <v>12</v>
    <v>Ocna Șugatag</v>
    <v>5</v>
    <v>6</v>
    <v>Map</v>
    <v>7</v>
    <v>8</v>
    <v>236</v>
    <v>1087</v>
    <v>26</v>
    <v>Ocna Șugatag is a commune in Maramureș County, Maramureș, Romania. It is composed of four villages: Breb, Hoteni, Ocna Șugatag, and Sat-Șugatag. The commune is located in the central-north part of Maramureș County, 19 km south of Sighetu ...</v>
    <v>1088</v>
    <v>1089</v>
    <v>1091</v>
    <v>1092</v>
    <v>1093</v>
    <v>Ocna Șugatag</v>
    <v>1094</v>
    <v>7</v>
    <v>Ocna Șugatag</v>
    <v>mdp/vdpid/7049400118990077953</v>
  </rv>
  <rv s="0">
    <v>536870912</v>
    <v>Românași</v>
    <v>acd27df8-1d12-8246-f9c5-3ce4bfeddf5d</v>
    <v>en-US</v>
    <v>Map</v>
  </rv>
  <rv s="1">
    <fb>66.36</fb>
    <v>9</v>
  </rv>
  <rv s="2">
    <v>117</v>
    <v>7</v>
    <v>310</v>
    <v>7</v>
    <v>0</v>
    <v>Image of Românași</v>
  </rv>
  <rv s="1">
    <fb>47.104895999999997</fb>
    <v>14</v>
  </rv>
  <rv s="0">
    <v>805306368</v>
    <v>Ioan Buda (Mayor)</v>
    <v>50ef0a28-3a15-0003-a51a-a21d89fe6bf7</v>
    <v>en-US</v>
    <v>Generic</v>
  </rv>
  <rv s="4">
    <v>87</v>
  </rv>
  <rv s="3">
    <v>https://www.bing.com/search?q=rom%c3%a2na%c8%99i&amp;form=skydnc</v>
    <v>Learn more on Bing</v>
  </rv>
  <rv s="1">
    <fb>23.170176000000001</fb>
    <v>14</v>
  </rv>
  <rv s="1">
    <fb>3118</fb>
    <v>9</v>
  </rv>
  <rv s="8">
    <v>#VALUE!</v>
    <v>en-US</v>
    <v>acd27df8-1d12-8246-f9c5-3ce4bfeddf5d</v>
    <v>536870912</v>
    <v>1</v>
    <v>311</v>
    <v>31</v>
    <v>Românași</v>
    <v>5</v>
    <v>6</v>
    <v>Map</v>
    <v>7</v>
    <v>8</v>
    <v>538</v>
    <v>538</v>
    <v>1097</v>
    <v>26</v>
    <v>Românași is a commune located in Sălaj County, Crișana, Romania. It is composed of six villages: Chichișa, Ciumărna, Păușa, Poarta Sălajului, Românași, and Romita.</v>
    <v>1098</v>
    <v>1099</v>
    <v>1101</v>
    <v>1102</v>
    <v>1103</v>
    <v>Românași</v>
    <v>1104</v>
    <v>7</v>
    <v>Românași</v>
    <v>mdp/vdpid/7049341394355224577</v>
  </rv>
  <rv s="0">
    <v>536870912</v>
    <v>Marghita</v>
    <v>dd2c8c44-6e4e-944b-cd31-43a3e1620bc7</v>
    <v>en-US</v>
    <v>Map</v>
  </rv>
  <rv s="1">
    <fb>83.73</fb>
    <v>9</v>
  </rv>
  <rv s="2">
    <v>118</v>
    <v>7</v>
    <v>312</v>
    <v>7</v>
    <v>0</v>
    <v>Image of Marghita</v>
  </rv>
  <rv s="1">
    <fb>47.35</fb>
    <v>14</v>
  </rv>
  <rv s="0">
    <v>805306368</v>
    <v>Zsolt Demián (Mayor)</v>
    <v>91e278aa-838a-0ba1-6f2c-fa22ccc4e415</v>
    <v>en-US</v>
    <v>Generic</v>
  </rv>
  <rv s="4">
    <v>88</v>
  </rv>
  <rv s="3">
    <v>https://www.bing.com/search?q=marghita+romania&amp;form=skydnc</v>
    <v>Learn more on Bing</v>
  </rv>
  <rv s="1">
    <fb>22.333333333333002</fb>
    <v>14</v>
  </rv>
  <rv s="1">
    <fb>13573</fb>
    <v>9</v>
  </rv>
  <rv s="8">
    <v>#VALUE!</v>
    <v>en-US</v>
    <v>dd2c8c44-6e4e-944b-cd31-43a3e1620bc7</v>
    <v>536870912</v>
    <v>1</v>
    <v>313</v>
    <v>31</v>
    <v>Marghita</v>
    <v>5</v>
    <v>6</v>
    <v>Map</v>
    <v>7</v>
    <v>8</v>
    <v>46</v>
    <v>46</v>
    <v>1107</v>
    <v>26</v>
    <v>Marghita is a city in Bihor County, Romania. It administers two villages, Cheț and Ghenetea. Marghita is located in the northern part of the county, 57 km north-east of the county seat, Oradea. It lies on the banks of the river Barcău, extending ...</v>
    <v>1108</v>
    <v>1109</v>
    <v>1111</v>
    <v>1112</v>
    <v>1113</v>
    <v>Marghita</v>
    <v>1114</v>
    <v>7</v>
    <v>Marghita</v>
    <v>mdp/vdpid/7025258094967914497</v>
  </rv>
  <rv s="0">
    <v>536870912</v>
    <v>Aita Mare</v>
    <v>0f593b0d-42ff-8eae-9a80-5a216234f670</v>
    <v>en-US</v>
    <v>Map</v>
  </rv>
  <rv s="1">
    <fb>67.97</fb>
    <v>9</v>
  </rv>
  <rv s="2">
    <v>119</v>
    <v>7</v>
    <v>314</v>
    <v>7</v>
    <v>0</v>
    <v>Image of Aita Mare</v>
  </rv>
  <rv s="1">
    <fb>45.971443100000002</fb>
    <v>14</v>
  </rv>
  <rv s="0">
    <v>805306368</v>
    <v>Edömér Bihari (Mayor)</v>
    <v>77dc35ef-c0f0-0e69-f7f2-9fa3c600db67</v>
    <v>en-US</v>
    <v>Generic</v>
  </rv>
  <rv s="4">
    <v>89</v>
  </rv>
  <rv s="3">
    <v>https://www.bing.com/search?q=aita+mare+romania&amp;form=skydnc</v>
    <v>Learn more on Bing</v>
  </rv>
  <rv s="1">
    <fb>25.646007900000001</fb>
    <v>14</v>
  </rv>
  <rv s="1">
    <fb>1626</fb>
    <v>9</v>
  </rv>
  <rv s="6">
    <v>#VALUE!</v>
    <v>en-US</v>
    <v>0f593b0d-42ff-8eae-9a80-5a216234f670</v>
    <v>536870912</v>
    <v>1</v>
    <v>315</v>
    <v>12</v>
    <v>Aita Mare</v>
    <v>5</v>
    <v>6</v>
    <v>Map</v>
    <v>7</v>
    <v>8</v>
    <v>305</v>
    <v>1117</v>
    <v>26</v>
    <v>Aita Mare is a commune in Covasna County, Transylvania, Romania, composed of two villages: Aita Mare and Aita Medie. The commune is located in the western part of the county, on the border with Brașov County. It formed part of the Székely Land ...</v>
    <v>1118</v>
    <v>1119</v>
    <v>1121</v>
    <v>1122</v>
    <v>1123</v>
    <v>Aita Mare</v>
    <v>1124</v>
    <v>7</v>
    <v>Aita Mare</v>
    <v>mdp/vdpid/7050124803956539393</v>
  </rv>
  <rv s="0">
    <v>536870912</v>
    <v>Becicherecu Mic</v>
    <v>3bfaf89b-9059-32cb-87e9-c1f365da0d1f</v>
    <v>en-US</v>
    <v>Map</v>
  </rv>
  <rv s="1">
    <fb>61.42</fb>
    <v>9</v>
  </rv>
  <rv s="2">
    <v>120</v>
    <v>7</v>
    <v>316</v>
    <v>7</v>
    <v>0</v>
    <v>Image of Becicherecu Mic</v>
  </rv>
  <rv s="1">
    <fb>45.834166666667002</fb>
    <v>14</v>
  </rv>
  <rv s="0">
    <v>805306368</v>
    <v>Raimond-Ovidiu Rusu (Mayor)</v>
    <v>13b08f89-3475-6ae7-32a5-223a90d64f79</v>
    <v>en-US</v>
    <v>Generic</v>
  </rv>
  <rv s="4">
    <v>90</v>
  </rv>
  <rv s="3">
    <v>https://www.bing.com/search?q=becicherecu+mic+romania&amp;form=skydnc</v>
    <v>Learn more on Bing</v>
  </rv>
  <rv s="1">
    <fb>21.051666666667</fb>
    <v>14</v>
  </rv>
  <rv s="1">
    <fb>2875</fb>
    <v>9</v>
  </rv>
  <rv s="6">
    <v>#VALUE!</v>
    <v>en-US</v>
    <v>3bfaf89b-9059-32cb-87e9-c1f365da0d1f</v>
    <v>536870912</v>
    <v>1</v>
    <v>317</v>
    <v>12</v>
    <v>Becicherecu Mic</v>
    <v>5</v>
    <v>6</v>
    <v>Map</v>
    <v>7</v>
    <v>8</v>
    <v>269</v>
    <v>1127</v>
    <v>26</v>
    <v>Becicherecu Mic is a commune in Timiș County, Romania. It is composed of a single village, Becicherecu Mic. It also included Dudeștii Noi until 2004, when it was split off to form a separate commune. Its name means "Small Becicherec", as opposed ...</v>
    <v>1128</v>
    <v>1129</v>
    <v>1131</v>
    <v>1132</v>
    <v>1133</v>
    <v>Becicherecu Mic</v>
    <v>1134</v>
    <v>7</v>
    <v>Becicherecu Mic</v>
    <v>mdp/vdpid/7025402793942843393</v>
  </rv>
  <rv s="0">
    <v>536870912</v>
    <v>Ghioroc</v>
    <v>2ea128cf-20fd-1f41-a272-c63cabdf4f15</v>
    <v>en-US</v>
    <v>Map</v>
  </rv>
  <rv s="1">
    <fb>49.6</fb>
    <v>9</v>
  </rv>
  <rv s="2">
    <v>121</v>
    <v>7</v>
    <v>318</v>
    <v>7</v>
    <v>0</v>
    <v>Image of Ghioroc</v>
  </rv>
  <rv s="1">
    <fb>46.153036</fb>
    <v>14</v>
  </rv>
  <rv s="3">
    <v>https://www.bing.com/search?q=ghioroc&amp;form=skydnc</v>
    <v>Learn more on Bing</v>
  </rv>
  <rv s="1">
    <fb>21.585001999999999</fb>
    <v>14</v>
  </rv>
  <rv s="1">
    <fb>3871</fb>
    <v>9</v>
  </rv>
  <rv s="9">
    <v>#VALUE!</v>
    <v>en-US</v>
    <v>2ea128cf-20fd-1f41-a272-c63cabdf4f15</v>
    <v>536870912</v>
    <v>1</v>
    <v>319</v>
    <v>70</v>
    <v>Ghioroc</v>
    <v>5</v>
    <v>6</v>
    <v>Map</v>
    <v>7</v>
    <v>8</v>
    <v>120</v>
    <v>1137</v>
    <v>26</v>
    <v>Ghioroc is a commune in Arad County, Romania. Ghioroc commune is situated in the contact zone of Zărand Mountains and Arad Plateau, on the Matca channel, and it stretches over 4,890 ha. It is composed of three villages: Cuvin, Ghioroc and Miniș.</v>
    <v>1138</v>
    <v>1139</v>
    <v>1140</v>
    <v>1141</v>
    <v>Ghioroc</v>
    <v>1142</v>
    <v>7</v>
    <v>Ghioroc</v>
    <v>mdp/vdpid/7025488934008258561</v>
  </rv>
  <rv s="0">
    <v>536870912</v>
    <v>Orlești</v>
    <v>d03e0319-e53b-e43f-5e3b-57b7e5b7be1c</v>
    <v>en-US</v>
    <v>Map</v>
  </rv>
  <rv s="1">
    <fb>37.479999999999997</fb>
    <v>9</v>
  </rv>
  <rv s="2">
    <v>122</v>
    <v>7</v>
    <v>320</v>
    <v>7</v>
    <v>0</v>
    <v>Image of Orlești</v>
  </rv>
  <rv s="1">
    <fb>44.8</fb>
    <v>14</v>
  </rv>
  <rv s="3">
    <v>https://www.bing.com/search?q=orle%c8%99ti+romania&amp;form=skydnc</v>
    <v>Learn more on Bing</v>
  </rv>
  <rv s="1">
    <fb>24.216666669999999</fb>
    <v>14</v>
  </rv>
  <rv s="1">
    <fb>2562</fb>
    <v>9</v>
  </rv>
  <rv s="9">
    <v>#VALUE!</v>
    <v>en-US</v>
    <v>d03e0319-e53b-e43f-5e3b-57b7e5b7be1c</v>
    <v>536870912</v>
    <v>1</v>
    <v>321</v>
    <v>70</v>
    <v>Orlești</v>
    <v>5</v>
    <v>6</v>
    <v>Map</v>
    <v>7</v>
    <v>8</v>
    <v>495</v>
    <v>1145</v>
    <v>26</v>
    <v>Orlești is a commune located in Vâlcea County, Oltenia, Romania. It is composed of five villages: Aurești, Orlești, Procopoaia, Scaioși, and Silea.</v>
    <v>1146</v>
    <v>1147</v>
    <v>1148</v>
    <v>1149</v>
    <v>Orlești</v>
    <v>1150</v>
    <v>7</v>
    <v>Orlești</v>
    <v>mdp/vdpid/7241936140490506241</v>
  </rv>
  <rv s="0">
    <v>536870912</v>
    <v>Vladimirescu, Arad</v>
    <v>33bcf278-94d2-7672-3471-22bd81a58e61</v>
    <v>en-US</v>
    <v>Map</v>
  </rv>
  <rv s="1">
    <fb>122.3</fb>
    <v>9</v>
  </rv>
  <rv s="2">
    <v>123</v>
    <v>7</v>
    <v>322</v>
    <v>7</v>
    <v>0</v>
    <v>Image of Vladimirescu, Arad</v>
  </rv>
  <rv s="1">
    <fb>46.167352999999999</fb>
    <v>14</v>
  </rv>
  <rv s="3">
    <v>https://www.bing.com/search?q=vladimirescu%2c+arad&amp;form=skydnc</v>
    <v>Learn more on Bing</v>
  </rv>
  <rv s="1">
    <fb>21.461559999999999</fb>
    <v>14</v>
  </rv>
  <rv s="1">
    <fb>12772</fb>
    <v>9</v>
  </rv>
  <rv s="9">
    <v>#VALUE!</v>
    <v>en-US</v>
    <v>33bcf278-94d2-7672-3471-22bd81a58e61</v>
    <v>536870912</v>
    <v>1</v>
    <v>323</v>
    <v>70</v>
    <v>Vladimirescu, Arad</v>
    <v>5</v>
    <v>6</v>
    <v>Map</v>
    <v>7</v>
    <v>8</v>
    <v>120</v>
    <v>1153</v>
    <v>26</v>
    <v>Vladimirescu is a commune in Arad County, Romania, is situated in the south-eastern part of the Arad Plateau. Its territory stretches over 12400 ha. It is composed of four villages: Cicir, Horia, Mândruloc and Vladimirescu.</v>
    <v>1154</v>
    <v>1155</v>
    <v>1156</v>
    <v>1157</v>
    <v>Vladimirescu, Arad</v>
    <v>1158</v>
    <v>7</v>
    <v>Vladimirescu, Arad</v>
    <v>mdp/vdpid/7025482156734414849</v>
  </rv>
  <rv s="0">
    <v>536870912</v>
    <v>Sălard</v>
    <v>33b96dae-af10-575f-1fba-574990be90aa</v>
    <v>en-US</v>
    <v>Map</v>
  </rv>
  <rv s="1">
    <fb>71.459999999999994</fb>
    <v>9</v>
  </rv>
  <rv s="2">
    <v>124</v>
    <v>7</v>
    <v>324</v>
    <v>7</v>
    <v>0</v>
    <v>Image of Sălard</v>
  </rv>
  <rv s="1">
    <fb>47.216228000000001</fb>
    <v>14</v>
  </rv>
  <rv s="0">
    <v>805306368</v>
    <v>Miklós Nagy (Mayor)</v>
    <v>a4a60001-2416-f61f-7916-493edd0057fd</v>
    <v>en-US</v>
    <v>Generic</v>
  </rv>
  <rv s="4">
    <v>91</v>
  </rv>
  <rv s="3">
    <v>https://www.bing.com/search?q=s%c4%83lard+romania&amp;form=skydnc</v>
    <v>Learn more on Bing</v>
  </rv>
  <rv s="1">
    <fb>22.040851</fb>
    <v>14</v>
  </rv>
  <rv s="1">
    <fb>4305</fb>
    <v>9</v>
  </rv>
  <rv s="8">
    <v>#VALUE!</v>
    <v>en-US</v>
    <v>33b96dae-af10-575f-1fba-574990be90aa</v>
    <v>536870912</v>
    <v>1</v>
    <v>325</v>
    <v>31</v>
    <v>Sălard</v>
    <v>5</v>
    <v>6</v>
    <v>Map</v>
    <v>7</v>
    <v>8</v>
    <v>46</v>
    <v>46</v>
    <v>1161</v>
    <v>26</v>
    <v>Sălard is a commune in Bihor County, Crișana, Romania. It is composed of three villages: Hodoș, Sălard, and Sântimreu. The commune is located in the northwestern part of the county, on the banks of the river Barcău. The river Sânnicolau ...</v>
    <v>1162</v>
    <v>1163</v>
    <v>1165</v>
    <v>1166</v>
    <v>1167</v>
    <v>Sălard</v>
    <v>1168</v>
    <v>7</v>
    <v>Sălard</v>
    <v>mdp/vdpid/7025253081432457217</v>
  </rv>
  <rv s="0">
    <v>536870912</v>
    <v>Sauvo</v>
    <v>00f0b971-43ce-02cf-1d9f-dd067e2ab342</v>
    <v>en-US</v>
    <v>Map</v>
  </rv>
  <rv s="0">
    <v>536870912</v>
    <v>Southwest Finland</v>
    <v>36f656ca-0603-8487-ecd9-ad449dcc8d00</v>
    <v>en-US</v>
    <v>Map</v>
  </rv>
  <rv s="1">
    <fb>252.77</fb>
    <v>9</v>
  </rv>
  <rv s="0">
    <v>536870912</v>
    <v>Finland</v>
    <v>ceea53a9-734c-46c7-a9f7-185e7cf6826e</v>
    <v>en-US</v>
    <v>Map</v>
  </rv>
  <rv s="2">
    <v>125</v>
    <v>7</v>
    <v>326</v>
    <v>7</v>
    <v>0</v>
    <v>Image of Sauvo</v>
  </rv>
  <rv s="1">
    <fb>60.343055555555601</fb>
    <v>14</v>
  </rv>
  <rv s="3">
    <v>https://www.bing.com/search?q=sauvo+finland&amp;form=skydnc</v>
    <v>Learn more on Bing</v>
  </rv>
  <rv s="1">
    <fb>22.693055555555599</fb>
    <v>14</v>
  </rv>
  <rv s="1">
    <fb>2957</fb>
    <v>9</v>
  </rv>
  <rv s="7">
    <v>#VALUE!</v>
    <v>en-US</v>
    <v>00f0b971-43ce-02cf-1d9f-dd067e2ab342</v>
    <v>536870912</v>
    <v>1</v>
    <v>327</v>
    <v>25</v>
    <v>Sauvo</v>
    <v>5</v>
    <v>6</v>
    <v>Map</v>
    <v>7</v>
    <v>328</v>
    <v>1171</v>
    <v>1171</v>
    <v>1172</v>
    <v>1173</v>
    <v>Sauvo is a municipality of Finland. It is located in the Southwest Finland region. The municipality had a population of 2,957 and covers an area of 299.47 square kilometres of which 47.21 km is water. The population density is 11.7 inhabitants ...</v>
    <v>1174</v>
    <v>1175</v>
    <v>1176</v>
    <v>1177</v>
    <v>Sauvo</v>
    <v>1178</v>
    <v>7</v>
    <v>Sauvo</v>
    <v>mdp/vdpid/7030403881142059009</v>
  </rv>
  <rv s="0">
    <v>536870912</v>
    <v>Albeștii de Argeș</v>
    <v>bc302c22-6275-42b8-2016-a1d5abc9e671</v>
    <v>en-US</v>
    <v>Map</v>
  </rv>
  <rv s="1">
    <fb>43.43</fb>
    <v>9</v>
  </rv>
  <rv s="2">
    <v>126</v>
    <v>7</v>
    <v>329</v>
    <v>7</v>
    <v>0</v>
    <v>Image of Albeștii de Argeș</v>
  </rv>
  <rv s="1">
    <fb>45.216666666667003</fb>
    <v>14</v>
  </rv>
  <rv s="0">
    <v>805306368</v>
    <v>Gabriel Popa (Mayor)</v>
    <v>b19cb7f7-24df-c8f6-3b3f-a3566eaaf07d</v>
    <v>en-US</v>
    <v>Generic</v>
  </rv>
  <rv s="4">
    <v>92</v>
  </rv>
  <rv s="3">
    <v>https://www.bing.com/search?q=albe%c8%99tii+de+arge%c8%99&amp;form=skydnc</v>
    <v>Learn more on Bing</v>
  </rv>
  <rv s="1">
    <fb>24.666666666666998</fb>
    <v>14</v>
  </rv>
  <rv s="1">
    <fb>5558</fb>
    <v>9</v>
  </rv>
  <rv s="6">
    <v>#VALUE!</v>
    <v>en-US</v>
    <v>bc302c22-6275-42b8-2016-a1d5abc9e671</v>
    <v>536870912</v>
    <v>1</v>
    <v>330</v>
    <v>12</v>
    <v>Albeștii de Argeș</v>
    <v>5</v>
    <v>6</v>
    <v>Map</v>
    <v>7</v>
    <v>8</v>
    <v>18</v>
    <v>1181</v>
    <v>26</v>
    <v>Albeștii de Argeș is a commune in Argeș County, Muntenia, Romania. It is composed of seven villages: Albeștii Pământeni, Albeștii Ungureni, Brătești, Doblea, Dobrotu, Dumirești, and Florieni.</v>
    <v>1182</v>
    <v>1183</v>
    <v>1185</v>
    <v>1186</v>
    <v>1187</v>
    <v>Albeștii de Argeș</v>
    <v>1188</v>
    <v>7</v>
    <v>Albeștii de Argeș</v>
    <v>mdp/vdpid/7049806456652038145</v>
  </rv>
  <rv s="0">
    <v>536870912</v>
    <v>Recaș</v>
    <v>fb6d0a60-6304-ac60-913a-b230265e4081</v>
    <v>en-US</v>
    <v>Map</v>
  </rv>
  <rv s="1">
    <fb>229.88</fb>
    <v>9</v>
  </rv>
  <rv s="2">
    <v>127</v>
    <v>7</v>
    <v>331</v>
    <v>7</v>
    <v>0</v>
    <v>Image of Recaș</v>
  </rv>
  <rv s="1">
    <fb>45.801388888889001</fb>
    <v>14</v>
  </rv>
  <rv s="0">
    <v>805306368</v>
    <v>Aurel-Adrian Pavel (Mayor)</v>
    <v>70a479a5-c869-d4b8-dd09-56a1332c6023</v>
    <v>en-US</v>
    <v>Generic</v>
  </rv>
  <rv s="4">
    <v>93</v>
  </rv>
  <rv s="3">
    <v>https://www.bing.com/search?q=reca%c8%99+romania&amp;form=skydnc</v>
    <v>Learn more on Bing</v>
  </rv>
  <rv s="1">
    <fb>21.513333333333001</fb>
    <v>14</v>
  </rv>
  <rv s="1">
    <fb>8347</fb>
    <v>9</v>
  </rv>
  <rv s="8">
    <v>#VALUE!</v>
    <v>en-US</v>
    <v>fb6d0a60-6304-ac60-913a-b230265e4081</v>
    <v>536870912</v>
    <v>1</v>
    <v>332</v>
    <v>31</v>
    <v>Recaș</v>
    <v>5</v>
    <v>6</v>
    <v>Map</v>
    <v>7</v>
    <v>8</v>
    <v>269</v>
    <v>269</v>
    <v>1191</v>
    <v>26</v>
    <v>Recaș is a town in Timiș County, Romania. Six villages are administered by the town: Bazoș, Herneacova, Izvin, Nadăș, Petrovaselo, and Stanciova. It received town status in April 2004. Recaș is best known for the wine produced in the surrounding ...</v>
    <v>1192</v>
    <v>1193</v>
    <v>1195</v>
    <v>1196</v>
    <v>1197</v>
    <v>Recaș</v>
    <v>1198</v>
    <v>7</v>
    <v>Recaș</v>
    <v>mdp/vdpid/7025505968653860865</v>
  </rv>
  <rv s="0">
    <v>536870912</v>
    <v>Moieciu</v>
    <v>2da83366-5614-08d7-6ce0-386ab2f08d8f</v>
    <v>en-US</v>
    <v>Map</v>
  </rv>
  <rv s="1">
    <fb>94.91</fb>
    <v>9</v>
  </rv>
  <rv s="2">
    <v>128</v>
    <v>7</v>
    <v>333</v>
    <v>7</v>
    <v>0</v>
    <v>Image of Moieciu</v>
  </rv>
  <rv s="1">
    <fb>45.502499999999998</fb>
    <v>14</v>
  </rv>
  <rv s="0">
    <v>805306368</v>
    <v>Ioniță-Mircea Manea (Mayor)</v>
    <v>340a1ea8-1d77-a1b8-8951-00889d1ee586</v>
    <v>en-US</v>
    <v>Generic</v>
  </rv>
  <rv s="4">
    <v>94</v>
  </rv>
  <rv s="3">
    <v>https://www.bing.com/search?q=moieciu+romania&amp;form=skydnc</v>
    <v>Learn more on Bing</v>
  </rv>
  <rv s="1">
    <fb>25.336388888889001</fb>
    <v>14</v>
  </rv>
  <rv s="1">
    <fb>4556</fb>
    <v>9</v>
  </rv>
  <rv s="6">
    <v>#VALUE!</v>
    <v>en-US</v>
    <v>2da83366-5614-08d7-6ce0-386ab2f08d8f</v>
    <v>536870912</v>
    <v>1</v>
    <v>334</v>
    <v>12</v>
    <v>Moieciu</v>
    <v>5</v>
    <v>6</v>
    <v>Map</v>
    <v>7</v>
    <v>8</v>
    <v>158</v>
    <v>1201</v>
    <v>26</v>
    <v>Moieciu is a commune in Brașov County, Transylvania, Romania. It is located 29 km south of Brașov, within the Rucăr-Bran Pass. The commune is composed of six villages: Cheia, Drumul Carului, Măgura, Moieciu de Jos, Moieciu de Sus, and Peștera. ...</v>
    <v>1202</v>
    <v>1203</v>
    <v>1205</v>
    <v>1206</v>
    <v>1207</v>
    <v>Moieciu</v>
    <v>1208</v>
    <v>7</v>
    <v>Moieciu</v>
    <v>mdp/vdpid/7050178601324380161</v>
  </rv>
  <rv s="0">
    <v>536870912</v>
    <v>Pecica</v>
    <v>b3fdb1bf-e48f-08c6-4f3e-52a08d7f7d6a</v>
    <v>en-US</v>
    <v>Map</v>
  </rv>
  <rv s="1">
    <fb>237.17</fb>
    <v>9</v>
  </rv>
  <rv s="2">
    <v>129</v>
    <v>7</v>
    <v>335</v>
    <v>7</v>
    <v>0</v>
    <v>Image of Pecica</v>
  </rv>
  <rv s="1">
    <fb>46.17</fb>
    <v>14</v>
  </rv>
  <rv s="0">
    <v>805306368</v>
    <v>Petru Antal (Mayor)</v>
    <v>f4ffc664-1371-4c94-7b41-1710a8b101b8</v>
    <v>en-US</v>
    <v>Generic</v>
  </rv>
  <rv s="4">
    <v>95</v>
  </rv>
  <rv s="3">
    <v>https://www.bing.com/search?q=pecica+romania&amp;form=skydnc</v>
    <v>Learn more on Bing</v>
  </rv>
  <rv s="1">
    <fb>21.07</fb>
    <v>14</v>
  </rv>
  <rv s="1">
    <fb>11950</fb>
    <v>9</v>
  </rv>
  <rv s="6">
    <v>#VALUE!</v>
    <v>en-US</v>
    <v>b3fdb1bf-e48f-08c6-4f3e-52a08d7f7d6a</v>
    <v>536870912</v>
    <v>1</v>
    <v>336</v>
    <v>12</v>
    <v>Pecica</v>
    <v>5</v>
    <v>6</v>
    <v>Map</v>
    <v>7</v>
    <v>8</v>
    <v>120</v>
    <v>1211</v>
    <v>26</v>
    <v>Pecica is a town in Arad County, western Romania. In ancient times it was a Dacian fortress called Ziridava and today it is an important archeological site. Situated at 25 kilometres from Arad, it was declared a town in 2004. Its administrative ...</v>
    <v>1212</v>
    <v>1213</v>
    <v>1215</v>
    <v>1216</v>
    <v>1217</v>
    <v>Pecica</v>
    <v>1218</v>
    <v>7</v>
    <v>Pecica</v>
    <v>mdp/vdpid/7025385545287073793</v>
  </rv>
  <rv s="0">
    <v>536870912</v>
    <v>Topleț</v>
    <v>b9aea869-eedc-e286-7a65-9b3972c56fd4</v>
    <v>en-US</v>
    <v>Map</v>
  </rv>
  <rv s="1">
    <fb>93.88</fb>
    <v>9</v>
  </rv>
  <rv s="2">
    <v>130</v>
    <v>7</v>
    <v>337</v>
    <v>7</v>
    <v>0</v>
    <v>Image of Topleț</v>
  </rv>
  <rv s="1">
    <fb>44.798262999999999</fb>
    <v>14</v>
  </rv>
  <rv s="3">
    <v>https://www.bing.com/search?q=tople%c8%9b+%22cara%c8%99+severin%22+county&amp;form=skydnc</v>
    <v>Learn more on Bing</v>
  </rv>
  <rv s="1">
    <fb>22.374790000000001</fb>
    <v>14</v>
  </rv>
  <rv s="1">
    <fb>2246</fb>
    <v>9</v>
  </rv>
  <rv s="9">
    <v>#VALUE!</v>
    <v>en-US</v>
    <v>b9aea869-eedc-e286-7a65-9b3972c56fd4</v>
    <v>536870912</v>
    <v>1</v>
    <v>338</v>
    <v>70</v>
    <v>Topleț</v>
    <v>5</v>
    <v>6</v>
    <v>Map</v>
    <v>7</v>
    <v>8</v>
    <v>261</v>
    <v>1221</v>
    <v>26</v>
    <v>Topleț is a commune in Caraș-Severin County, western Romania with a population of 2923 people. It is composed of two villages, Bârza and Topleț.</v>
    <v>1222</v>
    <v>1223</v>
    <v>1224</v>
    <v>1225</v>
    <v>Topleț</v>
    <v>1226</v>
    <v>7</v>
    <v>Topleț</v>
    <v>mdp/vdpid/7217772836734107649</v>
  </rv>
  <rv s="0">
    <v>536870912</v>
    <v>Maravat</v>
    <v>d36cdf11-f6e2-5d85-cf6a-fd2666fb168f</v>
    <v>en-US</v>
    <v>Map</v>
  </rv>
  <rv s="0">
    <v>536870912</v>
    <v>Occitania</v>
    <v>5105d172-dc70-689f-09ab-4163a747508a</v>
    <v>en-US</v>
    <v>Map</v>
  </rv>
  <rv s="1">
    <fb>6.46</fb>
    <v>9</v>
  </rv>
  <rv s="0">
    <v>536870912</v>
    <v>France</v>
    <v>c7bfe2de-4f82-e23c-ae42-8544b5b5c0ea</v>
    <v>en-US</v>
    <v>Map</v>
  </rv>
  <rv s="1">
    <fb>43.756944444444002</fb>
    <v>14</v>
  </rv>
  <rv s="0">
    <v>805306368</v>
    <v>Florian Pinos (Mayor)</v>
    <v>875513c6-9c4b-5ca2-1649-c5956fab62fd</v>
    <v>en-US</v>
    <v>Generic</v>
  </rv>
  <rv s="4">
    <v>96</v>
  </rv>
  <rv s="3">
    <v>https://www.bing.com/search?q=maravat+gers&amp;form=skydnc</v>
    <v>Learn more on Bing</v>
  </rv>
  <rv s="1">
    <fb>0.75277777777777999</fb>
    <v>14</v>
  </rv>
  <rv s="1">
    <fb>50</fb>
    <v>9</v>
  </rv>
  <rv s="18">
    <v>#VALUE!</v>
    <v>en-US</v>
    <v>d36cdf11-f6e2-5d85-cf6a-fd2666fb168f</v>
    <v>536870912</v>
    <v>1</v>
    <v>340</v>
    <v>341</v>
    <v>Maravat</v>
    <v>5</v>
    <v>342</v>
    <v>Map</v>
    <v>7</v>
    <v>343</v>
    <v>1229</v>
    <v>1230</v>
    <v>1231</v>
    <v>Maravat is a commune in the Gers department in southwestern France.</v>
    <v>1232</v>
    <v>1234</v>
    <v>1235</v>
    <v>1236</v>
    <v>Maravat</v>
    <v>1237</v>
    <v>Maravat</v>
    <v>mdp/vdpid/7205887112145534977</v>
  </rv>
  <rv s="0">
    <v>536870912</v>
    <v>Mediaș</v>
    <v>848e31b8-6724-3533-37ab-12c985220c0b</v>
    <v>en-US</v>
    <v>Map</v>
  </rv>
  <rv s="1">
    <fb>62.62</fb>
    <v>9</v>
  </rv>
  <rv s="2">
    <v>131</v>
    <v>7</v>
    <v>344</v>
    <v>7</v>
    <v>0</v>
    <v>Image of Mediaș</v>
  </rv>
  <rv s="1">
    <fb>46.163888888888998</fb>
    <v>14</v>
  </rv>
  <rv s="0">
    <v>805306368</v>
    <v>Gheorghe Roman (Mayor)</v>
    <v>3bdce172-a393-ca44-84f1-da88ad8cf414</v>
    <v>en-US</v>
    <v>Generic</v>
  </rv>
  <rv s="4">
    <v>97</v>
  </rv>
  <rv s="3">
    <v>https://www.bing.com/search?q=media%c8%99+romania&amp;form=skydnc</v>
    <v>Learn more on Bing</v>
  </rv>
  <rv s="1">
    <fb>24.350833333333</fb>
    <v>14</v>
  </rv>
  <rv s="1">
    <fb>39505</fb>
    <v>9</v>
  </rv>
  <rv s="6">
    <v>#VALUE!</v>
    <v>en-US</v>
    <v>848e31b8-6724-3533-37ab-12c985220c0b</v>
    <v>536870912</v>
    <v>1</v>
    <v>345</v>
    <v>12</v>
    <v>Mediaș</v>
    <v>5</v>
    <v>6</v>
    <v>Map</v>
    <v>7</v>
    <v>8</v>
    <v>0</v>
    <v>1240</v>
    <v>26</v>
    <v>Mediaș is a city in Sibiu County, Romania, in the historical region of Transylvania. With a recorded history that began in the 13th century, it has nearly 40,000 residents today. Mediaș is located in the middle basin of Târnava Mare River, at 39 ...</v>
    <v>1241</v>
    <v>1242</v>
    <v>1244</v>
    <v>1245</v>
    <v>1246</v>
    <v>Mediaș</v>
    <v>1247</v>
    <v>7</v>
    <v>Mediaș</v>
    <v>mdp/vdpid/7049695192235900930</v>
  </rv>
  <rv s="0">
    <v>536870912</v>
    <v>Șag</v>
    <v>a909a76f-629f-d882-0df3-bb2246640ce0</v>
    <v>en-US</v>
    <v>Map</v>
  </rv>
  <rv s="1">
    <fb>50.8</fb>
    <v>9</v>
  </rv>
  <rv s="2">
    <v>132</v>
    <v>7</v>
    <v>346</v>
    <v>7</v>
    <v>0</v>
    <v>Image of Șag</v>
  </rv>
  <rv s="1">
    <fb>45.657899</fb>
    <v>14</v>
  </rv>
  <rv s="0">
    <v>805306368</v>
    <v>Flavius-Alin Roșu (Mayor)</v>
    <v>1eb3af40-a772-4338-bdd0-c7c63173c5c7</v>
    <v>en-US</v>
    <v>Generic</v>
  </rv>
  <rv s="4">
    <v>98</v>
  </rv>
  <rv s="3">
    <v>https://www.bing.com/search?q=%c8%99ag&amp;form=skydnc</v>
    <v>Learn more on Bing</v>
  </rv>
  <rv s="1">
    <fb>21.167539000000001</fb>
    <v>14</v>
  </rv>
  <rv s="1">
    <fb>5303</fb>
    <v>9</v>
  </rv>
  <rv s="6">
    <v>#VALUE!</v>
    <v>en-US</v>
    <v>a909a76f-629f-d882-0df3-bb2246640ce0</v>
    <v>536870912</v>
    <v>1</v>
    <v>347</v>
    <v>12</v>
    <v>Șag</v>
    <v>5</v>
    <v>6</v>
    <v>Map</v>
    <v>7</v>
    <v>8</v>
    <v>269</v>
    <v>1250</v>
    <v>26</v>
    <v>Șag is a commune in Timiș County, Romania. It is composed of a single village, Șag; Parța village broke off as a separate commune in 2004. Șag is a plain commune, located in the Banat Plain, in the periurban area of Timișoara, 13 km away. Șag is ...</v>
    <v>1251</v>
    <v>1252</v>
    <v>1254</v>
    <v>1255</v>
    <v>1256</v>
    <v>Șag</v>
    <v>1257</v>
    <v>7</v>
    <v>Șag</v>
    <v>mdp/vdpid/7025545317365841921</v>
  </rv>
  <rv s="0">
    <v>536870912</v>
    <v>Segarcea</v>
    <v>f0ac21bf-ff5b-45c1-f511-6b24ba7e4a0d</v>
    <v>en-US</v>
    <v>Map</v>
  </rv>
  <rv s="1">
    <fb>12.01</fb>
    <v>9</v>
  </rv>
  <rv s="2">
    <v>133</v>
    <v>7</v>
    <v>348</v>
    <v>7</v>
    <v>0</v>
    <v>Image of Segarcea</v>
  </rv>
  <rv s="1">
    <fb>44.091869099999997</fb>
    <v>14</v>
  </rv>
  <rv s="0">
    <v>805306368</v>
    <v>Ștefan Nicolae (Mayor)</v>
    <v>56726561-00d1-aabe-c294-258d8ae47f0a</v>
    <v>en-US</v>
    <v>Generic</v>
  </rv>
  <rv s="4">
    <v>99</v>
  </rv>
  <rv s="3">
    <v>https://www.bing.com/search?q=segarcea+romania&amp;form=skydnc</v>
    <v>Learn more on Bing</v>
  </rv>
  <rv s="1">
    <fb>23.733389800000001</fb>
    <v>14</v>
  </rv>
  <rv s="1">
    <fb>7356</fb>
    <v>9</v>
  </rv>
  <rv s="6">
    <v>#VALUE!</v>
    <v>en-US</v>
    <v>f0ac21bf-ff5b-45c1-f511-6b24ba7e4a0d</v>
    <v>536870912</v>
    <v>1</v>
    <v>349</v>
    <v>12</v>
    <v>Segarcea</v>
    <v>5</v>
    <v>6</v>
    <v>Map</v>
    <v>7</v>
    <v>8</v>
    <v>330</v>
    <v>1260</v>
    <v>26</v>
    <v>Segarcea is a small town in Dolj County, Oltenia, Romania. It has 7,356 inhabitants, in an area of 12,008 ha. The town is located towards the western end of the Wallachian Plain, about 30 km north of the Danube and 25 km south of Craiova, the ...</v>
    <v>1261</v>
    <v>1262</v>
    <v>1264</v>
    <v>1265</v>
    <v>1266</v>
    <v>Segarcea</v>
    <v>1267</v>
    <v>7</v>
    <v>Segarcea</v>
    <v>mdp/vdpid/7241907660377817089</v>
  </rv>
  <rv s="0">
    <v>536870912</v>
    <v>Baia Sprie</v>
    <v>71c05347-2aee-1d60-6588-04e41d269422</v>
    <v>en-US</v>
    <v>Map</v>
  </rv>
  <rv s="1">
    <fb>96</fb>
    <v>9</v>
  </rv>
  <rv s="2">
    <v>134</v>
    <v>7</v>
    <v>350</v>
    <v>7</v>
    <v>0</v>
    <v>Image of Baia Sprie</v>
  </rv>
  <rv s="1">
    <fb>47.660833333333002</fb>
    <v>14</v>
  </rv>
  <rv s="0">
    <v>805306368</v>
    <v>Sebastian Alin Bîrda (Mayor)</v>
    <v>40069f74-48ab-8044-7745-cce922b728f3</v>
    <v>en-US</v>
    <v>Generic</v>
  </rv>
  <rv s="4">
    <v>100</v>
  </rv>
  <rv s="3">
    <v>https://www.bing.com/search?q=baia+sprie+romania&amp;form=skydnc</v>
    <v>Learn more on Bing</v>
  </rv>
  <rv s="1">
    <fb>23.688611111111001</fb>
    <v>14</v>
  </rv>
  <rv s="1">
    <fb>14329</fb>
    <v>9</v>
  </rv>
  <rv s="6">
    <v>#VALUE!</v>
    <v>en-US</v>
    <v>71c05347-2aee-1d60-6588-04e41d269422</v>
    <v>536870912</v>
    <v>1</v>
    <v>351</v>
    <v>12</v>
    <v>Baia Sprie</v>
    <v>5</v>
    <v>6</v>
    <v>Map</v>
    <v>7</v>
    <v>8</v>
    <v>236</v>
    <v>1270</v>
    <v>26</v>
    <v>Baia Sprie is a town in Maramureș County, northern Romania. Baia Sprie is situated at a distance of 9 km from Baia Mare and belongs to the Baia Mare metropolitan area. The town administers three villages: Chiuzbaia, Satu Nou de Sus, and Tăuții ...</v>
    <v>1271</v>
    <v>1272</v>
    <v>1274</v>
    <v>1275</v>
    <v>1276</v>
    <v>Baia Sprie</v>
    <v>1277</v>
    <v>7</v>
    <v>Baia Sprie</v>
    <v>mdp/vdpid/7049305342248747009</v>
  </rv>
  <rv s="0">
    <v>536870912</v>
    <v>Prigoria</v>
    <v>5fe9ff1d-fa3e-2de9-9b9b-0687f9037724</v>
    <v>en-US</v>
    <v>Map</v>
  </rv>
  <rv s="1">
    <fb>66.900000000000006</fb>
    <v>9</v>
  </rv>
  <rv s="2">
    <v>135</v>
    <v>7</v>
    <v>352</v>
    <v>7</v>
    <v>0</v>
    <v>Image of Prigoria</v>
  </rv>
  <rv s="1">
    <fb>45.059294000000001</fb>
    <v>14</v>
  </rv>
  <rv s="0">
    <v>805306368</v>
    <v>Lucian Goață (Mayor)</v>
    <v>db3aba09-5876-f391-956f-b89e5ee2aeb4</v>
    <v>en-US</v>
    <v>Generic</v>
  </rv>
  <rv s="4">
    <v>101</v>
  </rv>
  <rv s="3">
    <v>https://www.bing.com/search?q=prigoria+romania&amp;form=skydnc</v>
    <v>Learn more on Bing</v>
  </rv>
  <rv s="1">
    <fb>23.685251000000001</fb>
    <v>14</v>
  </rv>
  <rv s="1">
    <fb>2709</fb>
    <v>9</v>
  </rv>
  <rv s="6">
    <v>#VALUE!</v>
    <v>en-US</v>
    <v>5fe9ff1d-fa3e-2de9-9b9b-0687f9037724</v>
    <v>536870912</v>
    <v>1</v>
    <v>353</v>
    <v>12</v>
    <v>Prigoria</v>
    <v>5</v>
    <v>6</v>
    <v>Map</v>
    <v>7</v>
    <v>8</v>
    <v>209</v>
    <v>1280</v>
    <v>26</v>
    <v>Prigoria is a commune in Gorj County, Oltenia, Romania. It is composed of seven villages: Bucșana, Burlani, Călugăreasa, Dobrana, Negoiești, Prigoria, and Zorlești. Prigoria is known in Romania for being the place where the index case of a ...</v>
    <v>1281</v>
    <v>1282</v>
    <v>1284</v>
    <v>1285</v>
    <v>1286</v>
    <v>Prigoria</v>
    <v>1287</v>
    <v>7</v>
    <v>Prigoria</v>
    <v>mdp/vdpid/7049679734715711489</v>
  </rv>
  <rv s="0">
    <v>536870912</v>
    <v>Crăciunești</v>
    <v>1a16eaa5-d88c-f4b8-7781-15745bbd8dac</v>
    <v>en-US</v>
    <v>Map</v>
  </rv>
  <rv s="1">
    <fb>48.36</fb>
    <v>9</v>
  </rv>
  <rv s="2">
    <v>136</v>
    <v>7</v>
    <v>354</v>
    <v>7</v>
    <v>0</v>
    <v>Image of Crăciunești</v>
  </rv>
  <rv s="1">
    <fb>46.467049000000003</fb>
    <v>14</v>
  </rv>
  <rv s="0">
    <v>805306368</v>
    <v>Károly Gyula Bodó (Mayor)</v>
    <v>99f57152-5f21-e4d7-a092-e1a655140ceb</v>
    <v>en-US</v>
    <v>Generic</v>
  </rv>
  <rv s="4">
    <v>102</v>
  </rv>
  <rv s="3">
    <v>https://www.bing.com/search?q=cr%c4%83ciune%c8%99ti&amp;form=skydnc</v>
    <v>Learn more on Bing</v>
  </rv>
  <rv s="1">
    <fb>24.573774</fb>
    <v>14</v>
  </rv>
  <rv s="1">
    <fb>4338</fb>
    <v>9</v>
  </rv>
  <rv s="6">
    <v>#VALUE!</v>
    <v>en-US</v>
    <v>1a16eaa5-d88c-f4b8-7781-15745bbd8dac</v>
    <v>536870912</v>
    <v>1</v>
    <v>355</v>
    <v>12</v>
    <v>Crăciunești</v>
    <v>5</v>
    <v>6</v>
    <v>Map</v>
    <v>7</v>
    <v>8</v>
    <v>434</v>
    <v>1290</v>
    <v>26</v>
    <v>Crăciunești is a commune in Mureș County, Transylvania, Romania. It is composed of eight villages: Budiu Mic, Ciba, Cinta, Cornești, Crăciunești, Foi, Nicolești, and Tirimioara. Ciba, Foi, and Nicolești were established in 2006.</v>
    <v>1291</v>
    <v>1292</v>
    <v>1294</v>
    <v>1295</v>
    <v>1296</v>
    <v>Crăciunești</v>
    <v>1297</v>
    <v>7</v>
    <v>Crăciunești</v>
    <v>mdp/vdpid/7049505227308793857</v>
  </rv>
  <rv s="0">
    <v>536870912</v>
    <v>Mica, Mureș</v>
    <v>380da8c1-fce3-ddc8-62f5-9287a3c32bc3</v>
    <v>en-US</v>
    <v>Map</v>
  </rv>
  <rv s="1">
    <fb>63.9</fb>
    <v>9</v>
  </rv>
  <rv s="2">
    <v>137</v>
    <v>7</v>
    <v>356</v>
    <v>7</v>
    <v>0</v>
    <v>Image of Mica, Mureș</v>
  </rv>
  <rv s="1">
    <fb>46.360793000000001</fb>
    <v>14</v>
  </rv>
  <rv s="0">
    <v>805306368</v>
    <v>János Beres (Mayor)</v>
    <v>9d8e37f3-d37c-1e46-75be-afe09907a50d</v>
    <v>en-US</v>
    <v>Generic</v>
  </rv>
  <rv s="4">
    <v>103</v>
  </rv>
  <rv s="1">
    <fb>24.413195999999999</fb>
    <v>14</v>
  </rv>
  <rv s="1">
    <fb>4821</fb>
    <v>9</v>
  </rv>
  <rv s="19">
    <v>#VALUE!</v>
    <v>en-US</v>
    <v>380da8c1-fce3-ddc8-62f5-9287a3c32bc3</v>
    <v>536870912</v>
    <v>1</v>
    <v>357</v>
    <v>358</v>
    <v>Mica, Mureș</v>
    <v>194</v>
    <v>6</v>
    <v>Map</v>
    <v>7</v>
    <v>8</v>
    <v>434</v>
    <v>1300</v>
    <v>26</v>
    <v>Mica is a commune in Mureș County, Transylvania, Romania. It is composed of seven villages: Abuș, Căpâlna de Sus, Ceuaș, Deaj, Hărănglab, Mica, and Șomoștelnic. The locality formed part of the Székely Land region of the historical Transylvania ...</v>
    <v>1301</v>
    <v>1302</v>
    <v>1304</v>
    <v>1305</v>
    <v>Mica, Mureș</v>
    <v>1306</v>
    <v>7</v>
    <v>Mica, Mureș</v>
    <v>mdp/vdpid/7049691139900702721</v>
  </rv>
  <rv s="0">
    <v>536870912</v>
    <v>Jimbolia</v>
    <v>bf857cac-60e2-900f-c0fe-af981a695a1a</v>
    <v>en-US</v>
    <v>Map</v>
  </rv>
  <rv s="1">
    <fb>108.61</fb>
    <v>9</v>
  </rv>
  <rv s="2">
    <v>138</v>
    <v>7</v>
    <v>359</v>
    <v>7</v>
    <v>0</v>
    <v>Image of Jimbolia</v>
  </rv>
  <rv s="1">
    <fb>45.791666666666998</fb>
    <v>14</v>
  </rv>
  <rv s="0">
    <v>805306368</v>
    <v>Darius-Adrian Postelnicu (Mayor)</v>
    <v>cfaa40f0-19fd-c47b-d3a4-3f86e885c8b2</v>
    <v>en-US</v>
    <v>Generic</v>
  </rv>
  <rv s="4">
    <v>104</v>
  </rv>
  <rv s="3">
    <v>https://www.bing.com/search?q=jimbolia+romania&amp;form=skydnc</v>
    <v>Learn more on Bing</v>
  </rv>
  <rv s="1">
    <fb>20.722222222222001</fb>
    <v>14</v>
  </rv>
  <rv s="1">
    <fb>10179</fb>
    <v>9</v>
  </rv>
  <rv s="6">
    <v>#VALUE!</v>
    <v>en-US</v>
    <v>bf857cac-60e2-900f-c0fe-af981a695a1a</v>
    <v>536870912</v>
    <v>1</v>
    <v>360</v>
    <v>12</v>
    <v>Jimbolia</v>
    <v>5</v>
    <v>6</v>
    <v>Map</v>
    <v>7</v>
    <v>8</v>
    <v>269</v>
    <v>1309</v>
    <v>26</v>
    <v>Jimbolia is a town in Timiș County, Romania. Jimbolia is located in the west of Timiș County, 39 km from the county seat, Timișoara, which is connected by the county road DJ59A and the Kikinda–Jimbolia–Timișoara railway. It lies in the Banat ...</v>
    <v>1310</v>
    <v>1311</v>
    <v>1313</v>
    <v>1314</v>
    <v>1315</v>
    <v>Jimbolia</v>
    <v>1316</v>
    <v>7</v>
    <v>Jimbolia</v>
    <v>mdp/vdpid/7025394374481543169</v>
  </rv>
  <rv s="0">
    <v>536870912</v>
    <v>Șimleu Silvaniei</v>
    <v>1ef03252-87a6-1a8d-71ad-85aa2b73d838</v>
    <v>en-US</v>
    <v>Map</v>
  </rv>
  <rv s="1">
    <fb>62.26</fb>
    <v>9</v>
  </rv>
  <rv s="2">
    <v>139</v>
    <v>7</v>
    <v>361</v>
    <v>7</v>
    <v>0</v>
    <v>Image of Șimleu Silvaniei</v>
  </rv>
  <rv s="1">
    <fb>47.23</fb>
    <v>14</v>
  </rv>
  <rv s="0">
    <v>805306368</v>
    <v>Mihai-Cristian Lazar (Mayor)</v>
    <v>55c0734d-5760-d6e0-3961-94aa550d0935</v>
    <v>en-US</v>
    <v>Generic</v>
  </rv>
  <rv s="4">
    <v>105</v>
  </rv>
  <rv s="3">
    <v>https://www.bing.com/search?q=%c8%99imleu+silvaniei+romania&amp;form=skydnc</v>
    <v>Learn more on Bing</v>
  </rv>
  <rv s="1">
    <fb>22.8</fb>
    <v>14</v>
  </rv>
  <rv s="1">
    <fb>13948</fb>
    <v>9</v>
  </rv>
  <rv s="8">
    <v>#VALUE!</v>
    <v>en-US</v>
    <v>1ef03252-87a6-1a8d-71ad-85aa2b73d838</v>
    <v>536870912</v>
    <v>1</v>
    <v>362</v>
    <v>31</v>
    <v>Șimleu Silvaniei</v>
    <v>5</v>
    <v>6</v>
    <v>Map</v>
    <v>7</v>
    <v>8</v>
    <v>538</v>
    <v>538</v>
    <v>1319</v>
    <v>26</v>
    <v>Șimleu Silvaniei is a town in Sălaj County, Crișana, Romania with a population of 13,948 people. It is located near the ancient Dacian fortress Dacidava. Three villages are administered by the town: Bic, Cehei, and Pusta.</v>
    <v>1320</v>
    <v>1321</v>
    <v>1323</v>
    <v>1324</v>
    <v>1325</v>
    <v>Șimleu Silvaniei</v>
    <v>1326</v>
    <v>7</v>
    <v>Șimleu Silvaniei</v>
    <v>mdp/vdpid/7049284154134888449</v>
  </rv>
  <rv s="0">
    <v>536870912</v>
    <v>Bâlteni</v>
    <v>06016f2d-29d3-44e2-8a2b-d2343dfa6a55</v>
    <v>en-US</v>
    <v>Map</v>
  </rv>
  <rv s="1">
    <fb>91.61</fb>
    <v>9</v>
  </rv>
  <rv s="2">
    <v>140</v>
    <v>7</v>
    <v>363</v>
    <v>7</v>
    <v>0</v>
    <v>Image of Bâlteni</v>
  </rv>
  <rv s="1">
    <fb>44.871549999999999</fb>
    <v>14</v>
  </rv>
  <rv s="0">
    <v>805306368</v>
    <v>Vasile Vlăduleanu (Mayor)</v>
    <v>75410f07-7196-e96f-f306-6c9db48dfbe8</v>
    <v>en-US</v>
    <v>Generic</v>
  </rv>
  <rv s="4">
    <v>106</v>
  </rv>
  <rv s="3">
    <v>https://www.bing.com/search?q=b%c3%a2lteni+romania&amp;form=skydnc</v>
    <v>Learn more on Bing</v>
  </rv>
  <rv s="1">
    <fb>23.281283999999999</fb>
    <v>14</v>
  </rv>
  <rv s="1">
    <fb>6359</fb>
    <v>9</v>
  </rv>
  <rv s="6">
    <v>#VALUE!</v>
    <v>en-US</v>
    <v>06016f2d-29d3-44e2-8a2b-d2343dfa6a55</v>
    <v>536870912</v>
    <v>1</v>
    <v>364</v>
    <v>12</v>
    <v>Bâlteni</v>
    <v>5</v>
    <v>6</v>
    <v>Map</v>
    <v>7</v>
    <v>8</v>
    <v>209</v>
    <v>1329</v>
    <v>26</v>
    <v>Bâlteni is a commune in Gorj County, Oltenia, Romania. It is composed of five villages: Bâlteni, Cocoreni, Moi, Peșteana-Jiu, and Vlăduleni. The commune is situated 228 kilometres west of Bucharest, 18 kilometres south of Târgu Jiu, and 74 ...</v>
    <v>1330</v>
    <v>1331</v>
    <v>1333</v>
    <v>1334</v>
    <v>1335</v>
    <v>Bâlteni</v>
    <v>1336</v>
    <v>7</v>
    <v>Bâlteni</v>
    <v>mdp/vdpid/7241824719089958913</v>
  </rv>
  <rv s="0">
    <v>536870912</v>
    <v>Sovata</v>
    <v>6ca82bc7-d7c1-a6c3-4337-ce4d66a3aed0</v>
    <v>en-US</v>
    <v>Map</v>
  </rv>
  <rv s="2">
    <v>141</v>
    <v>7</v>
    <v>365</v>
    <v>7</v>
    <v>0</v>
    <v>Image of Sovata</v>
  </rv>
  <rv s="1">
    <fb>46.596111111111</fb>
    <v>14</v>
  </rv>
  <rv s="0">
    <v>805306368</v>
    <v>László Zsolt Fülöp (Mayor)</v>
    <v>4a5b1be8-398d-6145-7551-efeec3554b7e</v>
    <v>en-US</v>
    <v>Generic</v>
  </rv>
  <rv s="4">
    <v>107</v>
  </rv>
  <rv s="3">
    <v>https://www.bing.com/search?q=sovata+romania&amp;form=skydnc</v>
    <v>Learn more on Bing</v>
  </rv>
  <rv s="1">
    <fb>25.074444444444001</fb>
    <v>14</v>
  </rv>
  <rv s="1">
    <fb>9703</fb>
    <v>9</v>
  </rv>
  <rv s="11">
    <v>#VALUE!</v>
    <v>en-US</v>
    <v>6ca82bc7-d7c1-a6c3-4337-ce4d66a3aed0</v>
    <v>536870912</v>
    <v>1</v>
    <v>366</v>
    <v>103</v>
    <v>Sovata</v>
    <v>5</v>
    <v>6</v>
    <v>Map</v>
    <v>7</v>
    <v>104</v>
    <v>434</v>
    <v>26</v>
    <v>Sovata is a town in Mureș County, Transylvania, Romania. Three villages are administered by the town: Căpeți, Ilieși, and Săcădat. In 2004, the village of Sărățeni broke away to form an independent commune.</v>
    <v>1339</v>
    <v>1340</v>
    <v>1342</v>
    <v>1343</v>
    <v>1344</v>
    <v>Sovata</v>
    <v>1345</v>
    <v>7</v>
    <v>Sovata</v>
    <v>mdp/vdpid/7049535360983891969</v>
  </rv>
  <rv s="0">
    <v>536870912</v>
    <v>Cervenia</v>
    <v>2f3407fd-ce61-6cd9-d62e-190ab0968ec3</v>
    <v>en-US</v>
    <v>Map</v>
  </rv>
  <rv s="1">
    <fb>58.59</fb>
    <v>9</v>
  </rv>
  <rv s="2">
    <v>142</v>
    <v>7</v>
    <v>367</v>
    <v>7</v>
    <v>0</v>
    <v>Image of Cervenia</v>
  </rv>
  <rv s="1">
    <fb>43.836666666666702</fb>
    <v>14</v>
  </rv>
  <rv s="3">
    <v>https://www.bing.com/search?q=cervenia+romania&amp;form=skydnc</v>
    <v>Learn more on Bing</v>
  </rv>
  <rv s="1">
    <fb>25.455555555555598</fb>
    <v>14</v>
  </rv>
  <rv s="1">
    <fb>2414</fb>
    <v>9</v>
  </rv>
  <rv s="9">
    <v>#VALUE!</v>
    <v>en-US</v>
    <v>2f3407fd-ce61-6cd9-d62e-190ab0968ec3</v>
    <v>536870912</v>
    <v>1</v>
    <v>368</v>
    <v>70</v>
    <v>Cervenia</v>
    <v>5</v>
    <v>6</v>
    <v>Map</v>
    <v>7</v>
    <v>8</v>
    <v>581</v>
    <v>1348</v>
    <v>26</v>
    <v>Cervenia is a commune in the southern part of Teleorman County, Muntenia, Romania, on the left bank of the river Vedea, 22 km southeast from Alexandria. It is composed of a single village, Cervenia.</v>
    <v>1349</v>
    <v>1350</v>
    <v>1351</v>
    <v>1352</v>
    <v>Cervenia</v>
    <v>1353</v>
    <v>7</v>
    <v>Cervenia</v>
    <v>mdp/vdpid/7242441033139617793</v>
  </rv>
  <rv s="0">
    <v>536870912</v>
    <v>Moisei</v>
    <v>5fca36c3-46ce-c56e-7f46-a6921b92602c</v>
    <v>en-US</v>
    <v>Map</v>
  </rv>
  <rv s="1">
    <fb>112.63</fb>
    <v>9</v>
  </rv>
  <rv s="2">
    <v>143</v>
    <v>7</v>
    <v>369</v>
    <v>7</v>
    <v>0</v>
    <v>Image of Moisei</v>
  </rv>
  <rv s="1">
    <fb>47.656111111111002</fb>
    <v>14</v>
  </rv>
  <rv s="0">
    <v>805306368</v>
    <v>Grigore Tomoiagă (Mayor)</v>
    <v>f0905d17-6988-e56f-ec42-b0a404cb6f9f</v>
    <v>en-US</v>
    <v>Generic</v>
  </rv>
  <rv s="4">
    <v>108</v>
  </rv>
  <rv s="3">
    <v>https://www.bing.com/search?q=moisei+romania&amp;form=skydnc</v>
    <v>Learn more on Bing</v>
  </rv>
  <rv s="1">
    <fb>24.538055555555999</fb>
    <v>14</v>
  </rv>
  <rv s="1">
    <fb>9317</fb>
    <v>9</v>
  </rv>
  <rv s="6">
    <v>#VALUE!</v>
    <v>en-US</v>
    <v>5fca36c3-46ce-c56e-7f46-a6921b92602c</v>
    <v>536870912</v>
    <v>1</v>
    <v>370</v>
    <v>12</v>
    <v>Moisei</v>
    <v>5</v>
    <v>6</v>
    <v>Map</v>
    <v>7</v>
    <v>8</v>
    <v>236</v>
    <v>1356</v>
    <v>26</v>
    <v>Moisei is a commune in Maramureș County, Maramureș, Romania. Composed of a single village, Moisei, it is one of the oldest communes in Maramureș County, first attested in 1213. This place is well known for the monastery near the village, founded ...</v>
    <v>1357</v>
    <v>1358</v>
    <v>1360</v>
    <v>1361</v>
    <v>1362</v>
    <v>Moisei</v>
    <v>1363</v>
    <v>7</v>
    <v>Moisei</v>
    <v>mdp/vdpid/7049412592095199233</v>
  </rv>
  <rv s="0">
    <v>536870912</v>
    <v>Laslea</v>
    <v>149735ec-9ed1-236e-6b0f-b4694434c886</v>
    <v>en-US</v>
    <v>Map</v>
  </rv>
  <rv s="1">
    <fb>113</fb>
    <v>9</v>
  </rv>
  <rv s="2">
    <v>144</v>
    <v>7</v>
    <v>371</v>
    <v>7</v>
    <v>0</v>
    <v>Image of Laslea</v>
  </rv>
  <rv s="1">
    <fb>46.137002299999999</fb>
    <v>14</v>
  </rv>
  <rv s="0">
    <v>805306368</v>
    <v>Ioan Onea (Mayor)</v>
    <v>a998c35d-c5eb-265d-ff70-183381585484</v>
    <v>en-US</v>
    <v>Generic</v>
  </rv>
  <rv s="4">
    <v>109</v>
  </rv>
  <rv s="3">
    <v>https://www.bing.com/search?q=laslea+romania&amp;form=skydnc</v>
    <v>Learn more on Bing</v>
  </rv>
  <rv s="1">
    <fb>24.636818399999999</fb>
    <v>14</v>
  </rv>
  <rv s="1">
    <fb>3100</fb>
    <v>9</v>
  </rv>
  <rv s="6">
    <v>#VALUE!</v>
    <v>en-US</v>
    <v>149735ec-9ed1-236e-6b0f-b4694434c886</v>
    <v>536870912</v>
    <v>1</v>
    <v>372</v>
    <v>12</v>
    <v>Laslea</v>
    <v>5</v>
    <v>6</v>
    <v>Map</v>
    <v>7</v>
    <v>8</v>
    <v>0</v>
    <v>1366</v>
    <v>26</v>
    <v>Laslea is a commune located in Sibiu County, Transylvania, Romania. It is composed of five villages: Florești, Laslea, Mălâncrav, Nou Săsesc, and Roandola. In Romanian, Florești was known as Felța until 1950.</v>
    <v>1367</v>
    <v>1368</v>
    <v>1370</v>
    <v>1371</v>
    <v>1372</v>
    <v>Laslea</v>
    <v>1373</v>
    <v>7</v>
    <v>Laslea</v>
    <v>mdp/vdpid/7049721231901196289</v>
  </rv>
  <rv s="0">
    <v>536870912</v>
    <v>Tălmaciu</v>
    <v>8f7b2b51-18a0-14b2-4220-c781ee2d6f5d</v>
    <v>en-US</v>
    <v>Map</v>
  </rv>
  <rv s="2">
    <v>145</v>
    <v>7</v>
    <v>373</v>
    <v>7</v>
    <v>0</v>
    <v>Image of Tălmaciu</v>
  </rv>
  <rv s="1">
    <fb>45.666666666666998</fb>
    <v>14</v>
  </rv>
  <rv s="0">
    <v>805306368</v>
    <v>Ioan Oancea (Mayor)</v>
    <v>1144c7ae-aa9a-16e1-9e94-cbf2590ee3ae</v>
    <v>en-US</v>
    <v>Generic</v>
  </rv>
  <rv s="4">
    <v>110</v>
  </rv>
  <rv s="3">
    <v>https://www.bing.com/search?q=t%c4%83lmaciu+romania&amp;form=skydnc</v>
    <v>Learn more on Bing</v>
  </rv>
  <rv s="1">
    <fb>24.261111111110999</fb>
    <v>14</v>
  </rv>
  <rv s="1">
    <fb>6711</fb>
    <v>9</v>
  </rv>
  <rv s="11">
    <v>#VALUE!</v>
    <v>en-US</v>
    <v>8f7b2b51-18a0-14b2-4220-c781ee2d6f5d</v>
    <v>536870912</v>
    <v>1</v>
    <v>374</v>
    <v>103</v>
    <v>Tălmaciu</v>
    <v>5</v>
    <v>6</v>
    <v>Map</v>
    <v>7</v>
    <v>104</v>
    <v>0</v>
    <v>26</v>
    <v>Tălmaciu is a town in Sibiu County, in central Romania, 20 km south of the county seat, Sibiu. It lies on the eastern end of the Mărginimea Sibiului area. Tălmaciu is situated at the confluence of the Sadu and Cibin rivers, 2 km before the ...</v>
    <v>1376</v>
    <v>1377</v>
    <v>1379</v>
    <v>1380</v>
    <v>1381</v>
    <v>Tălmaciu</v>
    <v>1382</v>
    <v>7</v>
    <v>Tălmaciu</v>
    <v>mdp/vdpid/7049761002191060993</v>
  </rv>
  <rv s="0">
    <v>536870912</v>
    <v>Dobra, Hunedoara</v>
    <v>3a028574-17f1-454c-30c2-66e0ea30df69</v>
    <v>en-US</v>
    <v>Map</v>
  </rv>
  <rv s="1">
    <fb>138.16</fb>
    <v>9</v>
  </rv>
  <rv s="2">
    <v>146</v>
    <v>7</v>
    <v>375</v>
    <v>7</v>
    <v>0</v>
    <v>Image of Dobra, Hunedoara</v>
  </rv>
  <rv s="1">
    <fb>45.913886111111097</fb>
    <v>14</v>
  </rv>
  <rv s="0">
    <v>805306368</v>
    <v>Ovidiu Iosif Pădurean (Mayor)</v>
    <v>dc0048f0-a620-2319-1e3d-27ae882dab4e</v>
    <v>en-US</v>
    <v>Generic</v>
  </rv>
  <rv s="4">
    <v>111</v>
  </rv>
  <rv s="3">
    <v>https://www.bing.com/search?q=dobra%2c+hunedoara+romania&amp;form=skydnc</v>
    <v>Learn more on Bing</v>
  </rv>
  <rv s="1">
    <fb>22.5669416666667</fb>
    <v>14</v>
  </rv>
  <rv s="1">
    <fb>3203</fb>
    <v>9</v>
  </rv>
  <rv s="6">
    <v>#VALUE!</v>
    <v>en-US</v>
    <v>3a028574-17f1-454c-30c2-66e0ea30df69</v>
    <v>536870912</v>
    <v>1</v>
    <v>376</v>
    <v>12</v>
    <v>Dobra, Hunedoara</v>
    <v>5</v>
    <v>6</v>
    <v>Map</v>
    <v>7</v>
    <v>8</v>
    <v>391</v>
    <v>1385</v>
    <v>26</v>
    <v>Dobra is a commune in Hunedoara County, Transylvania, Romania, close to the city of Deva. It is composed of thirteen villages: Abucea, Bujoru, Dobra, Făgețel, Lăpușnic, Mihăilești, Panc, Panc-Săliște, Rădulești, Roșcani, Stâncești, ...</v>
    <v>1386</v>
    <v>1387</v>
    <v>1389</v>
    <v>1390</v>
    <v>1391</v>
    <v>Dobra, Hunedoara</v>
    <v>1392</v>
    <v>7</v>
    <v>Dobra, Hunedoara</v>
    <v>mdp/vdpid/7049559915194482689</v>
  </rv>
  <rv s="0">
    <v>536870912</v>
    <v>Orțișoara</v>
    <v>16b1a466-02ab-810f-30a1-c200ee28721f</v>
    <v>en-US</v>
    <v>Map</v>
  </rv>
  <rv s="1">
    <fb>145.63</fb>
    <v>9</v>
  </rv>
  <rv s="2">
    <v>147</v>
    <v>7</v>
    <v>377</v>
    <v>7</v>
    <v>0</v>
    <v>Image of Orțișoara</v>
  </rv>
  <rv s="1">
    <fb>45.958579999999998</fb>
    <v>14</v>
  </rv>
  <rv s="0">
    <v>805306368</v>
    <v>Lucian Ivănescu (Mayor)</v>
    <v>9752bbd0-554a-0029-2b35-70f0837a7042</v>
    <v>en-US</v>
    <v>Generic</v>
  </rv>
  <rv s="4">
    <v>112</v>
  </rv>
  <rv s="3">
    <v>https://www.bing.com/search?q=or%c8%9bi%c8%99oara+romania&amp;form=skydnc</v>
    <v>Learn more on Bing</v>
  </rv>
  <rv s="1">
    <fb>21.253504</fb>
    <v>14</v>
  </rv>
  <rv s="6">
    <v>#VALUE!</v>
    <v>en-US</v>
    <v>16b1a466-02ab-810f-30a1-c200ee28721f</v>
    <v>536870912</v>
    <v>1</v>
    <v>378</v>
    <v>12</v>
    <v>Orțișoara</v>
    <v>5</v>
    <v>6</v>
    <v>Map</v>
    <v>7</v>
    <v>8</v>
    <v>269</v>
    <v>1395</v>
    <v>26</v>
    <v>Orțișoara is a commune in Timiș County, Romania. It is composed of four villages: Călacea, Cornești, Orțișoara and Seceani. Orțișoara is located in the northern part of Timiș County, about 24 km from Timișoara. The commune's area falls within ...</v>
    <v>1396</v>
    <v>1397</v>
    <v>1399</v>
    <v>1400</v>
    <v>1401</v>
    <v>Orțișoara</v>
    <v>572</v>
    <v>7</v>
    <v>Orțișoara</v>
    <v>mdp/vdpid/7025493193240084481</v>
  </rv>
  <rv s="0">
    <v>536870912</v>
    <v>Poiana Lacului</v>
    <v>e1946ec2-dbff-3c58-e419-e57569f53050</v>
    <v>en-US</v>
    <v>Map</v>
  </rv>
  <rv s="2">
    <v>148</v>
    <v>7</v>
    <v>379</v>
    <v>7</v>
    <v>0</v>
    <v>Image of Poiana Lacului</v>
  </rv>
  <rv s="1">
    <fb>44.809246000000002</fb>
    <v>14</v>
  </rv>
  <rv s="0">
    <v>805306368</v>
    <v>Ion Dumitrache (Mayor)</v>
    <v>268a4f9f-a05d-e67b-3a0e-9c5d7ebd75f7</v>
    <v>en-US</v>
    <v>Generic</v>
  </rv>
  <rv s="4">
    <v>113</v>
  </rv>
  <rv s="3">
    <v>https://www.bing.com/search?q=poiana+lacului&amp;form=skydnc</v>
    <v>Learn more on Bing</v>
  </rv>
  <rv s="1">
    <fb>24.710276</fb>
    <v>14</v>
  </rv>
  <rv s="1">
    <fb>6136</fb>
    <v>9</v>
  </rv>
  <rv s="11">
    <v>#VALUE!</v>
    <v>en-US</v>
    <v>e1946ec2-dbff-3c58-e419-e57569f53050</v>
    <v>536870912</v>
    <v>1</v>
    <v>380</v>
    <v>103</v>
    <v>Poiana Lacului</v>
    <v>5</v>
    <v>6</v>
    <v>Map</v>
    <v>7</v>
    <v>104</v>
    <v>18</v>
    <v>26</v>
    <v>Poiana Lacului is a commune in Argeș County, Muntenia, Romania. It is composed of thirteen villages: Cătunași, Cepari, Dealu Orașului, Dealu Viilor, Dinculești, Gălețeanu, Gărdinești, Gâlcești, Metofu, Păduroiu din Deal, Păduroiu din Vale, ...</v>
    <v>1404</v>
    <v>1405</v>
    <v>1407</v>
    <v>1408</v>
    <v>1409</v>
    <v>Poiana Lacului</v>
    <v>1410</v>
    <v>7</v>
    <v>Poiana Lacului</v>
    <v>mdp/vdpid/7241969332450754561</v>
  </rv>
  <rv s="0">
    <v>536870912</v>
    <v>Borș, Bihor</v>
    <v>e55d4710-390e-172d-8ead-adbf5fe4af3b</v>
    <v>en-US</v>
    <v>Map</v>
  </rv>
  <rv s="1">
    <fb>43.4</fb>
    <v>9</v>
  </rv>
  <rv s="2">
    <v>149</v>
    <v>7</v>
    <v>381</v>
    <v>7</v>
    <v>0</v>
    <v>Image of Borș, Bihor</v>
  </rv>
  <rv s="1">
    <fb>47.116944439999997</fb>
    <v>14</v>
  </rv>
  <rv s="0">
    <v>805306368</v>
    <v>Géza Bátori (Mayor)</v>
    <v>dbb44e4c-2438-34a2-c63b-3a5cdf3dbcaf</v>
    <v>en-US</v>
    <v>Generic</v>
  </rv>
  <rv s="4">
    <v>114</v>
  </rv>
  <rv s="1">
    <fb>21.802222220000001</fb>
    <v>14</v>
  </rv>
  <rv s="1">
    <fb>4267</fb>
    <v>9</v>
  </rv>
  <rv s="17">
    <v>#VALUE!</v>
    <v>en-US</v>
    <v>e55d4710-390e-172d-8ead-adbf5fe4af3b</v>
    <v>536870912</v>
    <v>1</v>
    <v>382</v>
    <v>299</v>
    <v>Borș, Bihor</v>
    <v>194</v>
    <v>6</v>
    <v>Map</v>
    <v>7</v>
    <v>8</v>
    <v>46</v>
    <v>46</v>
    <v>1413</v>
    <v>26</v>
    <v>Borș is a commune in Bihor County, Crișana, Romania. It is composed of four villages: Borș, Santăul Mare, Santăul Mic, and Sântion. There is an important border crossing with Hungary near Borș, both for road traffic and rail traffic.</v>
    <v>1414</v>
    <v>1415</v>
    <v>1417</v>
    <v>1418</v>
    <v>Borș, Bihor</v>
    <v>1419</v>
    <v>7</v>
    <v>Borș, Bihor</v>
    <v>mdp/vdpid/7025251844716756993</v>
  </rv>
  <rv s="0">
    <v>536870912</v>
    <v>Vulcan, Brașov</v>
    <v>74000cb3-4d93-8c38-f55e-ae15b3f6a506</v>
    <v>en-US</v>
    <v>Map</v>
  </rv>
  <rv s="2">
    <v>150</v>
    <v>7</v>
    <v>383</v>
    <v>7</v>
    <v>0</v>
    <v>Image of Vulcan, Brașov</v>
  </rv>
  <rv s="1">
    <fb>45.635277777778001</fb>
    <v>14</v>
  </rv>
  <rv s="0">
    <v>805306368</v>
    <v>Marius-Adrian Doda (Mayor)</v>
    <v>33eca090-42b6-4310-e5ba-5ec095f5c54d</v>
    <v>en-US</v>
    <v>Generic</v>
  </rv>
  <rv s="4">
    <v>115</v>
  </rv>
  <rv s="1">
    <fb>25.417222222222001</fb>
    <v>14</v>
  </rv>
  <rv s="1">
    <fb>4823</fb>
    <v>9</v>
  </rv>
  <rv s="15">
    <v>#VALUE!</v>
    <v>en-US</v>
    <v>74000cb3-4d93-8c38-f55e-ae15b3f6a506</v>
    <v>536870912</v>
    <v>1</v>
    <v>384</v>
    <v>249</v>
    <v>Vulcan, Brașov</v>
    <v>194</v>
    <v>6</v>
    <v>Map</v>
    <v>7</v>
    <v>104</v>
    <v>158</v>
    <v>26</v>
    <v>Vulcan is a commune in Brașov County, Transylvania, Romania. It is composed of two villages, Colonia 1 Mai and Vulcan. It also included Holbav village until 2004, when it was split off to form a separate commune.</v>
    <v>1422</v>
    <v>1423</v>
    <v>1425</v>
    <v>1426</v>
    <v>Vulcan, Brașov</v>
    <v>1427</v>
    <v>7</v>
    <v>Vulcan, Brașov</v>
    <v>mdp/vdpid/7050175099332198401</v>
  </rv>
  <rv s="0">
    <v>536870912</v>
    <v>Piatra-Olt</v>
    <v>8aeaebd1-2511-ef92-be83-41ac6890583d</v>
    <v>en-US</v>
    <v>Map</v>
  </rv>
  <rv s="1">
    <fb>76.83</fb>
    <v>9</v>
  </rv>
  <rv s="2">
    <v>151</v>
    <v>7</v>
    <v>385</v>
    <v>7</v>
    <v>0</v>
    <v>Image of Piatra-Olt</v>
  </rv>
  <rv s="1">
    <fb>44.360277777778002</fb>
    <v>14</v>
  </rv>
  <rv s="0">
    <v>805306368</v>
    <v>Nicușor Rada (Mayor)</v>
    <v>c7435850-8686-77bb-9c50-6d9b1f7391bd</v>
    <v>en-US</v>
    <v>Generic</v>
  </rv>
  <rv s="4">
    <v>116</v>
  </rv>
  <rv s="3">
    <v>https://www.bing.com/search?q=piatra-olt+romania&amp;form=skydnc</v>
    <v>Learn more on Bing</v>
  </rv>
  <rv s="1">
    <fb>24.294166666667</fb>
    <v>14</v>
  </rv>
  <rv s="1">
    <fb>6000</fb>
    <v>9</v>
  </rv>
  <rv s="6">
    <v>#VALUE!</v>
    <v>en-US</v>
    <v>8aeaebd1-2511-ef92-be83-41ac6890583d</v>
    <v>536870912</v>
    <v>1</v>
    <v>386</v>
    <v>12</v>
    <v>Piatra-Olt</v>
    <v>5</v>
    <v>6</v>
    <v>Map</v>
    <v>7</v>
    <v>8</v>
    <v>460</v>
    <v>1430</v>
    <v>26</v>
    <v>Piatra-Olt is a town in Olt County, Oltenia, Romania. The town administers five villages: Bistrița Nouă, Criva de Jos, Criva de Sus, Enoșești, and Piatra. The town is an important railway station and road intersection. It officially became a ...</v>
    <v>1431</v>
    <v>1432</v>
    <v>1434</v>
    <v>1435</v>
    <v>1436</v>
    <v>Piatra-Olt</v>
    <v>1437</v>
    <v>7</v>
    <v>Piatra-Olt</v>
    <v>mdp/vdpid/7241954981807390721</v>
  </rv>
  <rv s="0">
    <v>536870912</v>
    <v>Sânpetru</v>
    <v>ad816a44-28b3-c517-bc6c-5e29c1df6d21</v>
    <v>en-US</v>
    <v>Map</v>
  </rv>
  <rv s="1">
    <fb>30.74</fb>
    <v>9</v>
  </rv>
  <rv s="2">
    <v>152</v>
    <v>7</v>
    <v>387</v>
    <v>7</v>
    <v>0</v>
    <v>Image of Sânpetru</v>
  </rv>
  <rv s="1">
    <fb>45.716700000000003</fb>
    <v>14</v>
  </rv>
  <rv s="0">
    <v>805306368</v>
    <v>Andrei-Darius Moldovan (Mayor)</v>
    <v>8c4b09e9-6324-3c1c-1e88-bb9eb39a2036</v>
    <v>en-US</v>
    <v>Generic</v>
  </rv>
  <rv s="4">
    <v>117</v>
  </rv>
  <rv s="3">
    <v>https://www.bing.com/search?q=s%c3%a2npetru&amp;form=skydnc</v>
    <v>Learn more on Bing</v>
  </rv>
  <rv s="1">
    <fb>25.633299999999998</fb>
    <v>14</v>
  </rv>
  <rv s="1">
    <fb>11794</fb>
    <v>9</v>
  </rv>
  <rv s="6">
    <v>#VALUE!</v>
    <v>en-US</v>
    <v>ad816a44-28b3-c517-bc6c-5e29c1df6d21</v>
    <v>536870912</v>
    <v>1</v>
    <v>388</v>
    <v>12</v>
    <v>Sânpetru</v>
    <v>5</v>
    <v>6</v>
    <v>Map</v>
    <v>7</v>
    <v>8</v>
    <v>158</v>
    <v>1440</v>
    <v>26</v>
    <v>Sânpetru is a commune in Brașov County, Transylvania, Romania, located just north of the county seat, Brașov. It is composed of a single village, Sânpetru. The commune is located in the Burzenland ethnographic area, in the eastern part of the ...</v>
    <v>1441</v>
    <v>1442</v>
    <v>1444</v>
    <v>1445</v>
    <v>1446</v>
    <v>Sânpetru</v>
    <v>1447</v>
    <v>7</v>
    <v>Sânpetru</v>
    <v>mdp/vdpid/7050183236097409025</v>
  </rv>
  <rv s="0">
    <v>536870912</v>
    <v>Vadu Crișului</v>
    <v>36a93977-f6ba-e0b6-29d7-cb7a213b5afd</v>
    <v>en-US</v>
    <v>Map</v>
  </rv>
  <rv s="1">
    <fb>74.7</fb>
    <v>9</v>
  </rv>
  <rv s="2">
    <v>153</v>
    <v>7</v>
    <v>389</v>
    <v>7</v>
    <v>0</v>
    <v>Image of Vadu Crișului</v>
  </rv>
  <rv s="1">
    <fb>46.979346</fb>
    <v>14</v>
  </rv>
  <rv s="3">
    <v>https://www.bing.com/search?q=vadu+cri%c8%99ului+romania&amp;form=skydnc</v>
    <v>Learn more on Bing</v>
  </rv>
  <rv s="1">
    <fb>22.499431000000001</fb>
    <v>14</v>
  </rv>
  <rv s="1">
    <fb>3784</fb>
    <v>9</v>
  </rv>
  <rv s="7">
    <v>#VALUE!</v>
    <v>en-US</v>
    <v>36a93977-f6ba-e0b6-29d7-cb7a213b5afd</v>
    <v>536870912</v>
    <v>1</v>
    <v>390</v>
    <v>25</v>
    <v>Vadu Crișului</v>
    <v>5</v>
    <v>6</v>
    <v>Map</v>
    <v>7</v>
    <v>8</v>
    <v>46</v>
    <v>46</v>
    <v>1450</v>
    <v>26</v>
    <v>Vadu Crișului is a commune in Bihor County, Crișana, Romania with a recorded population of 3,784 in the 2021 Romanian census and 4,009 people in the 2011 Romanian census. It is composed of four villages: Birtin, Topa de Criș, Tomnatic and Vadu ...</v>
    <v>1451</v>
    <v>1452</v>
    <v>1453</v>
    <v>1454</v>
    <v>Vadu Crișului</v>
    <v>1455</v>
    <v>7</v>
    <v>Vadu Crișului</v>
    <v>mdp/vdpid/7049330880912818177</v>
  </rv>
  <rv s="0">
    <v>536870912</v>
    <v>Ardud</v>
    <v>9f62726e-3b4b-07c8-b12b-a3ea6d164971</v>
    <v>en-US</v>
    <v>Map</v>
  </rv>
  <rv s="1">
    <fb>140</fb>
    <v>9</v>
  </rv>
  <rv s="2">
    <v>154</v>
    <v>7</v>
    <v>391</v>
    <v>7</v>
    <v>0</v>
    <v>Image of Ardud</v>
  </rv>
  <rv s="1">
    <fb>47.633333333332999</fb>
    <v>14</v>
  </rv>
  <rv s="0">
    <v>805306368</v>
    <v>Ovidiu-Marius Duma (Mayor)</v>
    <v>1e6eb55f-228c-2707-363b-c2ea95b99397</v>
    <v>en-US</v>
    <v>Generic</v>
  </rv>
  <rv s="4">
    <v>118</v>
  </rv>
  <rv s="3">
    <v>https://www.bing.com/search?q=ardud+romania&amp;form=skydnc</v>
    <v>Learn more on Bing</v>
  </rv>
  <rv s="1">
    <fb>22.883333333332999</fb>
    <v>14</v>
  </rv>
  <rv s="1">
    <fb>6124</fb>
    <v>9</v>
  </rv>
  <rv s="6">
    <v>#VALUE!</v>
    <v>en-US</v>
    <v>9f62726e-3b4b-07c8-b12b-a3ea6d164971</v>
    <v>536870912</v>
    <v>1</v>
    <v>392</v>
    <v>12</v>
    <v>Ardud</v>
    <v>5</v>
    <v>6</v>
    <v>Map</v>
    <v>7</v>
    <v>8</v>
    <v>512</v>
    <v>1458</v>
    <v>26</v>
    <v>Ardud is a town situated in Satu Mare County, Transylvania, Romania. It administers five villages: Ardud-Vii, Baba Novac, Gerăușa, Mădăras, and Sărătura. The town has a complex history, having in different periods been part the Kingdom of ...</v>
    <v>1459</v>
    <v>1460</v>
    <v>1462</v>
    <v>1463</v>
    <v>1464</v>
    <v>Ardud</v>
    <v>1465</v>
    <v>7</v>
    <v>Ardud</v>
    <v>mdp/vdpid/7049272543127011329</v>
  </rv>
  <rv s="0">
    <v>536870912</v>
    <v>Girișu de Criș</v>
    <v>d132bf84-88d6-bd44-3972-81aec60e52b5</v>
    <v>en-US</v>
    <v>Map</v>
  </rv>
  <rv s="1">
    <fb>44.82</fb>
    <v>9</v>
  </rv>
  <rv s="2">
    <v>155</v>
    <v>7</v>
    <v>393</v>
    <v>7</v>
    <v>0</v>
    <v>Image of Girișu de Criș</v>
  </rv>
  <rv s="1">
    <fb>47.066912000000002</fb>
    <v>14</v>
  </rv>
  <rv s="3">
    <v>https://www.bing.com/search?q=giri%c8%99u+de+cri%c8%99+romania&amp;form=skydnc</v>
    <v>Learn more on Bing</v>
  </rv>
  <rv s="1">
    <fb>21.765795000000001</fb>
    <v>14</v>
  </rv>
  <rv s="1">
    <fb>3772</fb>
    <v>9</v>
  </rv>
  <rv s="7">
    <v>#VALUE!</v>
    <v>en-US</v>
    <v>d132bf84-88d6-bd44-3972-81aec60e52b5</v>
    <v>536870912</v>
    <v>1</v>
    <v>394</v>
    <v>25</v>
    <v>Girișu de Criș</v>
    <v>5</v>
    <v>6</v>
    <v>Map</v>
    <v>7</v>
    <v>8</v>
    <v>46</v>
    <v>46</v>
    <v>1468</v>
    <v>26</v>
    <v>Girișu de Criș is a commune in Bihor County, Crișana, Romania, with a population of 3,588 people. It is composed of two villages, Girișu de Criș and Tărian.</v>
    <v>1469</v>
    <v>1470</v>
    <v>1471</v>
    <v>1472</v>
    <v>Girișu de Criș</v>
    <v>1473</v>
    <v>7</v>
    <v>Girișu de Criș</v>
    <v>mdp/vdpid/7025275346878464001</v>
  </rv>
  <rv s="0">
    <v>536870912</v>
    <v>Vinga, Arad</v>
    <v>3edcf33a-c8f4-6a9c-9703-c4c5c367d1c5</v>
    <v>en-US</v>
    <v>Map</v>
  </rv>
  <rv s="1">
    <fb>155</fb>
    <v>9</v>
  </rv>
  <rv s="2">
    <v>156</v>
    <v>7</v>
    <v>395</v>
    <v>7</v>
    <v>0</v>
    <v>Image of Vinga, Arad</v>
  </rv>
  <rv s="1">
    <fb>46.024326199999997</fb>
    <v>14</v>
  </rv>
  <rv s="3">
    <v>https://www.bing.com/search?q=vinga&amp;form=skydnc</v>
    <v>Learn more on Bing</v>
  </rv>
  <rv s="1">
    <fb>21.171175300000002</fb>
    <v>14</v>
  </rv>
  <rv s="1">
    <fb>6083</fb>
    <v>9</v>
  </rv>
  <rv s="9">
    <v>#VALUE!</v>
    <v>en-US</v>
    <v>3edcf33a-c8f4-6a9c-9703-c4c5c367d1c5</v>
    <v>536870912</v>
    <v>1</v>
    <v>396</v>
    <v>70</v>
    <v>Vinga, Arad</v>
    <v>5</v>
    <v>6</v>
    <v>Map</v>
    <v>7</v>
    <v>8</v>
    <v>120</v>
    <v>1476</v>
    <v>26</v>
    <v>Vinga is a commune in Arad County, western Romania, south of the county seat of Arad, with a population of 5,828 inhabitants. Vinga is located in the northern section of the Banat. The people in Vinga are mainly Romanians, the second largest ...</v>
    <v>1477</v>
    <v>1478</v>
    <v>1479</v>
    <v>1480</v>
    <v>Vinga, Arad</v>
    <v>1481</v>
    <v>7</v>
    <v>Vinga, Arad</v>
    <v>mdp/vdpid/7025492945507713025</v>
  </rv>
  <rv s="0">
    <v>536870912</v>
    <v>Curtea de Argeș</v>
    <v>45d2e3a4-5c00-5bc3-0fc1-ca590cdd8fca</v>
    <v>en-US</v>
    <v>Map</v>
  </rv>
  <rv s="1">
    <fb>75</fb>
    <v>9</v>
  </rv>
  <rv s="2">
    <v>157</v>
    <v>7</v>
    <v>397</v>
    <v>7</v>
    <v>0</v>
    <v>Image of Curtea de Argeș</v>
  </rv>
  <rv s="1">
    <fb>45.116666666667001</fb>
    <v>14</v>
  </rv>
  <rv s="0">
    <v>805306368</v>
    <v>Constantin Panțurescu (Mayor)</v>
    <v>27e58140-afed-68bb-d445-7be317000962</v>
    <v>en-US</v>
    <v>Generic</v>
  </rv>
  <rv s="4">
    <v>119</v>
  </rv>
  <rv s="3">
    <v>https://www.bing.com/search?q=curtea+de+arge%c8%99&amp;form=skydnc</v>
    <v>Learn more on Bing</v>
  </rv>
  <rv s="1">
    <fb>25977</fb>
    <v>9</v>
  </rv>
  <rv s="6">
    <v>#VALUE!</v>
    <v>en-US</v>
    <v>45d2e3a4-5c00-5bc3-0fc1-ca590cdd8fca</v>
    <v>536870912</v>
    <v>1</v>
    <v>398</v>
    <v>12</v>
    <v>Curtea de Argeș</v>
    <v>5</v>
    <v>6</v>
    <v>Map</v>
    <v>7</v>
    <v>8</v>
    <v>18</v>
    <v>1484</v>
    <v>26</v>
    <v>Curtea de Argeș is a city in Romania on the left bank of the river Argeș, where it flows through a valley of the Southern Carpathians, on the railway from Pitești to the Turnu Roșu Pass. It is part of Argeș County. The city also administers one ...</v>
    <v>1485</v>
    <v>1486</v>
    <v>1488</v>
    <v>1489</v>
    <v>1187</v>
    <v>Curtea de Argeș</v>
    <v>1490</v>
    <v>7</v>
    <v>Curtea de Argeș</v>
    <v>mdp/vdpid/7049806285809647617</v>
  </rv>
  <rv s="0">
    <v>536870912</v>
    <v>Joseni</v>
    <v>fda42927-3ef2-0faa-0f8b-11ae62758212</v>
    <v>en-US</v>
    <v>Map</v>
  </rv>
  <rv s="1">
    <fb>22401</fb>
    <v>9</v>
  </rv>
  <rv s="2">
    <v>158</v>
    <v>7</v>
    <v>399</v>
    <v>7</v>
    <v>0</v>
    <v>Image of Joseni</v>
  </rv>
  <rv s="1">
    <fb>46.705002999999998</fb>
    <v>14</v>
  </rv>
  <rv s="0">
    <v>805306368</v>
    <v>Szabolcs Gáll (Mayor)</v>
    <v>1695daae-9d0e-8940-ac53-d7b384c13a7d</v>
    <v>en-US</v>
    <v>Generic</v>
  </rv>
  <rv s="4">
    <v>120</v>
  </rv>
  <rv s="3">
    <v>https://www.bing.com/search?q=joseni+romania&amp;form=skydnc</v>
    <v>Learn more on Bing</v>
  </rv>
  <rv s="1">
    <fb>25.359864000000002</fb>
    <v>14</v>
  </rv>
  <rv s="1">
    <fb>5268</fb>
    <v>9</v>
  </rv>
  <rv s="6">
    <v>#VALUE!</v>
    <v>en-US</v>
    <v>fda42927-3ef2-0faa-0f8b-11ae62758212</v>
    <v>536870912</v>
    <v>1</v>
    <v>400</v>
    <v>12</v>
    <v>Joseni</v>
    <v>5</v>
    <v>6</v>
    <v>Map</v>
    <v>7</v>
    <v>8</v>
    <v>71</v>
    <v>1493</v>
    <v>26</v>
    <v>The first written mention of the commune is from 1567 as Alffalw. In 1614, it was recorded that Alfalu had 104 families. In 1724, it was already mentioned as Gyergyó Alfalu. Its Romanian name was Alfalău until 1919 and was derived from the ...</v>
    <v>1494</v>
    <v>1495</v>
    <v>1497</v>
    <v>1498</v>
    <v>1499</v>
    <v>Joseni</v>
    <v>1500</v>
    <v>7</v>
    <v>Joseni</v>
    <v>mdp/vdpid/7049912865775419393</v>
  </rv>
  <rv s="0">
    <v>536870912</v>
    <v>Satulung</v>
    <v>fe923e5e-f5ff-0d8c-4a15-1f14e54d3c6d</v>
    <v>en-US</v>
    <v>Map</v>
  </rv>
  <rv s="1">
    <fb>68.5</fb>
    <v>9</v>
  </rv>
  <rv s="2">
    <v>159</v>
    <v>7</v>
    <v>401</v>
    <v>7</v>
    <v>0</v>
    <v>Image of Satulung</v>
  </rv>
  <rv s="1">
    <fb>47.557774999999999</fb>
    <v>14</v>
  </rv>
  <rv s="0">
    <v>805306368</v>
    <v>Bujorel-Vasile Mureșan (Mayor)</v>
    <v>77f900ba-b0ef-f39c-85d6-c4dfa5036e4e</v>
    <v>en-US</v>
    <v>Generic</v>
  </rv>
  <rv s="4">
    <v>121</v>
  </rv>
  <rv s="3">
    <v>https://www.bing.com/search?q=satulung+romania&amp;form=skydnc</v>
    <v>Learn more on Bing</v>
  </rv>
  <rv s="1">
    <fb>23.418002999999999</fb>
    <v>14</v>
  </rv>
  <rv s="1">
    <fb>6376</fb>
    <v>9</v>
  </rv>
  <rv s="6">
    <v>#VALUE!</v>
    <v>en-US</v>
    <v>fe923e5e-f5ff-0d8c-4a15-1f14e54d3c6d</v>
    <v>536870912</v>
    <v>1</v>
    <v>402</v>
    <v>12</v>
    <v>Satulung</v>
    <v>5</v>
    <v>6</v>
    <v>Map</v>
    <v>7</v>
    <v>8</v>
    <v>236</v>
    <v>1503</v>
    <v>26</v>
    <v>Satulung is a commune in Maramureș County, Romania. Its name, translated in English, means "the long village". It is composed of seven villages: Arieșu de Pădure, Fersig, Finteușu Mic, Hideaga, Mogoșești, Pribilești, and Satulung.</v>
    <v>1504</v>
    <v>1505</v>
    <v>1507</v>
    <v>1508</v>
    <v>1509</v>
    <v>Satulung</v>
    <v>1510</v>
    <v>7</v>
    <v>Satulung</v>
    <v>mdp/vdpid/7049301610794582017</v>
  </rv>
  <rv s="0">
    <v>536870912</v>
    <v>Merghindeal</v>
    <v>1a97c24d-e121-687a-ee40-94836057192f</v>
    <v>en-US</v>
    <v>Map</v>
  </rv>
  <rv s="1">
    <fb>64.91</fb>
    <v>9</v>
  </rv>
  <rv s="2">
    <v>160</v>
    <v>7</v>
    <v>403</v>
    <v>7</v>
    <v>0</v>
    <v>Image of Merghindeal</v>
  </rv>
  <rv s="1">
    <fb>45.983231000000004</fb>
    <v>14</v>
  </rv>
  <rv s="0">
    <v>805306368</v>
    <v>Aurel Ioan Țerbea (Mayor)</v>
    <v>27b376e1-ab68-9839-87d8-f236d5768e25</v>
    <v>en-US</v>
    <v>Generic</v>
  </rv>
  <rv s="4">
    <v>122</v>
  </rv>
  <rv s="3">
    <v>https://www.bing.com/search?q=merghindeal+romania&amp;form=skydnc</v>
    <v>Learn more on Bing</v>
  </rv>
  <rv s="1">
    <fb>24.732717999999998</fb>
    <v>14</v>
  </rv>
  <rv s="1">
    <fb>1502</fb>
    <v>9</v>
  </rv>
  <rv s="6">
    <v>#VALUE!</v>
    <v>en-US</v>
    <v>1a97c24d-e121-687a-ee40-94836057192f</v>
    <v>536870912</v>
    <v>1</v>
    <v>404</v>
    <v>12</v>
    <v>Merghindeal</v>
    <v>5</v>
    <v>6</v>
    <v>Map</v>
    <v>7</v>
    <v>8</v>
    <v>0</v>
    <v>1513</v>
    <v>26</v>
    <v>Merghindeal is a commune located in Sibiu County, Transylvania, Romania. It is composed of two villages, Dealu Frumos and Merghindeal. Each of these has a fortified church. The commune lies at the southern edge of the Transylvanian Plateau. It ...</v>
    <v>1514</v>
    <v>1515</v>
    <v>1517</v>
    <v>1518</v>
    <v>1519</v>
    <v>Merghindeal</v>
    <v>1520</v>
    <v>7</v>
    <v>Merghindeal</v>
    <v>mdp/vdpid/7049736878701936641</v>
  </rv>
  <rv s="0">
    <v>536870912</v>
    <v>Potcoava</v>
    <v>c1e2961e-cb20-22f3-fee2-d52c66aa976d</v>
    <v>en-US</v>
    <v>Map</v>
  </rv>
  <rv s="1">
    <fb>65</fb>
    <v>9</v>
  </rv>
  <rv s="2">
    <v>161</v>
    <v>7</v>
    <v>405</v>
    <v>7</v>
    <v>0</v>
    <v>Image of Potcoava</v>
  </rv>
  <rv s="1">
    <fb>44.474850736357801</fb>
    <v>14</v>
  </rv>
  <rv s="0">
    <v>805306368</v>
    <v>Nicușor-Manuel Enăchioaia (Mayor)</v>
    <v>2b24dc01-37de-594a-07a4-d6fc73e3604a</v>
    <v>en-US</v>
    <v>Generic</v>
  </rv>
  <rv s="4">
    <v>123</v>
  </rv>
  <rv s="3">
    <v>https://www.bing.com/search?q=potcoava+romania&amp;form=skydnc</v>
    <v>Learn more on Bing</v>
  </rv>
  <rv s="1">
    <fb>24.6411991924594</fb>
    <v>14</v>
  </rv>
  <rv s="1">
    <fb>5229</fb>
    <v>9</v>
  </rv>
  <rv s="6">
    <v>#VALUE!</v>
    <v>en-US</v>
    <v>c1e2961e-cb20-22f3-fee2-d52c66aa976d</v>
    <v>536870912</v>
    <v>1</v>
    <v>406</v>
    <v>12</v>
    <v>Potcoava</v>
    <v>5</v>
    <v>6</v>
    <v>Map</v>
    <v>7</v>
    <v>8</v>
    <v>460</v>
    <v>1523</v>
    <v>26</v>
    <v>Potcoava is a town in Olt County, Muntenia, Romania. The town administers four villages: Potcoava-Fălcoeni, Sinești, Trufinești and Valea Merilor. The town is located in the northeastern part of the county, 30 km east of the county seat, Slatina.</v>
    <v>1524</v>
    <v>1525</v>
    <v>1527</v>
    <v>1528</v>
    <v>1529</v>
    <v>Potcoava</v>
    <v>1530</v>
    <v>7</v>
    <v>Potcoava</v>
    <v>mdp/vdpid/7241983255761649665</v>
  </rv>
  <rv s="0">
    <v>536870912</v>
    <v>Călan</v>
    <v>3425d0d9-dc87-001d-f22c-e18ee90ba63c</v>
    <v>en-US</v>
    <v>Map</v>
  </rv>
  <rv s="1">
    <fb>101.5</fb>
    <v>9</v>
  </rv>
  <rv s="2">
    <v>162</v>
    <v>7</v>
    <v>407</v>
    <v>7</v>
    <v>0</v>
    <v>Image of Călan</v>
  </rv>
  <rv s="1">
    <fb>45.736111111111001</fb>
    <v>14</v>
  </rv>
  <rv s="0">
    <v>805306368</v>
    <v>Adrian-Filip Iovănesc (Mayor)</v>
    <v>786ce998-acc1-6398-99a1-c2e555ed3069</v>
    <v>en-US</v>
    <v>Generic</v>
  </rv>
  <rv s="4">
    <v>124</v>
  </rv>
  <rv s="3">
    <v>https://www.bing.com/search?q=c%c4%83lan+romania&amp;form=skydnc</v>
    <v>Learn more on Bing</v>
  </rv>
  <rv s="1">
    <fb>23.008611111111001</fb>
    <v>14</v>
  </rv>
  <rv s="1">
    <fb>10055</fb>
    <v>9</v>
  </rv>
  <rv s="6">
    <v>#VALUE!</v>
    <v>en-US</v>
    <v>3425d0d9-dc87-001d-f22c-e18ee90ba63c</v>
    <v>536870912</v>
    <v>1</v>
    <v>408</v>
    <v>12</v>
    <v>Călan</v>
    <v>5</v>
    <v>6</v>
    <v>Map</v>
    <v>7</v>
    <v>8</v>
    <v>391</v>
    <v>1533</v>
    <v>26</v>
    <v>Călan is a town in Hunedoara County, Romania. Twelve villages are administered by the town: Batiz, Călanu Mic, Grid, Nădăștia de Jos, Nădăștia de Sus, Ohaba Streiului, Sâncrai, Sântămăria de Piatră, Strei, Strei-Săcel, Streisângeorgiu, and Valea ...</v>
    <v>1534</v>
    <v>1535</v>
    <v>1537</v>
    <v>1538</v>
    <v>1539</v>
    <v>Călan</v>
    <v>1540</v>
    <v>7</v>
    <v>Călan</v>
    <v>mdp/vdpid/7049573762236153857</v>
  </rv>
  <rv s="0">
    <v>536870912</v>
    <v>Poieni, Cluj</v>
    <v>627ab8b6-7c11-a46e-4e07-ffb8c8fb668a</v>
    <v>en-US</v>
    <v>Map</v>
  </rv>
  <rv s="1">
    <fb>190</fb>
    <v>9</v>
  </rv>
  <rv s="2">
    <v>163</v>
    <v>7</v>
    <v>409</v>
    <v>7</v>
    <v>0</v>
    <v>Image of Poieni, Cluj</v>
  </rv>
  <rv s="1">
    <fb>46.895907000000001</fb>
    <v>14</v>
  </rv>
  <rv s="0">
    <v>805306368</v>
    <v>Gheorghe Constantin Boca (Mayor)</v>
    <v>83058564-f383-7e42-177f-ef37ba850252</v>
    <v>en-US</v>
    <v>Generic</v>
  </rv>
  <rv s="4">
    <v>125</v>
  </rv>
  <rv s="3">
    <v>https://www.bing.com/search?q=poieni%2c+cluj+romania&amp;form=skydnc</v>
    <v>Learn more on Bing</v>
  </rv>
  <rv s="1">
    <fb>22.850746999999998</fb>
    <v>14</v>
  </rv>
  <rv s="1">
    <fb>4367</fb>
    <v>9</v>
  </rv>
  <rv s="6">
    <v>#VALUE!</v>
    <v>en-US</v>
    <v>627ab8b6-7c11-a46e-4e07-ffb8c8fb668a</v>
    <v>536870912</v>
    <v>1</v>
    <v>410</v>
    <v>12</v>
    <v>Poieni, Cluj</v>
    <v>5</v>
    <v>6</v>
    <v>Map</v>
    <v>7</v>
    <v>8</v>
    <v>615</v>
    <v>1543</v>
    <v>26</v>
    <v>Poieni is a commune in Cluj County, Transylvania, Romania. It is composed of eight villages: Bologa, Cerbești, Hodișu, Lunca Vișagului, Morlaca, Poieni, Tranișu, and Valea Drăganului. Bologa is a village in the Poieni commune, with a population ...</v>
    <v>1544</v>
    <v>1545</v>
    <v>1547</v>
    <v>1548</v>
    <v>1549</v>
    <v>Poieni, Cluj</v>
    <v>1550</v>
    <v>7</v>
    <v>Poieni, Cluj</v>
    <v>mdp/vdpid/7049334070462906369</v>
  </rv>
  <rv s="0">
    <v>536870912</v>
    <v>Jucu</v>
    <v>497a6cbf-fece-4714-237f-780fe2777fe2</v>
    <v>en-US</v>
    <v>Map</v>
  </rv>
  <rv s="1">
    <fb>85.13</fb>
    <v>9</v>
  </rv>
  <rv s="2">
    <v>164</v>
    <v>7</v>
    <v>411</v>
    <v>7</v>
    <v>0</v>
    <v>Image of Jucu</v>
  </rv>
  <rv s="1">
    <fb>46.854999999999997</fb>
    <v>14</v>
  </rv>
  <rv s="0">
    <v>805306368</v>
    <v>Valentin-Dorel Pojar (Mayor)</v>
    <v>0a84c477-c1f9-3764-da99-94aa23126075</v>
    <v>en-US</v>
    <v>Generic</v>
  </rv>
  <rv s="4">
    <v>126</v>
  </rv>
  <rv s="3">
    <v>https://www.bing.com/search?q=jucu+romania&amp;form=skydnc</v>
    <v>Learn more on Bing</v>
  </rv>
  <rv s="1">
    <fb>23.793333333332999</fb>
    <v>14</v>
  </rv>
  <rv s="1">
    <fb>5349</fb>
    <v>9</v>
  </rv>
  <rv s="6">
    <v>#VALUE!</v>
    <v>en-US</v>
    <v>497a6cbf-fece-4714-237f-780fe2777fe2</v>
    <v>536870912</v>
    <v>1</v>
    <v>412</v>
    <v>12</v>
    <v>Jucu</v>
    <v>5</v>
    <v>6</v>
    <v>Map</v>
    <v>7</v>
    <v>8</v>
    <v>615</v>
    <v>1553</v>
    <v>26</v>
    <v>Jucu is a commune in Cluj County, Transylvania, Romania. It is composed of five villages: Gădălin, Juc-Herghelie, Jucu de Mijloc, commune centre Jucu de Sus, and Vișea. In 2007, Nokia started a €200 million investment in Jucu, building a ...</v>
    <v>1554</v>
    <v>1555</v>
    <v>1557</v>
    <v>1558</v>
    <v>1559</v>
    <v>Jucu</v>
    <v>1560</v>
    <v>7</v>
    <v>Jucu</v>
    <v>mdp/vdpid/7049381362213584897</v>
  </rv>
  <rv s="0">
    <v>536870912</v>
    <v>Drăgășani</v>
    <v>8c64581d-5349-803b-f8bc-428e401b12b2</v>
    <v>en-US</v>
    <v>Map</v>
  </rv>
  <rv s="1">
    <fb>44.57</fb>
    <v>9</v>
  </rv>
  <rv s="2">
    <v>165</v>
    <v>7</v>
    <v>413</v>
    <v>7</v>
    <v>0</v>
    <v>Image of Drăgășani</v>
  </rv>
  <rv s="1">
    <fb>44.661111111110998</fb>
    <v>14</v>
  </rv>
  <rv s="0">
    <v>805306368</v>
    <v>Costinel Stoica (Mayor)</v>
    <v>ae7558c4-39c0-d765-9f7a-920830f6259d</v>
    <v>en-US</v>
    <v>Generic</v>
  </rv>
  <rv s="4">
    <v>127</v>
  </rv>
  <rv s="3">
    <v>https://www.bing.com/search?q=dr%c4%83g%c4%83%c8%99ani+romania&amp;form=skydnc</v>
    <v>Learn more on Bing</v>
  </rv>
  <rv s="1">
    <fb>24.263888888888999</fb>
    <v>14</v>
  </rv>
  <rv s="1">
    <fb>15617</fb>
    <v>9</v>
  </rv>
  <rv s="6">
    <v>#VALUE!</v>
    <v>en-US</v>
    <v>8c64581d-5349-803b-f8bc-428e401b12b2</v>
    <v>536870912</v>
    <v>1</v>
    <v>414</v>
    <v>12</v>
    <v>Drăgășani</v>
    <v>5</v>
    <v>6</v>
    <v>Map</v>
    <v>7</v>
    <v>8</v>
    <v>495</v>
    <v>1563</v>
    <v>26</v>
    <v>Drăgășani is a city in Vâlcea County, Romania, near the right bank of the Olt river, and on the railway between Caracal and Râmnicu Vâlcea. The city is well known for the vineyards on the neighboring hills that produce some of the best ...</v>
    <v>1564</v>
    <v>1565</v>
    <v>1567</v>
    <v>1568</v>
    <v>1569</v>
    <v>Drăgășani</v>
    <v>1570</v>
    <v>7</v>
    <v>Drăgășani</v>
    <v>mdp/vdpid/7241937659868741633</v>
  </rv>
  <rv s="0">
    <v>536870912</v>
    <v>Oravița</v>
    <v>6c720764-a8e8-bd99-e9ab-257940610748</v>
    <v>en-US</v>
    <v>Map</v>
  </rv>
  <rv s="1">
    <fb>168.9</fb>
    <v>9</v>
  </rv>
  <rv s="2">
    <v>166</v>
    <v>7</v>
    <v>415</v>
    <v>7</v>
    <v>0</v>
    <v>Image of Oravița</v>
  </rv>
  <rv s="1">
    <fb>45.033333333332997</fb>
    <v>14</v>
  </rv>
  <rv s="0">
    <v>805306368</v>
    <v>Dumitru Ursu (Mayor)</v>
    <v>885ed8cf-b0d5-50b1-830e-eb18a6e267b9</v>
    <v>en-US</v>
    <v>Generic</v>
  </rv>
  <rv s="4">
    <v>128</v>
  </rv>
  <rv s="3">
    <v>https://www.bing.com/search?q=oravi%c8%9ba+romania&amp;form=skydnc</v>
    <v>Learn more on Bing</v>
  </rv>
  <rv s="1">
    <fb>21.683333333333</fb>
    <v>14</v>
  </rv>
  <rv s="1">
    <fb>9346</fb>
    <v>9</v>
  </rv>
  <rv s="6">
    <v>#VALUE!</v>
    <v>en-US</v>
    <v>6c720764-a8e8-bd99-e9ab-257940610748</v>
    <v>536870912</v>
    <v>1</v>
    <v>416</v>
    <v>12</v>
    <v>Oravița</v>
    <v>5</v>
    <v>6</v>
    <v>Map</v>
    <v>7</v>
    <v>8</v>
    <v>261</v>
    <v>1573</v>
    <v>26</v>
    <v>Oravița is a town in the Banat region of Romania, in Caraș-Severin County, with a population of 9,346 in 2021. Its theater is a fully functional scaled down version of the old Burgtheater in Vienna. Six villages are administered by the town: ...</v>
    <v>1574</v>
    <v>1575</v>
    <v>1577</v>
    <v>1578</v>
    <v>1579</v>
    <v>Oravița</v>
    <v>1580</v>
    <v>7</v>
    <v>Oravița</v>
    <v>mdp/vdpid/7025579372731957249</v>
  </rv>
  <rv s="0">
    <v>536870912</v>
    <v>Rebrișoara</v>
    <v>d0e14253-5a78-4e92-9bc9-d8f1db4d46a0</v>
    <v>en-US</v>
    <v>Map</v>
  </rv>
  <rv s="1">
    <fb>136.87</fb>
    <v>9</v>
  </rv>
  <rv s="2">
    <v>167</v>
    <v>7</v>
    <v>417</v>
    <v>7</v>
    <v>0</v>
    <v>Image of Rebrișoara</v>
  </rv>
  <rv s="1">
    <fb>47.445822999999997</fb>
    <v>14</v>
  </rv>
  <rv s="0">
    <v>805306368</v>
    <v>Viorel Clapău (Mayor)</v>
    <v>f3901978-785f-3219-8edf-f2a056888432</v>
    <v>en-US</v>
    <v>Generic</v>
  </rv>
  <rv s="4">
    <v>129</v>
  </rv>
  <rv s="3">
    <v>https://www.bing.com/search?q=rebri%c8%99oara+romania&amp;form=skydnc</v>
    <v>Learn more on Bing</v>
  </rv>
  <rv s="1">
    <fb>24.533541100000001</fb>
    <v>14</v>
  </rv>
  <rv s="6">
    <v>#VALUE!</v>
    <v>en-US</v>
    <v>d0e14253-5a78-4e92-9bc9-d8f1db4d46a0</v>
    <v>536870912</v>
    <v>1</v>
    <v>418</v>
    <v>12</v>
    <v>Rebrișoara</v>
    <v>5</v>
    <v>6</v>
    <v>Map</v>
    <v>7</v>
    <v>8</v>
    <v>184</v>
    <v>1583</v>
    <v>26</v>
    <v>Rebrișoara is a commune in Bistrița-Năsăud County, Transylvania, Romania. It is composed of four villages: Gersa I, Gersa II, Poderei, and Rebrișoara. The existence of the main village was first mentioned in 1440.</v>
    <v>1584</v>
    <v>1585</v>
    <v>1587</v>
    <v>1588</v>
    <v>1589</v>
    <v>Rebrișoara</v>
    <v>970</v>
    <v>7</v>
    <v>Rebrișoara</v>
    <v>mdp/vdpid/7049430114706128897</v>
  </rv>
  <rv s="0">
    <v>536870912</v>
    <v>Odorheiu Secuiesc</v>
    <v>348f3ab4-4fbf-eea8-0794-b971517f8d84</v>
    <v>en-US</v>
    <v>Map</v>
  </rv>
  <rv s="1">
    <fb>47.49</fb>
    <v>9</v>
  </rv>
  <rv s="2">
    <v>168</v>
    <v>7</v>
    <v>420</v>
    <v>7</v>
    <v>0</v>
    <v>Image of Odorheiu Secuiesc</v>
  </rv>
  <rv s="1">
    <fb>46.313888888888997</fb>
    <v>14</v>
  </rv>
  <rv s="0">
    <v>805306368</v>
    <v>István Szakács-Paál (Mayor)</v>
    <v>365d6a2b-24a8-952c-a868-80ce8bf18bf8</v>
    <v>en-US</v>
    <v>Generic</v>
  </rv>
  <rv s="4">
    <v>130</v>
  </rv>
  <rv s="3">
    <v>https://www.bing.com/search?q=odorheiu+secuiesc&amp;form=skydnc</v>
    <v>Learn more on Bing</v>
  </rv>
  <rv s="1">
    <fb>25.301666666667</fb>
    <v>14</v>
  </rv>
  <rv s="1">
    <fb>31335</fb>
    <v>9</v>
  </rv>
  <rv s="6">
    <v>#VALUE!</v>
    <v>en-US</v>
    <v>348f3ab4-4fbf-eea8-0794-b971517f8d84</v>
    <v>536870912</v>
    <v>1</v>
    <v>421</v>
    <v>12</v>
    <v>Odorheiu Secuiesc</v>
    <v>5</v>
    <v>6</v>
    <v>Map</v>
    <v>7</v>
    <v>8</v>
    <v>71</v>
    <v>1592</v>
    <v>26</v>
    <v>Odorheiu Secuiesc is the second largest municipality in Harghita County, Transylvania, Romania. In its short form, it is also known as Odorhei in Romanian and Udvarhely in Hungarian. The Hungarian name of the town "Udvarhely" means "courtyard place".</v>
    <v>1593</v>
    <v>1594</v>
    <v>1596</v>
    <v>1597</v>
    <v>1598</v>
    <v>Odorheiu Secuiesc</v>
    <v>1599</v>
    <v>7</v>
    <v>Odorheiu Secuiesc</v>
    <v>mdp/vdpid/7049728797502865409</v>
  </rv>
  <rv s="0">
    <v>536870912</v>
    <v>Țețchea</v>
    <v>068f8651-f836-d3c4-b0b0-5528dee09ceb</v>
    <v>en-US</v>
    <v>Map</v>
  </rv>
  <rv s="1">
    <fb>51.14</fb>
    <v>9</v>
  </rv>
  <rv s="2">
    <v>169</v>
    <v>7</v>
    <v>422</v>
    <v>7</v>
    <v>0</v>
    <v>Image of Țețchea</v>
  </rv>
  <rv s="1">
    <fb>47.023046000000001</fb>
    <v>14</v>
  </rv>
  <rv s="3">
    <v>https://www.bing.com/search?q=%c8%9be%c8%9bchea&amp;form=skydnc</v>
    <v>Learn more on Bing</v>
  </rv>
  <rv s="1">
    <fb>22.286794</fb>
    <v>14</v>
  </rv>
  <rv s="1">
    <fb>3376</fb>
    <v>9</v>
  </rv>
  <rv s="7">
    <v>#VALUE!</v>
    <v>en-US</v>
    <v>068f8651-f836-d3c4-b0b0-5528dee09ceb</v>
    <v>536870912</v>
    <v>1</v>
    <v>423</v>
    <v>25</v>
    <v>Țețchea</v>
    <v>5</v>
    <v>6</v>
    <v>Map</v>
    <v>7</v>
    <v>8</v>
    <v>46</v>
    <v>46</v>
    <v>1602</v>
    <v>26</v>
    <v>Țețchea is a commune in Bihor County, Crișana, Romania with a population of 3,141 people. It is composed of four villages: Hotar, Subpiatră, Telechiu and Țețchea.</v>
    <v>1603</v>
    <v>1604</v>
    <v>1605</v>
    <v>1606</v>
    <v>Țețchea</v>
    <v>1607</v>
    <v>7</v>
    <v>Țețchea</v>
    <v>mdp/vdpid/7025308580848861185</v>
  </rv>
  <rv s="0">
    <v>536870912</v>
    <v>Augustin, Brașov</v>
    <v>fa66b997-c367-3363-b200-0c445bf7bda2</v>
    <v>en-US</v>
    <v>Map</v>
  </rv>
  <rv s="1">
    <fb>12.18</fb>
    <v>9</v>
  </rv>
  <rv s="2">
    <v>170</v>
    <v>7</v>
    <v>424</v>
    <v>7</v>
    <v>0</v>
    <v>Image of Augustin, Brașov</v>
  </rv>
  <rv s="1">
    <fb>46.046111000000003</fb>
    <v>14</v>
  </rv>
  <rv s="0">
    <v>805306368</v>
    <v>Sebastian Nicolae Porumb (Mayor)</v>
    <v>0719a47c-e9b4-a5b0-4c67-429307f726cb</v>
    <v>en-US</v>
    <v>Generic</v>
  </rv>
  <rv s="4">
    <v>131</v>
  </rv>
  <rv s="1">
    <fb>25.553056000000002</fb>
    <v>14</v>
  </rv>
  <rv s="1">
    <fb>2010</fb>
    <v>9</v>
  </rv>
  <rv s="19">
    <v>#VALUE!</v>
    <v>en-US</v>
    <v>fa66b997-c367-3363-b200-0c445bf7bda2</v>
    <v>536870912</v>
    <v>1</v>
    <v>425</v>
    <v>358</v>
    <v>Augustin, Brașov</v>
    <v>194</v>
    <v>6</v>
    <v>Map</v>
    <v>7</v>
    <v>8</v>
    <v>158</v>
    <v>1610</v>
    <v>26</v>
    <v>Augustin is a commune in Brașov County, Transylvania, Romania. It is composed of a single village, Augustin. Formerly part of Ormeniș, it was split off in 2005 to form a separate commune. The village is located at the northern edge of the ...</v>
    <v>1611</v>
    <v>1612</v>
    <v>1614</v>
    <v>1615</v>
    <v>Augustin, Brașov</v>
    <v>1616</v>
    <v>7</v>
    <v>Augustin, Brașov</v>
    <v>mdp/vdpid/7050123725500317697</v>
  </rv>
  <rv s="0">
    <v>536870912</v>
    <v>Feliceni</v>
    <v>24f312f1-7979-e45c-776f-aca358633725</v>
    <v>en-US</v>
    <v>Map</v>
  </rv>
  <rv s="1">
    <fb>78.91</fb>
    <v>9</v>
  </rv>
  <rv s="2">
    <v>171</v>
    <v>7</v>
    <v>426</v>
    <v>7</v>
    <v>0</v>
    <v>Image of Feliceni</v>
  </rv>
  <rv s="1">
    <fb>46.330975000000002</fb>
    <v>14</v>
  </rv>
  <rv s="0">
    <v>805306368</v>
    <v>Levente Zsombori (Mayor)</v>
    <v>61a86d7c-b0b9-e2bb-431c-1012ce34dfea</v>
    <v>en-US</v>
    <v>Generic</v>
  </rv>
  <rv s="4">
    <v>132</v>
  </rv>
  <rv s="3">
    <v>https://www.bing.com/search?q=feliceni+romania&amp;form=skydnc</v>
    <v>Learn more on Bing</v>
  </rv>
  <rv s="1">
    <fb>25.248569</fb>
    <v>14</v>
  </rv>
  <rv s="1">
    <fb>3448</fb>
    <v>9</v>
  </rv>
  <rv s="6">
    <v>#VALUE!</v>
    <v>en-US</v>
    <v>24f312f1-7979-e45c-776f-aca358633725</v>
    <v>536870912</v>
    <v>1</v>
    <v>427</v>
    <v>12</v>
    <v>Feliceni</v>
    <v>5</v>
    <v>6</v>
    <v>Map</v>
    <v>7</v>
    <v>8</v>
    <v>71</v>
    <v>1619</v>
    <v>26</v>
    <v>Feliceni is a commune in Harghita County, Romania, in the vicinity of Odorheiu Secuiesc. It forms part of the Székely Land, an ethno-cultural region in eastern Transylvania. The villages of the commune historically belonged to the Székely seat ...</v>
    <v>1620</v>
    <v>1621</v>
    <v>1623</v>
    <v>1624</v>
    <v>1625</v>
    <v>Feliceni</v>
    <v>1626</v>
    <v>7</v>
    <v>Feliceni</v>
    <v>mdp/vdpid/7050108157955145729</v>
  </rv>
  <rv s="0">
    <v>536870912</v>
    <v>Sândominic</v>
    <v>d1c8e3a8-6ea8-4fdd-0550-619046e23977</v>
    <v>en-US</v>
    <v>Map</v>
  </rv>
  <rv s="1">
    <fb>158.65</fb>
    <v>9</v>
  </rv>
  <rv s="2">
    <v>172</v>
    <v>7</v>
    <v>428</v>
    <v>7</v>
    <v>0</v>
    <v>Image of Sândominic</v>
  </rv>
  <rv s="1">
    <fb>46.615011000000003</fb>
    <v>14</v>
  </rv>
  <rv s="0">
    <v>805306368</v>
    <v>Róbert Karda (Mayor)</v>
    <v>89e3096f-1b84-0e5d-d2b9-b7610ddc671d</v>
    <v>en-US</v>
    <v>Generic</v>
  </rv>
  <rv s="4">
    <v>133</v>
  </rv>
  <rv s="3">
    <v>https://www.bing.com/search?q=s%c3%a2ndominic+romania&amp;form=skydnc</v>
    <v>Learn more on Bing</v>
  </rv>
  <rv s="1">
    <fb>25.779821999999999</fb>
    <v>14</v>
  </rv>
  <rv s="1">
    <fb>5667</fb>
    <v>9</v>
  </rv>
  <rv s="6">
    <v>#VALUE!</v>
    <v>en-US</v>
    <v>d1c8e3a8-6ea8-4fdd-0550-619046e23977</v>
    <v>536870912</v>
    <v>1</v>
    <v>429</v>
    <v>12</v>
    <v>Sândominic</v>
    <v>5</v>
    <v>6</v>
    <v>Map</v>
    <v>7</v>
    <v>8</v>
    <v>71</v>
    <v>1629</v>
    <v>26</v>
    <v>Sândominic is a commune in Harghita County, Romania. It lies in the Székely Land, an ethno-cultural region in eastern Transylvania. It is composed of a single village, Sândominic. At the 2011 census, the commune had a population of 6,110; out of ...</v>
    <v>1630</v>
    <v>1631</v>
    <v>1633</v>
    <v>1634</v>
    <v>1635</v>
    <v>Sândominic</v>
    <v>1636</v>
    <v>7</v>
    <v>Sândominic</v>
    <v>mdp/vdpid/7049921109981921281</v>
  </rv>
  <rv s="0">
    <v>536870912</v>
    <v>Ștei</v>
    <v>6f2cfe93-6970-143b-ec53-26a57b3ee262</v>
    <v>en-US</v>
    <v>Map</v>
  </rv>
  <rv s="1">
    <fb>6.57</fb>
    <v>9</v>
  </rv>
  <rv s="2">
    <v>173</v>
    <v>7</v>
    <v>430</v>
    <v>7</v>
    <v>0</v>
    <v>Image of Ștei</v>
  </rv>
  <rv s="1">
    <fb>46.54</fb>
    <v>14</v>
  </rv>
  <rv s="0">
    <v>805306368</v>
    <v>Iulian Balaj (Mayor)</v>
    <v>fcd03e5a-7a86-7a7f-d53f-325ad7f87b04</v>
    <v>en-US</v>
    <v>Generic</v>
  </rv>
  <rv s="4">
    <v>134</v>
  </rv>
  <rv s="3">
    <v>https://www.bing.com/search?q=%c8%99tei+romania&amp;form=skydnc</v>
    <v>Learn more on Bing</v>
  </rv>
  <rv s="1">
    <fb>22.47</fb>
    <v>14</v>
  </rv>
  <rv s="1">
    <fb>6.3710000000000004</fb>
    <v>9</v>
  </rv>
  <rv s="8">
    <v>#VALUE!</v>
    <v>en-US</v>
    <v>6f2cfe93-6970-143b-ec53-26a57b3ee262</v>
    <v>536870912</v>
    <v>1</v>
    <v>431</v>
    <v>31</v>
    <v>Ștei</v>
    <v>5</v>
    <v>6</v>
    <v>Map</v>
    <v>7</v>
    <v>8</v>
    <v>46</v>
    <v>46</v>
    <v>1639</v>
    <v>26</v>
    <v>Ștei is a town in Bihor County, Crișana, Romania. Between 1958 and 1996, it was named Dr. Petru Groza, after the Romanian socialist leader who died in 1958. The town is located in the southeastern part of the county, and lies on the banks of the ...</v>
    <v>1640</v>
    <v>1641</v>
    <v>1643</v>
    <v>1644</v>
    <v>1645</v>
    <v>Ștei</v>
    <v>1646</v>
    <v>7</v>
    <v>Ștei</v>
    <v>mdp/vdpid/7025332521701212161</v>
  </rv>
  <rv s="0">
    <v>536870912</v>
    <v>Albota</v>
    <v>949366af-f160-b287-8c1a-df13a7e8ad3a</v>
    <v>en-US</v>
    <v>Map</v>
  </rv>
  <rv s="1">
    <fb>59</fb>
    <v>9</v>
  </rv>
  <rv s="2">
    <v>174</v>
    <v>7</v>
    <v>432</v>
    <v>7</v>
    <v>0</v>
    <v>Image of Albota</v>
  </rv>
  <rv s="1">
    <fb>44.785896999999999</fb>
    <v>14</v>
  </rv>
  <rv s="0">
    <v>805306368</v>
    <v>Ion Dumitru (Mayor)</v>
    <v>c3823212-5b42-d4cb-63fa-28116dcb426c</v>
    <v>en-US</v>
    <v>Generic</v>
  </rv>
  <rv s="4">
    <v>135</v>
  </rv>
  <rv s="3">
    <v>https://www.bing.com/search?q=albota+romania&amp;form=skydnc</v>
    <v>Learn more on Bing</v>
  </rv>
  <rv s="1">
    <fb>24.811523000000001</fb>
    <v>14</v>
  </rv>
  <rv s="1">
    <fb>4037</fb>
    <v>9</v>
  </rv>
  <rv s="6">
    <v>#VALUE!</v>
    <v>en-US</v>
    <v>949366af-f160-b287-8c1a-df13a7e8ad3a</v>
    <v>536870912</v>
    <v>1</v>
    <v>433</v>
    <v>12</v>
    <v>Albota</v>
    <v>5</v>
    <v>6</v>
    <v>Map</v>
    <v>7</v>
    <v>8</v>
    <v>18</v>
    <v>1649</v>
    <v>26</v>
    <v>Albota is a commune in Argeș County, Muntenia, Romania. It is composed of five villages: Albota, Cerbu, Frătești, Gura Văii, and Mareș. The commune is traversed by the DN65 road, which connects Pitești to Slatina. The Teleorman River has its ...</v>
    <v>1650</v>
    <v>1651</v>
    <v>1653</v>
    <v>1654</v>
    <v>1655</v>
    <v>Albota</v>
    <v>1656</v>
    <v>7</v>
    <v>Albota</v>
    <v>mdp/vdpid/7241971197624188929</v>
  </rv>
  <rv s="0">
    <v>536870912</v>
    <v>Cilieni</v>
    <v>c20eb79c-9afa-5802-a528-e569a9d9d15e</v>
    <v>en-US</v>
    <v>Map</v>
  </rv>
  <rv s="1">
    <fb>53.66</fb>
    <v>9</v>
  </rv>
  <rv s="2">
    <v>175</v>
    <v>7</v>
    <v>434</v>
    <v>7</v>
    <v>0</v>
    <v>Image of Cilieni</v>
  </rv>
  <rv s="1">
    <fb>43.887203</fb>
    <v>14</v>
  </rv>
  <rv s="3">
    <v>https://www.bing.com/search?q=cilieni+romania&amp;form=skydnc</v>
    <v>Learn more on Bing</v>
  </rv>
  <rv s="1">
    <fb>24.560801999999999</fb>
    <v>14</v>
  </rv>
  <rv s="1">
    <fb>2796</fb>
    <v>9</v>
  </rv>
  <rv s="9">
    <v>#VALUE!</v>
    <v>en-US</v>
    <v>c20eb79c-9afa-5802-a528-e569a9d9d15e</v>
    <v>536870912</v>
    <v>1</v>
    <v>435</v>
    <v>70</v>
    <v>Cilieni</v>
    <v>5</v>
    <v>6</v>
    <v>Map</v>
    <v>7</v>
    <v>8</v>
    <v>460</v>
    <v>1659</v>
    <v>26</v>
    <v>Cilieni is a commune in Olt County, Oltenia, Romania. It is composed of a single village, Cilieni.</v>
    <v>1660</v>
    <v>1661</v>
    <v>1662</v>
    <v>1663</v>
    <v>Cilieni</v>
    <v>1664</v>
    <v>7</v>
    <v>Cilieni</v>
    <v>mdp/vdpid/7242052382471749633</v>
  </rv>
  <rv s="0">
    <v>536870912</v>
    <v>Miercurea Nirajului</v>
    <v>1f383e1e-6fad-df29-c64c-cb2d3b2cb73c</v>
    <v>en-US</v>
    <v>Map</v>
  </rv>
  <rv s="1">
    <fb>55.88</fb>
    <v>9</v>
  </rv>
  <rv s="2">
    <v>176</v>
    <v>7</v>
    <v>436</v>
    <v>7</v>
    <v>0</v>
    <v>Image of Miercurea Nirajului</v>
  </rv>
  <rv s="1">
    <fb>46.53</fb>
    <v>14</v>
  </rv>
  <rv s="0">
    <v>805306368</v>
    <v>Sándor Toth (Mayor)</v>
    <v>23b27bfd-cbb8-044e-4e27-b6491851ba93</v>
    <v>en-US</v>
    <v>Generic</v>
  </rv>
  <rv s="4">
    <v>136</v>
  </rv>
  <rv s="3">
    <v>https://www.bing.com/search?q=miercurea+nirajului+romania&amp;form=skydnc</v>
    <v>Learn more on Bing</v>
  </rv>
  <rv s="1">
    <fb>24.8</fb>
    <v>14</v>
  </rv>
  <rv s="1">
    <fb>5414</fb>
    <v>9</v>
  </rv>
  <rv s="6">
    <v>#VALUE!</v>
    <v>en-US</v>
    <v>1f383e1e-6fad-df29-c64c-cb2d3b2cb73c</v>
    <v>536870912</v>
    <v>1</v>
    <v>437</v>
    <v>12</v>
    <v>Miercurea Nirajului</v>
    <v>5</v>
    <v>6</v>
    <v>Map</v>
    <v>7</v>
    <v>8</v>
    <v>434</v>
    <v>1667</v>
    <v>26</v>
    <v>Miercurea Nirajului is a town in Mureș County, Romania. It lies in the Székely Land, an ethno-cultural region in eastern Transylvania. The following seven villages are administered by the town: Beu, Dumitreștii, Lăureni, Moșuni, Șardu Nirajului, ...</v>
    <v>1668</v>
    <v>1669</v>
    <v>1671</v>
    <v>1672</v>
    <v>1673</v>
    <v>Miercurea Nirajului</v>
    <v>1674</v>
    <v>7</v>
    <v>Miercurea Nirajului</v>
    <v>mdp/vdpid/7049529888776126465</v>
  </rv>
  <rv s="0">
    <v>536870912</v>
    <v>Bocșa</v>
    <v>a77dddb1-be39-9b20-7733-c0bd66220b90</v>
    <v>en-US</v>
    <v>Map</v>
  </rv>
  <rv s="1">
    <fb>122.02</fb>
    <v>9</v>
  </rv>
  <rv s="2">
    <v>177</v>
    <v>7</v>
    <v>438</v>
    <v>7</v>
    <v>0</v>
    <v>Image of Bocșa</v>
  </rv>
  <rv s="1">
    <fb>45.374722222221997</fb>
    <v>14</v>
  </rv>
  <rv s="0">
    <v>805306368</v>
    <v>Patriciu-Mirel Pascu (Mayor)</v>
    <v>7c45004c-e4f9-44ed-0726-8686fc14910e</v>
    <v>en-US</v>
    <v>Generic</v>
  </rv>
  <rv s="4">
    <v>137</v>
  </rv>
  <rv s="3">
    <v>https://www.bing.com/search?q=boc%c8%99a+romania&amp;form=skydnc</v>
    <v>Learn more on Bing</v>
  </rv>
  <rv s="1">
    <fb>21.710555555555999</fb>
    <v>14</v>
  </rv>
  <rv s="1">
    <fb>12949</fb>
    <v>9</v>
  </rv>
  <rv s="6">
    <v>#VALUE!</v>
    <v>en-US</v>
    <v>a77dddb1-be39-9b20-7733-c0bd66220b90</v>
    <v>536870912</v>
    <v>1</v>
    <v>439</v>
    <v>12</v>
    <v>Bocșa</v>
    <v>5</v>
    <v>6</v>
    <v>Map</v>
    <v>7</v>
    <v>8</v>
    <v>261</v>
    <v>1677</v>
    <v>26</v>
    <v>Bocșa is a town in Caraș-Severin County, in the Banat region of Romania, with a population of 12,949 in 2021. The name "Bocșa" is believed to originate from the Slavic word "bok," meaning "side" or "hill," which reflects the town's geographical ...</v>
    <v>1678</v>
    <v>1679</v>
    <v>1681</v>
    <v>1682</v>
    <v>1683</v>
    <v>Bocșa</v>
    <v>1684</v>
    <v>7</v>
    <v>Bocșa</v>
    <v>mdp/vdpid/7025562562464841729</v>
  </rv>
  <rv s="0">
    <v>536870912</v>
    <v>Apahida</v>
    <v>8e3a11d0-4c7f-3911-72b0-169a7050ea6e</v>
    <v>en-US</v>
    <v>Map</v>
  </rv>
  <rv s="1">
    <fb>106</fb>
    <v>9</v>
  </rv>
  <rv s="2">
    <v>178</v>
    <v>7</v>
    <v>440</v>
    <v>7</v>
    <v>0</v>
    <v>Image of Apahida</v>
  </rv>
  <rv s="1">
    <fb>46.799613000000001</fb>
    <v>14</v>
  </rv>
  <rv s="0">
    <v>805306368</v>
    <v>Grigore Fati (Mayor)</v>
    <v>3feea839-004e-1329-d97a-d7e56f74d1ce</v>
    <v>en-US</v>
    <v>Generic</v>
  </rv>
  <rv s="4">
    <v>138</v>
  </rv>
  <rv s="3">
    <v>https://www.bing.com/search?q=apahida+romania&amp;form=skydnc</v>
    <v>Learn more on Bing</v>
  </rv>
  <rv s="1">
    <fb>23.7277111</fb>
    <v>14</v>
  </rv>
  <rv s="1">
    <fb>17239</fb>
    <v>9</v>
  </rv>
  <rv s="6">
    <v>#VALUE!</v>
    <v>en-US</v>
    <v>8e3a11d0-4c7f-3911-72b0-169a7050ea6e</v>
    <v>536870912</v>
    <v>1</v>
    <v>441</v>
    <v>12</v>
    <v>Apahida</v>
    <v>5</v>
    <v>6</v>
    <v>Map</v>
    <v>7</v>
    <v>8</v>
    <v>615</v>
    <v>1687</v>
    <v>26</v>
    <v>Apahida is a commune in Cluj County, Transylvania, Romania. It is composed of eight villages: Apahida, Bodrog, Câmpenești, Corpadea, Dezmir, Pata, Sânnicoară, and Sub Coastă. In 1889 and 1968 two rich archaeological treasures were discovered ...</v>
    <v>1688</v>
    <v>1689</v>
    <v>1691</v>
    <v>1692</v>
    <v>1693</v>
    <v>Apahida</v>
    <v>1694</v>
    <v>7</v>
    <v>Apahida</v>
    <v>mdp/vdpid/7049381388386041857</v>
  </rv>
  <rv s="0">
    <v>536870912</v>
    <v>Jibou</v>
    <v>4263ead7-c8fd-d073-a188-5f5a52d81dbe</v>
    <v>en-US</v>
    <v>Map</v>
  </rv>
  <rv s="1">
    <fb>35.78</fb>
    <v>9</v>
  </rv>
  <rv s="2">
    <v>179</v>
    <v>7</v>
    <v>442</v>
    <v>7</v>
    <v>0</v>
    <v>Image of Jibou</v>
  </rv>
  <rv s="1">
    <fb>47.258333333332999</fb>
    <v>14</v>
  </rv>
  <rv s="0">
    <v>805306368</v>
    <v>Dan Ghiurco (Mayor)</v>
    <v>0dd32c08-7638-b397-9a38-9a0e4f8cb3f0</v>
    <v>en-US</v>
    <v>Generic</v>
  </rv>
  <rv s="4">
    <v>139</v>
  </rv>
  <rv s="3">
    <v>https://www.bing.com/search?q=jibou+romania&amp;form=skydnc</v>
    <v>Learn more on Bing</v>
  </rv>
  <rv s="1">
    <fb>23.258333333332999</fb>
    <v>14</v>
  </rv>
  <rv s="1">
    <fb>9677</fb>
    <v>9</v>
  </rv>
  <rv s="8">
    <v>#VALUE!</v>
    <v>en-US</v>
    <v>4263ead7-c8fd-d073-a188-5f5a52d81dbe</v>
    <v>536870912</v>
    <v>1</v>
    <v>443</v>
    <v>31</v>
    <v>Jibou</v>
    <v>5</v>
    <v>6</v>
    <v>Map</v>
    <v>7</v>
    <v>8</v>
    <v>538</v>
    <v>538</v>
    <v>1697</v>
    <v>26</v>
    <v>Jibou is a town in Sălaj County, Transylvania, Romania. In 2021 it had a population of 9,677. Jibou includes the town proper and other four villages: Rona, Cuceu, Husia, and Var. Jibou is 25 km northeast of the county seat Zalău; the two are ...</v>
    <v>1698</v>
    <v>1699</v>
    <v>1701</v>
    <v>1702</v>
    <v>1703</v>
    <v>Jibou</v>
    <v>1704</v>
    <v>7</v>
    <v>Jibou</v>
    <v>mdp/vdpid/7049316552096612353</v>
  </rv>
  <rv s="0">
    <v>536870912</v>
    <v>Florești, Cluj</v>
    <v>2aba455d-a37b-d51a-eff6-6ad7c1ad829c</v>
    <v>en-US</v>
    <v>Map</v>
  </rv>
  <rv s="1">
    <fb>61</fb>
    <v>9</v>
  </rv>
  <rv s="2">
    <v>180</v>
    <v>7</v>
    <v>444</v>
    <v>7</v>
    <v>0</v>
    <v>Image of Florești, Cluj</v>
  </rv>
  <rv s="1">
    <fb>46.731265999999998</fb>
    <v>14</v>
  </rv>
  <rv s="0">
    <v>805306368</v>
    <v>Bogdan-Nicolae Pivariu (Mayor)</v>
    <v>d0fe8103-3a05-0492-5401-27ad1389e82c</v>
    <v>en-US</v>
    <v>Generic</v>
  </rv>
  <rv s="4">
    <v>140</v>
  </rv>
  <rv s="1">
    <fb>23.478328999999999</fb>
    <v>14</v>
  </rv>
  <rv s="1">
    <fb>52735</fb>
    <v>9</v>
  </rv>
  <rv s="19">
    <v>#VALUE!</v>
    <v>en-US</v>
    <v>2aba455d-a37b-d51a-eff6-6ad7c1ad829c</v>
    <v>536870912</v>
    <v>1</v>
    <v>445</v>
    <v>358</v>
    <v>Florești, Cluj</v>
    <v>194</v>
    <v>6</v>
    <v>Map</v>
    <v>7</v>
    <v>8</v>
    <v>615</v>
    <v>1707</v>
    <v>26</v>
    <v>Florești is a commune in Cluj County, Transylvania, Romania. It is composed of three villages: Florești, Luna de Sus, and Tăuți and is part of the Cluj-Napoca metropolitan area, being located less than 8 km west of Cluj-Napoca on DN1.</v>
    <v>1708</v>
    <v>1709</v>
    <v>1711</v>
    <v>1712</v>
    <v>Florești, Cluj</v>
    <v>1713</v>
    <v>7</v>
    <v>Florești, Cluj</v>
    <v>mdp/vdpid/7049385305563987969</v>
  </rv>
  <rv s="0">
    <v>536870912</v>
    <v>Stoina</v>
    <v>203927fe-0936-4822-134d-eab10d57811e</v>
    <v>en-US</v>
    <v>Map</v>
  </rv>
  <rv s="1">
    <fb>41.83</fb>
    <v>9</v>
  </rv>
  <rv s="2">
    <v>181</v>
    <v>7</v>
    <v>446</v>
    <v>7</v>
    <v>0</v>
    <v>Image of Stoina</v>
  </rv>
  <rv s="1">
    <fb>44.679693</fb>
    <v>14</v>
  </rv>
  <rv s="3">
    <v>https://www.bing.com/search?q=stoina+romania&amp;form=skydnc</v>
    <v>Learn more on Bing</v>
  </rv>
  <rv s="1">
    <fb>23.623836000000001</fb>
    <v>14</v>
  </rv>
  <rv s="1">
    <fb>2133</fb>
    <v>9</v>
  </rv>
  <rv s="9">
    <v>#VALUE!</v>
    <v>en-US</v>
    <v>203927fe-0936-4822-134d-eab10d57811e</v>
    <v>536870912</v>
    <v>1</v>
    <v>447</v>
    <v>70</v>
    <v>Stoina</v>
    <v>5</v>
    <v>6</v>
    <v>Map</v>
    <v>7</v>
    <v>8</v>
    <v>209</v>
    <v>1716</v>
    <v>26</v>
    <v>Stoina is a commune in Gorj County, Oltenia, Romania. It is composed of seven villages: Ciorari, Mielușei, Păișani, Stoina, Toiaga, Ulmet and Urda de Sus.</v>
    <v>1717</v>
    <v>1718</v>
    <v>1719</v>
    <v>1720</v>
    <v>Stoina</v>
    <v>1721</v>
    <v>7</v>
    <v>Stoina</v>
    <v>mdp/vdpid/7241837876135067649</v>
  </rv>
  <rv s="0">
    <v>536870912</v>
    <v>Șura Mare</v>
    <v>128824b1-b51a-1b3e-7f2e-02af4732b05e</v>
    <v>en-US</v>
    <v>Map</v>
  </rv>
  <rv s="1">
    <fb>74.849999999999994</fb>
    <v>9</v>
  </rv>
  <rv s="2">
    <v>182</v>
    <v>7</v>
    <v>448</v>
    <v>7</v>
    <v>0</v>
    <v>Image of Șura Mare</v>
  </rv>
  <rv s="1">
    <fb>45.882078999999997</fb>
    <v>14</v>
  </rv>
  <rv s="0">
    <v>805306368</v>
    <v>Ionuț Maier (Mayor)</v>
    <v>c32690b4-cd54-fe59-2423-b180b49a38eb</v>
    <v>en-US</v>
    <v>Generic</v>
  </rv>
  <rv s="4">
    <v>141</v>
  </rv>
  <rv s="3">
    <v>https://www.bing.com/search?q=%c8%99ura+mare+romania&amp;form=skydnc</v>
    <v>Learn more on Bing</v>
  </rv>
  <rv s="1">
    <fb>24.200765000000001</fb>
    <v>14</v>
  </rv>
  <rv s="1">
    <fb>4529</fb>
    <v>9</v>
  </rv>
  <rv s="6">
    <v>#VALUE!</v>
    <v>en-US</v>
    <v>128824b1-b51a-1b3e-7f2e-02af4732b05e</v>
    <v>536870912</v>
    <v>1</v>
    <v>449</v>
    <v>12</v>
    <v>Șura Mare</v>
    <v>5</v>
    <v>6</v>
    <v>Map</v>
    <v>7</v>
    <v>8</v>
    <v>0</v>
    <v>1724</v>
    <v>26</v>
    <v>Șura Mare is a commune located in Sibiu County, Transylvania, Romania. It is composed of two villages, Hamba and Șura Mare. Șura Mare was first mentioned in 1332, and Hamba in 1337. The commune lies on the Transylvanian Plateau. It is situated ...</v>
    <v>1725</v>
    <v>1726</v>
    <v>1728</v>
    <v>1729</v>
    <v>1730</v>
    <v>Șura Mare</v>
    <v>1731</v>
    <v>7</v>
    <v>Șura Mare</v>
    <v>mdp/vdpid/7049705951196086273</v>
  </rv>
  <rv s="0">
    <v>536870912</v>
    <v>Vișeu de Sus</v>
    <v>f9e6a5f5-0e1b-3e8f-ecd4-a57c508cfff3</v>
    <v>en-US</v>
    <v>Map</v>
  </rv>
  <rv s="1">
    <fb>443.06</fb>
    <v>9</v>
  </rv>
  <rv s="2">
    <v>183</v>
    <v>7</v>
    <v>450</v>
    <v>7</v>
    <v>0</v>
    <v>Image of Vișeu de Sus</v>
  </rv>
  <rv s="1">
    <fb>47.711111111111002</fb>
    <v>14</v>
  </rv>
  <rv s="0">
    <v>805306368</v>
    <v>Vasile Coman (Mayor)</v>
    <v>d352788a-1283-3051-6606-f8eea6685761</v>
    <v>en-US</v>
    <v>Generic</v>
  </rv>
  <rv s="4">
    <v>142</v>
  </rv>
  <rv s="3">
    <v>https://www.bing.com/search?q=vi%c8%99eu+de+sus+romania&amp;form=skydnc</v>
    <v>Learn more on Bing</v>
  </rv>
  <rv s="1">
    <fb>24.426388888889001</fb>
    <v>14</v>
  </rv>
  <rv s="1">
    <fb>15349</fb>
    <v>9</v>
  </rv>
  <rv s="6">
    <v>#VALUE!</v>
    <v>en-US</v>
    <v>f9e6a5f5-0e1b-3e8f-ecd4-a57c508cfff3</v>
    <v>536870912</v>
    <v>1</v>
    <v>451</v>
    <v>12</v>
    <v>Vișeu de Sus</v>
    <v>5</v>
    <v>6</v>
    <v>Map</v>
    <v>7</v>
    <v>8</v>
    <v>236</v>
    <v>1734</v>
    <v>26</v>
    <v>Vișeu de Sus is a town in Maramureș County, Maramureș, Romania, located at the confluence of the rivers Vișeu and Vaser. It administers one village, Vișeu de Mijloc. The town has an area of 443 km² and a population of 15,349 as of 2021. It is ...</v>
    <v>1735</v>
    <v>1736</v>
    <v>1738</v>
    <v>1739</v>
    <v>1740</v>
    <v>Vișeu de Sus</v>
    <v>1741</v>
    <v>7</v>
    <v>Vișeu de Sus</v>
    <v>mdp/vdpid/7049412492035883009</v>
  </rv>
  <rv s="0">
    <v>536870912</v>
    <v>Groși</v>
    <v>91e7124e-99c4-d8c8-62b1-7f1a0dd2af69</v>
    <v>en-US</v>
    <v>Map</v>
  </rv>
  <rv s="1">
    <fb>23.53</fb>
    <v>9</v>
  </rv>
  <rv s="2">
    <v>184</v>
    <v>7</v>
    <v>452</v>
    <v>7</v>
    <v>0</v>
    <v>Image of Groși</v>
  </rv>
  <rv s="1">
    <fb>47.6158888</fb>
    <v>14</v>
  </rv>
  <rv s="0">
    <v>805306368</v>
    <v>Florin-Daniel Boltea (Mayor)</v>
    <v>ec5e0ac3-5895-2ba8-50bb-dc328fa6e102</v>
    <v>en-US</v>
    <v>Generic</v>
  </rv>
  <rv s="4">
    <v>143</v>
  </rv>
  <rv s="3">
    <v>https://www.bing.com/search?q=gro%c8%99i&amp;form=skydnc</v>
    <v>Learn more on Bing</v>
  </rv>
  <rv s="1">
    <fb>23.5814673</fb>
    <v>14</v>
  </rv>
  <rv s="1">
    <fb>3641</fb>
    <v>9</v>
  </rv>
  <rv s="6">
    <v>#VALUE!</v>
    <v>en-US</v>
    <v>91e7124e-99c4-d8c8-62b1-7f1a0dd2af69</v>
    <v>536870912</v>
    <v>1</v>
    <v>453</v>
    <v>12</v>
    <v>Groși</v>
    <v>5</v>
    <v>6</v>
    <v>Map</v>
    <v>7</v>
    <v>8</v>
    <v>236</v>
    <v>1744</v>
    <v>26</v>
    <v>Groși is a commune in Maramureș County, Romania. It is composed of three villages: Groși, Ocoliș, and Satu Nou de Jos. The commune lies on the banks of the Lăpuș River. It is located in the western part of the county, just south of the county ...</v>
    <v>1745</v>
    <v>1746</v>
    <v>1748</v>
    <v>1749</v>
    <v>1750</v>
    <v>Groși</v>
    <v>1751</v>
    <v>7</v>
    <v>Groși</v>
    <v>mdp/vdpid/7049307850325098497</v>
  </rv>
  <rv s="0">
    <v>536870912</v>
    <v>Bumbești-Jiu</v>
    <v>088d0b4a-4d7e-693b-02e2-7ae65f6c3af5</v>
    <v>en-US</v>
    <v>Map</v>
  </rv>
  <rv s="1">
    <fb>210</fb>
    <v>9</v>
  </rv>
  <rv s="2">
    <v>185</v>
    <v>7</v>
    <v>454</v>
    <v>7</v>
    <v>0</v>
    <v>Image of Bumbești-Jiu</v>
  </rv>
  <rv s="1">
    <fb>45.178611111111003</fb>
    <v>14</v>
  </rv>
  <rv s="0">
    <v>805306368</v>
    <v>Constantin Bobaru (Mayor)</v>
    <v>3d0399fa-bdff-4e39-c28e-63075c160b65</v>
    <v>en-US</v>
    <v>Generic</v>
  </rv>
  <rv s="4">
    <v>144</v>
  </rv>
  <rv s="3">
    <v>https://www.bing.com/search?q=bumbe%c8%99ti-jiu+romania&amp;form=skydnc</v>
    <v>Learn more on Bing</v>
  </rv>
  <rv s="1">
    <fb>23.381388888888999</fb>
    <v>14</v>
  </rv>
  <rv s="1">
    <fb>7684</fb>
    <v>9</v>
  </rv>
  <rv s="6">
    <v>#VALUE!</v>
    <v>en-US</v>
    <v>088d0b4a-4d7e-693b-02e2-7ae65f6c3af5</v>
    <v>536870912</v>
    <v>1</v>
    <v>455</v>
    <v>12</v>
    <v>Bumbești-Jiu</v>
    <v>5</v>
    <v>6</v>
    <v>Map</v>
    <v>7</v>
    <v>8</v>
    <v>209</v>
    <v>1754</v>
    <v>26</v>
    <v>Bumbești-Jiu is a town in Gorj County, Oltenia, Romania, on the river Jiu. It administers four villages: Curtișoara, Lăzărești, Pleșa and Tetila. It officially became a town in 1989, as a result of the Romanian rural systematization program.</v>
    <v>1755</v>
    <v>1756</v>
    <v>1758</v>
    <v>1759</v>
    <v>1760</v>
    <v>Bumbești-Jiu</v>
    <v>1761</v>
    <v>7</v>
    <v>Bumbești-Jiu</v>
    <v>mdp/vdpid/7049667605342191617</v>
  </rv>
  <rv s="0">
    <v>536870912</v>
    <v>Caransebeș</v>
    <v>9ea2ae2d-a89d-7b4e-3742-6c2a1346c9eb</v>
    <v>en-US</v>
    <v>Map</v>
  </rv>
  <rv s="1">
    <fb>73.58</fb>
    <v>9</v>
  </rv>
  <rv s="2">
    <v>186</v>
    <v>7</v>
    <v>456</v>
    <v>7</v>
    <v>0</v>
    <v>Image of Caransebeș</v>
  </rv>
  <rv s="1">
    <fb>45.421388888888998</fb>
    <v>14</v>
  </rv>
  <rv s="0">
    <v>805306368</v>
    <v>Felix Borcean (Mayor)</v>
    <v>3c273bf8-7385-dcd5-cc58-61566e606f3f</v>
    <v>en-US</v>
    <v>Generic</v>
  </rv>
  <rv s="4">
    <v>145</v>
  </rv>
  <rv s="3">
    <v>https://www.bing.com/search?q=caransebe%c8%99+romania&amp;form=skydnc</v>
    <v>Learn more on Bing</v>
  </rv>
  <rv s="1">
    <fb>22.221944444443999</fb>
    <v>14</v>
  </rv>
  <rv s="1">
    <fb>21714</fb>
    <v>9</v>
  </rv>
  <rv s="6">
    <v>#VALUE!</v>
    <v>en-US</v>
    <v>9ea2ae2d-a89d-7b4e-3742-6c2a1346c9eb</v>
    <v>536870912</v>
    <v>1</v>
    <v>457</v>
    <v>12</v>
    <v>Caransebeș</v>
    <v>5</v>
    <v>6</v>
    <v>Map</v>
    <v>7</v>
    <v>8</v>
    <v>261</v>
    <v>1764</v>
    <v>26</v>
    <v>Caransebeș is a city in Caraș-Severin County, part of the Banat region in southwestern Romania. One village, Jupa, is administered by the city. The city is located at the confluence of the Timiș River with the Sebeș River, the latter flowing ...</v>
    <v>1765</v>
    <v>1766</v>
    <v>1768</v>
    <v>1769</v>
    <v>1770</v>
    <v>Caransebeș</v>
    <v>1771</v>
    <v>7</v>
    <v>Caransebeș</v>
    <v>mdp/vdpid/7025593973607497729</v>
  </rv>
  <rv s="0">
    <v>536870912</v>
    <v>Nojorid</v>
    <v>199e64bf-02d7-e07a-c63c-3589a639b089</v>
    <v>en-US</v>
    <v>Map</v>
  </rv>
  <rv s="0">
    <v>536870912</v>
    <v>Nord-Vest</v>
    <v>fe84e816-8f7e-05fa-ab20-fca0bd9e6830</v>
    <v>en-US</v>
    <v>Map</v>
  </rv>
  <rv s="1">
    <fb>183.09</fb>
    <v>9</v>
  </rv>
  <rv s="2">
    <v>187</v>
    <v>7</v>
    <v>458</v>
    <v>7</v>
    <v>0</v>
    <v>Image of Nojorid</v>
  </rv>
  <rv s="1">
    <fb>46.976272000000002</fb>
    <v>14</v>
  </rv>
  <rv s="3">
    <v>https://www.bing.com/search?q=nojorid&amp;form=skydnc</v>
    <v>Learn more on Bing</v>
  </rv>
  <rv s="1">
    <fb>21.862368</fb>
    <v>14</v>
  </rv>
  <rv s="1">
    <fb>6765</fb>
    <v>9</v>
  </rv>
  <rv s="20">
    <v>#VALUE!</v>
    <v>en-US</v>
    <v>199e64bf-02d7-e07a-c63c-3589a639b089</v>
    <v>536870912</v>
    <v>1</v>
    <v>459</v>
    <v>460</v>
    <v>Nojorid</v>
    <v>5</v>
    <v>6</v>
    <v>Map</v>
    <v>7</v>
    <v>8</v>
    <v>1774</v>
    <v>46</v>
    <v>1775</v>
    <v>3</v>
    <v>Nojorid is a large commune located in Bihor County, Crișana, Romania. It is composed of seven villages: Apateu, Chișirid, Leș, Livada de Bihor, Nojorid, Păușa, and Șauaieu.</v>
    <v>1776</v>
    <v>1777</v>
    <v>1778</v>
    <v>1779</v>
    <v>Nojorid</v>
    <v>1780</v>
    <v>Nojorid</v>
    <v>mdp/vdpid/7025300050741821441</v>
  </rv>
  <rv s="0">
    <v>536870912</v>
    <v>Fântânele, Arad</v>
    <v>6604e523-e497-8953-c760-614597d2096e</v>
    <v>en-US</v>
    <v>Map</v>
  </rv>
  <rv s="1">
    <fb>41.84</fb>
    <v>9</v>
  </rv>
  <rv s="2">
    <v>188</v>
    <v>7</v>
    <v>461</v>
    <v>7</v>
    <v>0</v>
    <v>Image of Fântânele, Arad</v>
  </rv>
  <rv s="1">
    <fb>46.091946999999998</fb>
    <v>14</v>
  </rv>
  <rv s="1">
    <fb>21.387404</fb>
    <v>14</v>
  </rv>
  <rv s="1">
    <fb>3273</fb>
    <v>9</v>
  </rv>
  <rv s="13">
    <v>#VALUE!</v>
    <v>en-US</v>
    <v>6604e523-e497-8953-c760-614597d2096e</v>
    <v>536870912</v>
    <v>1</v>
    <v>462</v>
    <v>193</v>
    <v>Fântânele, Arad</v>
    <v>194</v>
    <v>6</v>
    <v>Map</v>
    <v>7</v>
    <v>8</v>
    <v>120</v>
    <v>1783</v>
    <v>26</v>
    <v>Fântânele is a commune in Arad County, Romania. The commune is situated on the Vingăi Plateau, on the left bank of the Mureș River. It is composed of two villages: Fântânele and Tisa Nouă. It also included Aluniș and Frumușeni villages until ...</v>
    <v>1784</v>
    <v>1785</v>
    <v>1786</v>
    <v>Fântânele, Arad</v>
    <v>1787</v>
    <v>7</v>
    <v>Fântânele, Arad</v>
    <v>mdp/vdpid/7025495189510684673</v>
  </rv>
  <rv s="0">
    <v>536870912</v>
    <v>Făgăraș</v>
    <v>9b6d1158-6ba7-f239-3c94-84ca4cabfc45</v>
    <v>en-US</v>
    <v>Map</v>
  </rv>
  <rv s="1">
    <fb>36.409999999999997</fb>
    <v>9</v>
  </rv>
  <rv s="2">
    <v>189</v>
    <v>7</v>
    <v>463</v>
    <v>7</v>
    <v>0</v>
    <v>Image of Făgăraș</v>
  </rv>
  <rv s="1">
    <fb>45.842222222221999</fb>
    <v>14</v>
  </rv>
  <rv s="0">
    <v>805306368</v>
    <v>Gheorghe Sucaciu (Mayor)</v>
    <v>4d2864a8-5197-9d57-12ee-21e1eaec1dd8</v>
    <v>en-US</v>
    <v>Generic</v>
  </rv>
  <rv s="4">
    <v>146</v>
  </rv>
  <rv s="3">
    <v>https://www.bing.com/search?q=f%c4%83g%c4%83ra%c8%99+romania&amp;form=skydnc</v>
    <v>Learn more on Bing</v>
  </rv>
  <rv s="1">
    <fb>24.971388888888999</fb>
    <v>14</v>
  </rv>
  <rv s="1">
    <fb>26284</fb>
    <v>9</v>
  </rv>
  <rv s="6">
    <v>#VALUE!</v>
    <v>en-US</v>
    <v>9b6d1158-6ba7-f239-3c94-84ca4cabfc45</v>
    <v>536870912</v>
    <v>1</v>
    <v>464</v>
    <v>12</v>
    <v>Făgăraș</v>
    <v>5</v>
    <v>6</v>
    <v>Map</v>
    <v>7</v>
    <v>8</v>
    <v>158</v>
    <v>1790</v>
    <v>26</v>
    <v>Făgăraș is a city in central Romania, located in Brașov County. It lies on the river Olt and has a population of 26,284 as of 2021. It is situated in the historical region of Transylvania, and is the main city of a subregion, Țara Făgărașului.</v>
    <v>1791</v>
    <v>1792</v>
    <v>1794</v>
    <v>1795</v>
    <v>1796</v>
    <v>Făgăraș</v>
    <v>1797</v>
    <v>7</v>
    <v>Făgăraș</v>
    <v>mdp/vdpid/7049747597044482049</v>
  </rv>
  <rv s="0">
    <v>536870912</v>
    <v>Gătaia</v>
    <v>d5c866af-c4c7-03ba-66fd-510c0713c076</v>
    <v>en-US</v>
    <v>Map</v>
  </rv>
  <rv s="1">
    <fb>149.22999999999999</fb>
    <v>9</v>
  </rv>
  <rv s="2">
    <v>190</v>
    <v>7</v>
    <v>465</v>
    <v>7</v>
    <v>0</v>
    <v>Image of Gătaia</v>
  </rv>
  <rv s="1">
    <fb>45.433333333333003</fb>
    <v>14</v>
  </rv>
  <rv s="0">
    <v>805306368</v>
    <v>Raul Cozarov (Mayor)</v>
    <v>197b1389-e9db-73a2-5f5d-9763886825b6</v>
    <v>en-US</v>
    <v>Generic</v>
  </rv>
  <rv s="4">
    <v>147</v>
  </rv>
  <rv s="3">
    <v>https://www.bing.com/search?q=g%c4%83taia+romania&amp;form=skydnc</v>
    <v>Learn more on Bing</v>
  </rv>
  <rv s="1">
    <fb>21.433333333333</fb>
    <v>14</v>
  </rv>
  <rv s="1">
    <fb>5473</fb>
    <v>9</v>
  </rv>
  <rv s="6">
    <v>#VALUE!</v>
    <v>en-US</v>
    <v>d5c866af-c4c7-03ba-66fd-510c0713c076</v>
    <v>536870912</v>
    <v>1</v>
    <v>466</v>
    <v>12</v>
    <v>Gătaia</v>
    <v>5</v>
    <v>6</v>
    <v>Map</v>
    <v>7</v>
    <v>8</v>
    <v>269</v>
    <v>1800</v>
    <v>26</v>
    <v>Gătaia is a town in Timiș County, Romania. It administers five villages: Butin, Percosova, Sculia, Șemlacu Mare, and Șemlacu Mic. Declared a town in 2004, it also administered four other villages until that time, when they were split off to form ...</v>
    <v>1801</v>
    <v>1802</v>
    <v>1804</v>
    <v>1805</v>
    <v>1806</v>
    <v>Gătaia</v>
    <v>1807</v>
    <v>7</v>
    <v>Gătaia</v>
    <v>mdp/vdpid/7025552739572645889</v>
  </rv>
  <rv s="0">
    <v>536870912</v>
    <v>Baraolt</v>
    <v>cdc652d7-49a7-0ff0-32e5-82582f4e26bb</v>
    <v>en-US</v>
    <v>Map</v>
  </rv>
  <rv s="1">
    <fb>128.47999999999999</fb>
    <v>9</v>
  </rv>
  <rv s="2">
    <v>191</v>
    <v>7</v>
    <v>467</v>
    <v>7</v>
    <v>0</v>
    <v>Image of Baraolt</v>
  </rv>
  <rv s="1">
    <fb>46.075000000000003</fb>
    <v>14</v>
  </rv>
  <rv s="0">
    <v>805306368</v>
    <v>János Benedek-Huszár (Mayor)</v>
    <v>97fe0b52-d788-a025-8029-02e0edb4810c</v>
    <v>en-US</v>
    <v>Generic</v>
  </rv>
  <rv s="4">
    <v>148</v>
  </rv>
  <rv s="3">
    <v>https://www.bing.com/search?q=baraolt+romania&amp;form=skydnc</v>
    <v>Learn more on Bing</v>
  </rv>
  <rv s="1">
    <fb>25.6</fb>
    <v>14</v>
  </rv>
  <rv s="1">
    <fb>7730</fb>
    <v>9</v>
  </rv>
  <rv s="6">
    <v>#VALUE!</v>
    <v>en-US</v>
    <v>cdc652d7-49a7-0ff0-32e5-82582f4e26bb</v>
    <v>536870912</v>
    <v>1</v>
    <v>468</v>
    <v>12</v>
    <v>Baraolt</v>
    <v>5</v>
    <v>6</v>
    <v>Map</v>
    <v>7</v>
    <v>8</v>
    <v>305</v>
    <v>1810</v>
    <v>26</v>
    <v>Baraolt is a town and administrative district in Covasna County, Romania. It lies in the Székely Land, an ethno-cultural region in eastern Transylvania. The town was mentioned for the first time as a settlement in 1224. It administers five ...</v>
    <v>1811</v>
    <v>1812</v>
    <v>1814</v>
    <v>1815</v>
    <v>1816</v>
    <v>Baraolt</v>
    <v>1817</v>
    <v>7</v>
    <v>Baraolt</v>
    <v>mdp/vdpid/7050112365496369153</v>
  </rv>
  <rv s="0">
    <v>536870912</v>
    <v>Dej</v>
    <v>c4086653-c528-37c2-a280-cbedbe479316</v>
    <v>en-US</v>
    <v>Map</v>
  </rv>
  <rv s="1">
    <fb>109</fb>
    <v>9</v>
  </rv>
  <rv s="2">
    <v>192</v>
    <v>7</v>
    <v>469</v>
    <v>7</v>
    <v>0</v>
    <v>Image of Dej</v>
  </rv>
  <rv s="1">
    <fb>47.141388888888898</fb>
    <v>14</v>
  </rv>
  <rv s="0">
    <v>805306368</v>
    <v>Costan Morar (Mayor)</v>
    <v>df5b68d4-8e71-d8e5-011f-aea18dc33d96</v>
    <v>en-US</v>
    <v>Generic</v>
  </rv>
  <rv s="4">
    <v>149</v>
  </rv>
  <rv s="3">
    <v>https://www.bing.com/search?q=dej+romania&amp;form=skydnc</v>
    <v>Learn more on Bing</v>
  </rv>
  <rv s="1">
    <fb>23.876388888888901</fb>
    <v>14</v>
  </rv>
  <rv s="1">
    <fb>38610</fb>
    <v>9</v>
  </rv>
  <rv s="6">
    <v>#VALUE!</v>
    <v>en-US</v>
    <v>c4086653-c528-37c2-a280-cbedbe479316</v>
    <v>536870912</v>
    <v>1</v>
    <v>470</v>
    <v>12</v>
    <v>Dej</v>
    <v>5</v>
    <v>6</v>
    <v>Map</v>
    <v>7</v>
    <v>141</v>
    <v>615</v>
    <v>1820</v>
    <v>26</v>
    <v>Dej is a municipality in Transylvania, Romania, 60 kilometres north of Cluj-Napoca, in Cluj County. It lies where the river Someșul Mic meets the river Someșul Mare. The city administers four villages: Ocna Dejului, Peștera, Pintic, and Șomcutu Mic.</v>
    <v>1821</v>
    <v>1822</v>
    <v>1824</v>
    <v>1825</v>
    <v>1826</v>
    <v>Dej</v>
    <v>1827</v>
    <v>7</v>
    <v>Dej</v>
    <v>mdp/vdpid/7049329267196297217</v>
  </rv>
  <rv s="0">
    <v>536870912</v>
    <v>Motru</v>
    <v>a76a8fb5-329d-ad4c-ee25-95b0bd072ace</v>
    <v>en-US</v>
    <v>Map</v>
  </rv>
  <rv s="1">
    <fb>50.09</fb>
    <v>9</v>
  </rv>
  <rv s="2">
    <v>193</v>
    <v>7</v>
    <v>471</v>
    <v>7</v>
    <v>0</v>
    <v>Image of Motru</v>
  </rv>
  <rv s="1">
    <fb>44.804166666667001</fb>
    <v>14</v>
  </rv>
  <rv s="0">
    <v>805306368</v>
    <v>Costel-Cosmin Morega (Mayor)</v>
    <v>697de31a-0f9d-a991-fac8-18a293f02c29</v>
    <v>en-US</v>
    <v>Generic</v>
  </rv>
  <rv s="4">
    <v>150</v>
  </rv>
  <rv s="3">
    <v>https://www.bing.com/search?q=motru+romania&amp;form=skydnc</v>
    <v>Learn more on Bing</v>
  </rv>
  <rv s="1">
    <fb>22.969444444444001</fb>
    <v>14</v>
  </rv>
  <rv s="1">
    <fb>15950</fb>
    <v>9</v>
  </rv>
  <rv s="6">
    <v>#VALUE!</v>
    <v>en-US</v>
    <v>a76a8fb5-329d-ad4c-ee25-95b0bd072ace</v>
    <v>536870912</v>
    <v>1</v>
    <v>472</v>
    <v>12</v>
    <v>Motru</v>
    <v>5</v>
    <v>6</v>
    <v>Map</v>
    <v>7</v>
    <v>8</v>
    <v>209</v>
    <v>1830</v>
    <v>26</v>
    <v>Motru is a city in Romania, Gorj County. It is situated on the river Motru and its tributary, the river Ploștina, in western Oltenia. The county capital Târgu Jiu is located about 35 km northeast. The city administers eight villages: Dealu ...</v>
    <v>1831</v>
    <v>1832</v>
    <v>1834</v>
    <v>1835</v>
    <v>1836</v>
    <v>Motru</v>
    <v>1837</v>
    <v>7</v>
    <v>Motru</v>
    <v>mdp/vdpid/7241802007068016641</v>
  </rv>
  <rv s="0">
    <v>536870912</v>
    <v>Livezile, Bistrița-Năsăud</v>
    <v>0109a589-5bc4-db8e-efe0-b0d1a0727f31</v>
    <v>en-US</v>
    <v>Map</v>
  </rv>
  <rv s="1">
    <fb>113.12</fb>
    <v>9</v>
  </rv>
  <rv s="2">
    <v>194</v>
    <v>7</v>
    <v>473</v>
    <v>7</v>
    <v>0</v>
    <v>Image of Livezile, Bistrița-Năsăud</v>
  </rv>
  <rv s="1">
    <fb>47.201413000000002</fb>
    <v>14</v>
  </rv>
  <rv s="0">
    <v>805306368</v>
    <v>Traian Simionca (Mayor)</v>
    <v>f4bdf9e5-f0ad-6b92-b0a1-3ad1516d92f6</v>
    <v>en-US</v>
    <v>Generic</v>
  </rv>
  <rv s="4">
    <v>151</v>
  </rv>
  <rv s="1">
    <fb>24.602857</fb>
    <v>14</v>
  </rv>
  <rv s="1">
    <fb>4952</fb>
    <v>9</v>
  </rv>
  <rv s="19">
    <v>#VALUE!</v>
    <v>en-US</v>
    <v>0109a589-5bc4-db8e-efe0-b0d1a0727f31</v>
    <v>536870912</v>
    <v>1</v>
    <v>474</v>
    <v>358</v>
    <v>Livezile, Bistrița-Năsăud</v>
    <v>194</v>
    <v>6</v>
    <v>Map</v>
    <v>7</v>
    <v>8</v>
    <v>184</v>
    <v>1840</v>
    <v>26</v>
    <v>Livezile is a commune located in Bistrița-Năsăud County, Transylvania, Romania. It is composed of five villages: Cușma, Dorolea, Dumbrava, Livezile, and Valea Poenii.</v>
    <v>1841</v>
    <v>1842</v>
    <v>1844</v>
    <v>1845</v>
    <v>Livezile, Bistrița-Năsăud</v>
    <v>1846</v>
    <v>7</v>
    <v>Livezile, Bistrița-Năsăud</v>
    <v>mdp/vdpid/7049434744630542337</v>
  </rv>
  <rv s="0">
    <v>536870912</v>
    <v>Logrești</v>
    <v>a69f3b5b-d4b7-7b8b-0436-526d0c24cb58</v>
    <v>en-US</v>
    <v>Map</v>
  </rv>
  <rv s="1">
    <fb>68.150000000000006</fb>
    <v>9</v>
  </rv>
  <rv s="2">
    <v>195</v>
    <v>7</v>
    <v>475</v>
    <v>7</v>
    <v>0</v>
    <v>Image of Logrești</v>
  </rv>
  <rv s="1">
    <fb>44.9</fb>
    <v>14</v>
  </rv>
  <rv s="0">
    <v>805306368</v>
    <v>Mihai Vochița (Mayor)</v>
    <v>ce7b28f1-fdbc-5b73-e65c-5a08661f6c1b</v>
    <v>en-US</v>
    <v>Generic</v>
  </rv>
  <rv s="4">
    <v>152</v>
  </rv>
  <rv s="3">
    <v>https://www.bing.com/search?q=logre%c8%99ti+romania&amp;form=skydnc</v>
    <v>Learn more on Bing</v>
  </rv>
  <rv s="1">
    <fb>23.7</fb>
    <v>14</v>
  </rv>
  <rv s="1">
    <fb>2341</fb>
    <v>9</v>
  </rv>
  <rv s="6">
    <v>#VALUE!</v>
    <v>en-US</v>
    <v>a69f3b5b-d4b7-7b8b-0436-526d0c24cb58</v>
    <v>536870912</v>
    <v>1</v>
    <v>476</v>
    <v>12</v>
    <v>Logrești</v>
    <v>5</v>
    <v>6</v>
    <v>Map</v>
    <v>7</v>
    <v>8</v>
    <v>209</v>
    <v>1849</v>
    <v>26</v>
    <v>Logrești is a commune in Gorj County, Oltenia, Romania. It is composed of seven villages: Colțești, Frunza, Logrești-Moșteni, Măru, Popești, Seaca and Târgu Logrești.</v>
    <v>1850</v>
    <v>1851</v>
    <v>1853</v>
    <v>1854</v>
    <v>1855</v>
    <v>Logrești</v>
    <v>1856</v>
    <v>7</v>
    <v>Logrești</v>
    <v>mdp/vdpid/7241834710744170497</v>
  </rv>
  <rv s="0">
    <v>536870912</v>
    <v>Drăgănești-Olt</v>
    <v>133b424f-899a-8a99-7b8e-6dd050a7bc50</v>
    <v>en-US</v>
    <v>Map</v>
  </rv>
  <rv s="1">
    <fb>78.88</fb>
    <v>9</v>
  </rv>
  <rv s="2">
    <v>196</v>
    <v>7</v>
    <v>477</v>
    <v>7</v>
    <v>0</v>
    <v>Image of Drăgănești-Olt</v>
  </rv>
  <rv s="1">
    <fb>44.169722222221999</fb>
    <v>14</v>
  </rv>
  <rv s="0">
    <v>805306368</v>
    <v>Marian-Viorel Tudorică (Mayor)</v>
    <v>93fafdc8-ecd4-4ae3-f5b9-5326e087a851</v>
    <v>en-US</v>
    <v>Generic</v>
  </rv>
  <rv s="4">
    <v>153</v>
  </rv>
  <rv s="3">
    <v>https://www.bing.com/search?q=dr%c4%83g%c4%83ne%c8%99ti-olt+romania&amp;form=skydnc</v>
    <v>Learn more on Bing</v>
  </rv>
  <rv s="1">
    <fb>24.53</fb>
    <v>14</v>
  </rv>
  <rv s="1">
    <fb>9721</fb>
    <v>9</v>
  </rv>
  <rv s="6">
    <v>#VALUE!</v>
    <v>en-US</v>
    <v>133b424f-899a-8a99-7b8e-6dd050a7bc50</v>
    <v>536870912</v>
    <v>1</v>
    <v>478</v>
    <v>12</v>
    <v>Drăgănești-Olt</v>
    <v>5</v>
    <v>6</v>
    <v>Map</v>
    <v>7</v>
    <v>8</v>
    <v>460</v>
    <v>1859</v>
    <v>26</v>
    <v>Drăgănești-Olt is a town in Olt County, Muntenia, Romania. The first document mentioning it is from 1526. Drăgănești-Olt became a town in 1968. The town administers one village, Comani. The town is situated on the Wallachian Plain. It lies on ...</v>
    <v>1860</v>
    <v>1861</v>
    <v>1863</v>
    <v>1864</v>
    <v>1865</v>
    <v>Drăgănești-Olt</v>
    <v>1866</v>
    <v>7</v>
    <v>Drăgănești-Olt</v>
    <v>mdp/vdpid/7242011666886426625</v>
  </rv>
  <rv s="0">
    <v>536870912</v>
    <v>Scornicești</v>
    <v>fb4aa2a7-c11d-00fb-a349-cfdbf2123583</v>
    <v>en-US</v>
    <v>Map</v>
  </rv>
  <rv s="1">
    <fb>158</fb>
    <v>9</v>
  </rv>
  <rv s="2">
    <v>197</v>
    <v>7</v>
    <v>479</v>
    <v>7</v>
    <v>0</v>
    <v>Image of Scornicești</v>
  </rv>
  <rv s="1">
    <fb>44.594999999999999</fb>
    <v>14</v>
  </rv>
  <rv s="0">
    <v>805306368</v>
    <v>Daniel Tudor (Mayor)</v>
    <v>db3b13d1-dd05-4278-daa0-db699cddc02a</v>
    <v>en-US</v>
    <v>Generic</v>
  </rv>
  <rv s="4">
    <v>154</v>
  </rv>
  <rv s="3">
    <v>https://www.bing.com/search?q=scornice%c8%99ti+romania&amp;form=skydnc</v>
    <v>Learn more on Bing</v>
  </rv>
  <rv s="1">
    <fb>24.546944444444399</fb>
    <v>14</v>
  </rv>
  <rv s="1">
    <fb>10795</fb>
    <v>9</v>
  </rv>
  <rv s="6">
    <v>#VALUE!</v>
    <v>en-US</v>
    <v>fb4aa2a7-c11d-00fb-a349-cfdbf2123583</v>
    <v>536870912</v>
    <v>1</v>
    <v>480</v>
    <v>12</v>
    <v>Scornicești</v>
    <v>5</v>
    <v>6</v>
    <v>Map</v>
    <v>7</v>
    <v>8</v>
    <v>460</v>
    <v>1869</v>
    <v>26</v>
    <v>Scornicești is a town in Olt County, Romania, with a population of 10,795. The town administers 13 villages and has a total area of 170 km, being the locality with the largest area in the county of Olt, surpassing even its capital, Slatina. ...</v>
    <v>1870</v>
    <v>1871</v>
    <v>1873</v>
    <v>1874</v>
    <v>1875</v>
    <v>Scornicești</v>
    <v>1876</v>
    <v>7</v>
    <v>Scornicești</v>
    <v>mdp/vdpid/7241958168169807873</v>
  </rv>
  <rv s="0">
    <v>536870912</v>
    <v>Ghindari</v>
    <v>3f63fa67-7261-8301-3228-63494880f920</v>
    <v>en-US</v>
    <v>Map</v>
  </rv>
  <rv s="1">
    <fb>81.23</fb>
    <v>9</v>
  </rv>
  <rv s="2">
    <v>198</v>
    <v>7</v>
    <v>481</v>
    <v>7</v>
    <v>0</v>
    <v>Image of Ghindari</v>
  </rv>
  <rv s="1">
    <fb>46.472994999999997</fb>
    <v>14</v>
  </rv>
  <rv s="0">
    <v>805306368</v>
    <v>Imre Vass (Mayor)</v>
    <v>870484db-4636-56f1-f352-ac41282aee84</v>
    <v>en-US</v>
    <v>Generic</v>
  </rv>
  <rv s="4">
    <v>155</v>
  </rv>
  <rv s="3">
    <v>https://www.bing.com/search?q=ghindari+romania&amp;form=skydnc</v>
    <v>Learn more on Bing</v>
  </rv>
  <rv s="1">
    <fb>24.947527000000001</fb>
    <v>14</v>
  </rv>
  <rv s="1">
    <fb>3034</fb>
    <v>9</v>
  </rv>
  <rv s="6">
    <v>#VALUE!</v>
    <v>en-US</v>
    <v>3f63fa67-7261-8301-3228-63494880f920</v>
    <v>536870912</v>
    <v>1</v>
    <v>482</v>
    <v>12</v>
    <v>Ghindari</v>
    <v>5</v>
    <v>6</v>
    <v>Map</v>
    <v>7</v>
    <v>8</v>
    <v>434</v>
    <v>1879</v>
    <v>26</v>
    <v>Ghindari is a commune in Mureș County, Romania. It lies in the Székely Land, an ethno-cultural region in eastern Transylvania. The commune is composed of five villages: Abud, Ceie, Ghindari, Solocma, and Trei Sate. The latter village, in turn, ...</v>
    <v>1880</v>
    <v>1881</v>
    <v>1883</v>
    <v>1884</v>
    <v>1885</v>
    <v>Ghindari</v>
    <v>1886</v>
    <v>7</v>
    <v>Ghindari</v>
    <v>mdp/vdpid/7049530847594020865</v>
  </rv>
  <rv s="0">
    <v>536870912</v>
    <v>Zimbor</v>
    <v>8ea51efd-dffc-cc88-2485-ffe718b868b0</v>
    <v>en-US</v>
    <v>Map</v>
  </rv>
  <rv s="1">
    <fb>74.8</fb>
    <v>9</v>
  </rv>
  <rv s="2">
    <v>199</v>
    <v>7</v>
    <v>483</v>
    <v>7</v>
    <v>0</v>
    <v>Image of Zimbor</v>
  </rv>
  <rv s="1">
    <fb>46.978230000000003</fb>
    <v>14</v>
  </rv>
  <rv s="0">
    <v>805306368</v>
    <v>Gabriel Mureșan (Mayor)</v>
    <v>e8d7dc81-59c7-023b-90eb-2d1f08ac2885</v>
    <v>en-US</v>
    <v>Generic</v>
  </rv>
  <rv s="4">
    <v>156</v>
  </rv>
  <rv s="3">
    <v>https://www.bing.com/search?q=zimbor+romania&amp;form=skydnc</v>
    <v>Learn more on Bing</v>
  </rv>
  <rv s="1">
    <fb>23.28237</fb>
    <v>14</v>
  </rv>
  <rv s="1">
    <fb>938</fb>
    <v>9</v>
  </rv>
  <rv s="8">
    <v>#VALUE!</v>
    <v>en-US</v>
    <v>8ea51efd-dffc-cc88-2485-ffe718b868b0</v>
    <v>536870912</v>
    <v>1</v>
    <v>484</v>
    <v>31</v>
    <v>Zimbor</v>
    <v>5</v>
    <v>6</v>
    <v>Map</v>
    <v>7</v>
    <v>8</v>
    <v>538</v>
    <v>538</v>
    <v>1889</v>
    <v>26</v>
    <v>Zimbor is a commune located in Sălaj County, Romania. It is composed of five villages: Chendremal, Dolu, Sutoru, Sâncraiu Almașului and Zimbor. It is situated in the historical region of Transylvania.</v>
    <v>1890</v>
    <v>1891</v>
    <v>1893</v>
    <v>1894</v>
    <v>1895</v>
    <v>Zimbor</v>
    <v>1896</v>
    <v>7</v>
    <v>Zimbor</v>
    <v>mdp/vdpid/7049366206800723969</v>
  </rv>
  <rv s="0">
    <v>536870912</v>
    <v>Prejmer</v>
    <v>ea9340f8-ac11-dc44-a55f-d2a72773408f</v>
    <v>en-US</v>
    <v>Map</v>
  </rv>
  <rv s="1">
    <fb>60.48</fb>
    <v>9</v>
  </rv>
  <rv s="2">
    <v>200</v>
    <v>7</v>
    <v>485</v>
    <v>7</v>
    <v>0</v>
    <v>Image of Prejmer</v>
  </rv>
  <rv s="1">
    <fb>45.721944440000001</fb>
    <v>14</v>
  </rv>
  <rv s="0">
    <v>805306368</v>
    <v>Mihai-Florin Apafi (Mayor)</v>
    <v>b662bc69-b512-4c4b-d29d-bdc73dad3218</v>
    <v>en-US</v>
    <v>Generic</v>
  </rv>
  <rv s="4">
    <v>157</v>
  </rv>
  <rv s="3">
    <v>https://www.bing.com/search?q=prejmer+romania&amp;form=skydnc</v>
    <v>Learn more on Bing</v>
  </rv>
  <rv s="1">
    <fb>25.77527778</fb>
    <v>14</v>
  </rv>
  <rv s="1">
    <fb>8647</fb>
    <v>9</v>
  </rv>
  <rv s="6">
    <v>#VALUE!</v>
    <v>en-US</v>
    <v>ea9340f8-ac11-dc44-a55f-d2a72773408f</v>
    <v>536870912</v>
    <v>1</v>
    <v>486</v>
    <v>12</v>
    <v>Prejmer</v>
    <v>5</v>
    <v>6</v>
    <v>Map</v>
    <v>7</v>
    <v>8</v>
    <v>158</v>
    <v>1899</v>
    <v>26</v>
    <v>Prejmer is a commune in Brașov County, Transylvania, Romania. It is composed of three villages: Lunca Câlnicului, Prejmer, and Stupinii Prejmerului. Located 18 km northeast of Brașov, the Olt River passes through the commune.</v>
    <v>1900</v>
    <v>1901</v>
    <v>1903</v>
    <v>1904</v>
    <v>1905</v>
    <v>Prejmer</v>
    <v>1906</v>
    <v>7</v>
    <v>Prejmer</v>
    <v>mdp/vdpid/7050136516483350529</v>
  </rv>
  <rv s="0">
    <v>536870912</v>
    <v>Gura Râului</v>
    <v>424f36e1-d838-6262-4e0b-a69191311c23</v>
    <v>en-US</v>
    <v>Map</v>
  </rv>
  <rv s="1">
    <fb>100</fb>
    <v>9</v>
  </rv>
  <rv s="2">
    <v>201</v>
    <v>7</v>
    <v>487</v>
    <v>7</v>
    <v>0</v>
    <v>Image of Gura Râului</v>
  </rv>
  <rv s="1">
    <fb>45.698447000000002</fb>
    <v>14</v>
  </rv>
  <rv s="0">
    <v>805306368</v>
    <v>Gheorghe Călin (Mayor)</v>
    <v>1a8e7fdf-a073-97b1-8875-696268d1608f</v>
    <v>en-US</v>
    <v>Generic</v>
  </rv>
  <rv s="4">
    <v>158</v>
  </rv>
  <rv s="3">
    <v>https://www.bing.com/search?q=gura+r%c3%a2ului+romania&amp;form=skydnc</v>
    <v>Learn more on Bing</v>
  </rv>
  <rv s="1">
    <fb>23.943398999999999</fb>
    <v>14</v>
  </rv>
  <rv s="1">
    <fb>3522</fb>
    <v>9</v>
  </rv>
  <rv s="6">
    <v>#VALUE!</v>
    <v>en-US</v>
    <v>424f36e1-d838-6262-4e0b-a69191311c23</v>
    <v>536870912</v>
    <v>1</v>
    <v>488</v>
    <v>12</v>
    <v>Gura Râului</v>
    <v>5</v>
    <v>6</v>
    <v>Map</v>
    <v>7</v>
    <v>8</v>
    <v>0</v>
    <v>1909</v>
    <v>26</v>
    <v>Gura Râului is a commune in Sibiu County, Transylvania, Romania. It lies at the foothills of the Cindrel Mountains, 20 km west of the county capital, Sibiu, within the Mărginimea Sibiului ethnographic area. It is composed of a single village, ...</v>
    <v>1910</v>
    <v>1911</v>
    <v>1913</v>
    <v>1914</v>
    <v>1915</v>
    <v>Gura Râului</v>
    <v>1916</v>
    <v>7</v>
    <v>Gura Râului</v>
    <v>mdp/vdpid/7049705133810122753</v>
  </rv>
  <rv s="0">
    <v>536870912</v>
    <v>Codlea</v>
    <v>528277a5-24dd-8394-4505-8183d482abec</v>
    <v>en-US</v>
    <v>Map</v>
  </rv>
  <rv s="1">
    <fb>132.79</fb>
    <v>9</v>
  </rv>
  <rv s="2">
    <v>202</v>
    <v>7</v>
    <v>489</v>
    <v>7</v>
    <v>0</v>
    <v>Image of Codlea</v>
  </rv>
  <rv s="1">
    <fb>45.695833333332999</fb>
    <v>14</v>
  </rv>
  <rv s="0">
    <v>805306368</v>
    <v>Paul-Mihai Cîmpeanu (Mayor)</v>
    <v>3a570594-f9e1-0891-f2a0-46ded902de89</v>
    <v>en-US</v>
    <v>Generic</v>
  </rv>
  <rv s="4">
    <v>159</v>
  </rv>
  <rv s="3">
    <v>https://www.bing.com/search?q=codlea+romania&amp;form=skydnc</v>
    <v>Learn more on Bing</v>
  </rv>
  <rv s="1">
    <fb>25.449722222222</fb>
    <v>14</v>
  </rv>
  <rv s="1">
    <fb>20534</fb>
    <v>9</v>
  </rv>
  <rv s="6">
    <v>#VALUE!</v>
    <v>en-US</v>
    <v>528277a5-24dd-8394-4505-8183d482abec</v>
    <v>536870912</v>
    <v>1</v>
    <v>490</v>
    <v>12</v>
    <v>Codlea</v>
    <v>5</v>
    <v>6</v>
    <v>Map</v>
    <v>7</v>
    <v>8</v>
    <v>158</v>
    <v>1919</v>
    <v>26</v>
    <v>Codlea is a city in Brașov County, Transylvania, Romania. The Romanian name "Codlea" could be a derivation from the Latin codella, a diminutive of Latin coda ; or it could be a derivation from the Slavic kotlík, as the Măgura Codlei looks like a ...</v>
    <v>1920</v>
    <v>1921</v>
    <v>1923</v>
    <v>1924</v>
    <v>1925</v>
    <v>Codlea</v>
    <v>1926</v>
    <v>7</v>
    <v>Codlea</v>
    <v>mdp/vdpid/7050127889437556737</v>
  </rv>
  <rv s="0">
    <v>536870912</v>
    <v>Ieud</v>
    <v>1d60cbe8-5515-ed3b-56b7-aead08c37a5b</v>
    <v>en-US</v>
    <v>Map</v>
  </rv>
  <rv s="1">
    <fb>110</fb>
    <v>9</v>
  </rv>
  <rv s="2">
    <v>203</v>
    <v>7</v>
    <v>491</v>
    <v>7</v>
    <v>0</v>
    <v>Image of Ieud</v>
  </rv>
  <rv s="1">
    <fb>47.635781999999999</fb>
    <v>14</v>
  </rv>
  <rv s="0">
    <v>805306368</v>
    <v>Nicolae-Traian David (Mayor)</v>
    <v>8654da16-f7aa-7236-0d61-8ae842c81d06</v>
    <v>en-US</v>
    <v>Generic</v>
  </rv>
  <rv s="4">
    <v>160</v>
  </rv>
  <rv s="3">
    <v>https://www.bing.com/search?q=ieud+romania&amp;form=skydnc</v>
    <v>Learn more on Bing</v>
  </rv>
  <rv s="1">
    <fb>24.199804</fb>
    <v>14</v>
  </rv>
  <rv s="1">
    <fb>4061</fb>
    <v>9</v>
  </rv>
  <rv s="6">
    <v>#VALUE!</v>
    <v>en-US</v>
    <v>1d60cbe8-5515-ed3b-56b7-aead08c37a5b</v>
    <v>536870912</v>
    <v>1</v>
    <v>492</v>
    <v>12</v>
    <v>Ieud</v>
    <v>5</v>
    <v>6</v>
    <v>Map</v>
    <v>7</v>
    <v>8</v>
    <v>236</v>
    <v>1929</v>
    <v>26</v>
    <v>Ieud is a commune in Maramureș County, Maramureș, Romania. The commune is situated in the central part of Maramureș County, on the banks of the Ieud, a left tributary of the Iza River. It is composed of a single village, Ieud.</v>
    <v>1930</v>
    <v>1931</v>
    <v>1933</v>
    <v>1934</v>
    <v>1935</v>
    <v>Ieud</v>
    <v>1936</v>
    <v>7</v>
    <v>Ieud</v>
    <v>mdp/vdpid/7049404378993655809</v>
  </rv>
  <rv s="0">
    <v>536870912</v>
    <v>Maieru</v>
    <v>577165a7-e311-8e0b-a0cd-45fb775e0d3a</v>
    <v>en-US</v>
    <v>Map</v>
  </rv>
  <rv s="1">
    <fb>149.13999999999999</fb>
    <v>9</v>
  </rv>
  <rv s="2">
    <v>204</v>
    <v>7</v>
    <v>493</v>
    <v>7</v>
    <v>0</v>
    <v>Image of Maieru</v>
  </rv>
  <rv s="1">
    <fb>47.483801999999997</fb>
    <v>14</v>
  </rv>
  <rv s="0">
    <v>805306368</v>
    <v>Vasile Borș (Mayor)</v>
    <v>41f26e96-d1ad-04c4-a4f7-5ed4056e8e0c</v>
    <v>en-US</v>
    <v>Generic</v>
  </rv>
  <rv s="4">
    <v>161</v>
  </rv>
  <rv s="3">
    <v>https://www.bing.com/search?q=maieru+romania&amp;form=skydnc</v>
    <v>Learn more on Bing</v>
  </rv>
  <rv s="1">
    <fb>24.732354000000001</fb>
    <v>14</v>
  </rv>
  <rv s="1">
    <fb>7579</fb>
    <v>9</v>
  </rv>
  <rv s="6">
    <v>#VALUE!</v>
    <v>en-US</v>
    <v>577165a7-e311-8e0b-a0cd-45fb775e0d3a</v>
    <v>536870912</v>
    <v>1</v>
    <v>494</v>
    <v>12</v>
    <v>Maieru</v>
    <v>5</v>
    <v>6</v>
    <v>Map</v>
    <v>7</v>
    <v>8</v>
    <v>184</v>
    <v>1939</v>
    <v>26</v>
    <v>Maieru is a commune in Bistrița-Năsăud County, Transylvania, Romania. It is composed of two villages, Anieș and Maieru.</v>
    <v>1940</v>
    <v>1941</v>
    <v>1943</v>
    <v>1944</v>
    <v>1945</v>
    <v>Maieru</v>
    <v>1946</v>
    <v>7</v>
    <v>Maieru</v>
    <v>mdp/vdpid/7049455397182111745</v>
  </rv>
  <rv s="0">
    <v>536870912</v>
    <v>Corbi</v>
    <v>eab4e0d3-c701-262c-178b-dbf1670ce615</v>
    <v>en-US</v>
    <v>Map</v>
  </rv>
  <rv s="1">
    <fb>56.52</fb>
    <v>9</v>
  </rv>
  <rv s="2">
    <v>205</v>
    <v>7</v>
    <v>495</v>
    <v>7</v>
    <v>0</v>
    <v>Image of Corbi</v>
  </rv>
  <rv s="1">
    <fb>45.276895000000003</fb>
    <v>14</v>
  </rv>
  <rv s="0">
    <v>805306368</v>
    <v>Constantin Mogaru (Mayor)</v>
    <v>159d76c1-f80f-b6ea-88a5-17ef9087d7cd</v>
    <v>en-US</v>
    <v>Generic</v>
  </rv>
  <rv s="4">
    <v>162</v>
  </rv>
  <rv s="3">
    <v>https://www.bing.com/search?q=corbi+romania&amp;form=skydnc</v>
    <v>Learn more on Bing</v>
  </rv>
  <rv s="1">
    <fb>24.832957</fb>
    <v>14</v>
  </rv>
  <rv s="1">
    <fb>3420</fb>
    <v>9</v>
  </rv>
  <rv s="6">
    <v>#VALUE!</v>
    <v>en-US</v>
    <v>eab4e0d3-c701-262c-178b-dbf1670ce615</v>
    <v>536870912</v>
    <v>1</v>
    <v>496</v>
    <v>12</v>
    <v>Corbi</v>
    <v>5</v>
    <v>6</v>
    <v>Map</v>
    <v>7</v>
    <v>8</v>
    <v>18</v>
    <v>1949</v>
    <v>26</v>
    <v>Corbi is a commune in Argeș County, Muntenia, Romania. It is composed of six villages: Corbi, Corbșori, Jgheaburi, Poduri, Poenărei, and Stănești. Corbi is located in the northern part of Argeș County: its neighbours are Nucșoara commune to the ...</v>
    <v>1950</v>
    <v>1951</v>
    <v>1953</v>
    <v>1954</v>
    <v>1955</v>
    <v>Corbi</v>
    <v>1956</v>
    <v>7</v>
    <v>Corbi</v>
    <v>mdp/vdpid/7049739999733874689</v>
  </rv>
  <rv s="0">
    <v>536870912</v>
    <v>Prunișor</v>
    <v>5d5d244c-51b7-47e7-aaab-255175762e5f</v>
    <v>en-US</v>
    <v>Map</v>
  </rv>
  <rv s="1">
    <fb>122.93</fb>
    <v>9</v>
  </rv>
  <rv s="2">
    <v>206</v>
    <v>7</v>
    <v>497</v>
    <v>7</v>
    <v>0</v>
    <v>Image of Prunișor</v>
  </rv>
  <rv s="1">
    <fb>44.600703000000003</fb>
    <v>14</v>
  </rv>
  <rv s="3">
    <v>https://www.bing.com/search?q=pruni%c8%99or&amp;form=skydnc</v>
    <v>Learn more on Bing</v>
  </rv>
  <rv s="1">
    <fb>22.901757</fb>
    <v>14</v>
  </rv>
  <rv s="1">
    <fb>2129</fb>
    <v>9</v>
  </rv>
  <rv s="9">
    <v>#VALUE!</v>
    <v>en-US</v>
    <v>5d5d244c-51b7-47e7-aaab-255175762e5f</v>
    <v>536870912</v>
    <v>1</v>
    <v>498</v>
    <v>70</v>
    <v>Prunișor</v>
    <v>5</v>
    <v>6</v>
    <v>Map</v>
    <v>7</v>
    <v>8</v>
    <v>98</v>
    <v>1959</v>
    <v>26</v>
    <v>Prunișor is a commune located in Mehedinți County, Oltenia, Romania. It is composed of fifteen villages: Arvătești, Balota, Bâltanele, Cervenița, Dragotești, Fântâna Domnească, Ghelmegioaia, Gârnița, Gutu, Igiroasa, Lumnic, Mijarca, Prunaru, ...</v>
    <v>1960</v>
    <v>1961</v>
    <v>1962</v>
    <v>1963</v>
    <v>Prunișor</v>
    <v>1964</v>
    <v>7</v>
    <v>Prunișor</v>
    <v>mdp/vdpid/7241814820482187265</v>
  </rv>
  <rv s="0">
    <v>536870912</v>
    <v>Voloiac</v>
    <v>b1d3dc24-83aa-3e9c-4933-9b181eb001ec</v>
    <v>en-US</v>
    <v>Map</v>
  </rv>
  <rv s="1">
    <fb>47.94</fb>
    <v>9</v>
  </rv>
  <rv s="2">
    <v>207</v>
    <v>7</v>
    <v>499</v>
    <v>7</v>
    <v>0</v>
    <v>Image of Voloiac</v>
  </rv>
  <rv s="1">
    <fb>44.628996000000001</fb>
    <v>14</v>
  </rv>
  <rv s="3">
    <v>https://www.bing.com/search?q=voloiac&amp;form=skydnc</v>
    <v>Learn more on Bing</v>
  </rv>
  <rv s="1">
    <fb>23.043970999999999</fb>
    <v>14</v>
  </rv>
  <rv s="1">
    <fb>1420</fb>
    <v>9</v>
  </rv>
  <rv s="9">
    <v>#VALUE!</v>
    <v>en-US</v>
    <v>b1d3dc24-83aa-3e9c-4933-9b181eb001ec</v>
    <v>536870912</v>
    <v>1</v>
    <v>500</v>
    <v>70</v>
    <v>Voloiac</v>
    <v>5</v>
    <v>6</v>
    <v>Map</v>
    <v>7</v>
    <v>8</v>
    <v>98</v>
    <v>1967</v>
    <v>26</v>
    <v>Voloiac is a commune located in Mehedinți County, Oltenia, Romania. It is composed of eight villages: Cotoroaia, Lac, Ruptura, Sperlești, Țițirigi, Valea Bună, Voloiac and Voloicel.</v>
    <v>1968</v>
    <v>1969</v>
    <v>1970</v>
    <v>1971</v>
    <v>Voloiac</v>
    <v>1972</v>
    <v>7</v>
    <v>Voloiac</v>
    <v>mdp/vdpid/7241817366256943105</v>
  </rv>
  <rv s="0">
    <v>536870912</v>
    <v>Lungești</v>
    <v>cc3ba467-fffd-ba4e-55dc-d438529c58b5</v>
    <v>en-US</v>
    <v>Map</v>
  </rv>
  <rv s="1">
    <fb>5958</fb>
    <v>9</v>
  </rv>
  <rv s="2">
    <v>208</v>
    <v>7</v>
    <v>501</v>
    <v>7</v>
    <v>0</v>
    <v>Image of Lungești</v>
  </rv>
  <rv s="1">
    <fb>44.566666669999996</fb>
    <v>14</v>
  </rv>
  <rv s="3">
    <v>https://www.bing.com/search?q=lunge%c8%99ti&amp;form=skydnc</v>
    <v>Learn more on Bing</v>
  </rv>
  <rv s="1">
    <fb>24.18333333</fb>
    <v>14</v>
  </rv>
  <rv s="1">
    <fb>3149</fb>
    <v>9</v>
  </rv>
  <rv s="9">
    <v>#VALUE!</v>
    <v>en-US</v>
    <v>cc3ba467-fffd-ba4e-55dc-d438529c58b5</v>
    <v>536870912</v>
    <v>1</v>
    <v>502</v>
    <v>70</v>
    <v>Lungești</v>
    <v>5</v>
    <v>6</v>
    <v>Map</v>
    <v>7</v>
    <v>8</v>
    <v>495</v>
    <v>1975</v>
    <v>26</v>
    <v>Lungești is a commune located in Vâlcea County, Oltenia, Romania. It is composed of six villages: Carcadiești, Dumbrava, Fumureni, Gănţulei, Lungești and Stănești-Lunca.</v>
    <v>1976</v>
    <v>1977</v>
    <v>1978</v>
    <v>1979</v>
    <v>Lungești</v>
    <v>1980</v>
    <v>7</v>
    <v>Lungești</v>
    <v>mdp/vdpid/7241949677640220673</v>
  </rv>
  <rv s="0">
    <v>536870912</v>
    <v>Livezile, Timiș</v>
    <v>d3d43f52-77ac-877c-456a-11ee9941c213</v>
    <v>en-US</v>
    <v>Map</v>
  </rv>
  <rv s="1">
    <fb>55.79</fb>
    <v>9</v>
  </rv>
  <rv s="2">
    <v>209</v>
    <v>7</v>
    <v>503</v>
    <v>7</v>
    <v>0</v>
    <v>Image of Livezile, Timiș</v>
  </rv>
  <rv s="1">
    <fb>45.385924000000003</fb>
    <v>14</v>
  </rv>
  <rv s="0">
    <v>805306368</v>
    <v>Daniel Lungu (Mayor)</v>
    <v>fa3881d6-4a47-186d-2233-6cc606dea7e6</v>
    <v>en-US</v>
    <v>Generic</v>
  </rv>
  <rv s="4">
    <v>163</v>
  </rv>
  <rv s="1">
    <fb>21.045224000000001</fb>
    <v>14</v>
  </rv>
  <rv s="1">
    <fb>1374</fb>
    <v>9</v>
  </rv>
  <rv s="19">
    <v>#VALUE!</v>
    <v>en-US</v>
    <v>d3d43f52-77ac-877c-456a-11ee9941c213</v>
    <v>536870912</v>
    <v>1</v>
    <v>504</v>
    <v>358</v>
    <v>Livezile, Timiș</v>
    <v>194</v>
    <v>6</v>
    <v>Map</v>
    <v>7</v>
    <v>8</v>
    <v>269</v>
    <v>1983</v>
    <v>26</v>
    <v>Livezile is a commune in Timiș County, Romania. It is composed of two villages, Dolaț and Livezile. From 1972 to 2006, its villages were part of Banloc commune. Livezile is located in the southwestern part of Timiș County, along the border with ...</v>
    <v>1984</v>
    <v>1985</v>
    <v>1987</v>
    <v>1988</v>
    <v>Livezile, Timiș</v>
    <v>1989</v>
    <v>7</v>
    <v>Livezile, Timiș</v>
    <v>mdp/vdpid/7025456970609983489</v>
  </rv>
  <rv s="0">
    <v>536870912</v>
    <v>Sebiș</v>
    <v>832fce7a-593e-4d4f-8450-e64fdea40768</v>
    <v>en-US</v>
    <v>Map</v>
  </rv>
  <rv s="1">
    <fb>65.94</fb>
    <v>9</v>
  </rv>
  <rv s="2">
    <v>210</v>
    <v>7</v>
    <v>505</v>
    <v>7</v>
    <v>0</v>
    <v>Image of Sebiș</v>
  </rv>
  <rv s="1">
    <fb>46.372777777777998</fb>
    <v>14</v>
  </rv>
  <rv s="0">
    <v>805306368</v>
    <v>Cristian Feieș (Mayor)</v>
    <v>b1fe80e6-759e-f6fb-a4de-919da414e757</v>
    <v>en-US</v>
    <v>Generic</v>
  </rv>
  <rv s="4">
    <v>164</v>
  </rv>
  <rv s="3">
    <v>https://www.bing.com/search?q=sebi%c8%99+romania&amp;form=skydnc</v>
    <v>Learn more on Bing</v>
  </rv>
  <rv s="1">
    <fb>22.129444444444001</fb>
    <v>14</v>
  </rv>
  <rv s="1">
    <fb>5410</fb>
    <v>9</v>
  </rv>
  <rv s="6">
    <v>#VALUE!</v>
    <v>en-US</v>
    <v>832fce7a-593e-4d4f-8450-e64fdea40768</v>
    <v>536870912</v>
    <v>1</v>
    <v>506</v>
    <v>12</v>
    <v>Sebiș</v>
    <v>5</v>
    <v>6</v>
    <v>Map</v>
    <v>7</v>
    <v>8</v>
    <v>120</v>
    <v>1992</v>
    <v>26</v>
    <v>Sebiș is a town in Arad County, western Transylvania, Romania. Situated 82 km from the county capital, Sebiș is one of the most important urban centres in the Crișul Alb valley. It administers three villages: Donceni, Prunișor, and Sălăjeni.</v>
    <v>1993</v>
    <v>1994</v>
    <v>1996</v>
    <v>1997</v>
    <v>1998</v>
    <v>Sebiș</v>
    <v>1999</v>
    <v>7</v>
    <v>Sebiș</v>
    <v>mdp/vdpid/7025512848855924737</v>
  </rv>
  <rv s="0">
    <v>536870912</v>
    <v>Săpata</v>
    <v>2a267fba-8ac6-6ea5-036e-db99c26aee0b</v>
    <v>en-US</v>
    <v>Map</v>
  </rv>
  <rv s="1">
    <fb>47.27</fb>
    <v>9</v>
  </rv>
  <rv s="2">
    <v>211</v>
    <v>7</v>
    <v>507</v>
    <v>7</v>
    <v>0</v>
    <v>Image of Săpata</v>
  </rv>
  <rv s="1">
    <fb>44.742972999999999</fb>
    <v>14</v>
  </rv>
  <rv s="3">
    <v>https://www.bing.com/search?q=s%c4%83pata+romania&amp;form=skydnc</v>
    <v>Learn more on Bing</v>
  </rv>
  <rv s="1">
    <fb>24.741216999999999</fb>
    <v>14</v>
  </rv>
  <rv s="1">
    <fb>1513</fb>
    <v>9</v>
  </rv>
  <rv s="9">
    <v>#VALUE!</v>
    <v>en-US</v>
    <v>2a267fba-8ac6-6ea5-036e-db99c26aee0b</v>
    <v>536870912</v>
    <v>1</v>
    <v>508</v>
    <v>70</v>
    <v>Săpata</v>
    <v>5</v>
    <v>6</v>
    <v>Map</v>
    <v>7</v>
    <v>8</v>
    <v>18</v>
    <v>2002</v>
    <v>26</v>
    <v>Săpata is a commune in Argeș County, Muntenia, Romania. It is composed of eight villages: Bănărești, Dealu Bradului, Drăghicești, Găinușa, Lipia, Mârțești, Popești and Turcești. It is the site of two ancient Roman forts, part of the empire ...</v>
    <v>2003</v>
    <v>2004</v>
    <v>2005</v>
    <v>2006</v>
    <v>Săpata</v>
    <v>2007</v>
    <v>7</v>
    <v>Săpata</v>
    <v>mdp/vdpid/7241971092464599041</v>
  </rv>
  <rv s="0">
    <v>536870912</v>
    <v>Cristian, Brașov</v>
    <v>d481025c-1e83-684d-086e-a044a36b4785</v>
    <v>en-US</v>
    <v>Map</v>
  </rv>
  <rv s="1">
    <fb>27.73</fb>
    <v>9</v>
  </rv>
  <rv s="2">
    <v>212</v>
    <v>7</v>
    <v>509</v>
    <v>7</v>
    <v>0</v>
    <v>Image of Cristian, Brașov</v>
  </rv>
  <rv s="1">
    <fb>45.628599999999999</fb>
    <v>14</v>
  </rv>
  <rv s="0">
    <v>805306368</v>
    <v>Gicu Cojocaru (Mayor)</v>
    <v>d2f886d2-96cc-5d87-29c7-23371841ce5d</v>
    <v>en-US</v>
    <v>Generic</v>
  </rv>
  <rv s="4">
    <v>165</v>
  </rv>
  <rv s="1">
    <fb>25.4833</fb>
    <v>14</v>
  </rv>
  <rv s="1">
    <fb>6292</fb>
    <v>9</v>
  </rv>
  <rv s="19">
    <v>#VALUE!</v>
    <v>en-US</v>
    <v>d481025c-1e83-684d-086e-a044a36b4785</v>
    <v>536870912</v>
    <v>1</v>
    <v>510</v>
    <v>358</v>
    <v>Cristian, Brașov</v>
    <v>194</v>
    <v>6</v>
    <v>Map</v>
    <v>7</v>
    <v>8</v>
    <v>158</v>
    <v>2010</v>
    <v>26</v>
    <v>Cristian is a commune in Brașov County, Transylvania, Romania. It is composed of a single village, Cristian. The commune is located some 12 km west of Brașov, in the Burzenland region of southeastern Transylvania. It is traversed south to north ...</v>
    <v>2011</v>
    <v>2012</v>
    <v>2014</v>
    <v>2015</v>
    <v>Cristian, Brașov</v>
    <v>2016</v>
    <v>7</v>
    <v>Cristian, Brașov</v>
    <v>mdp/vdpid/7050175206035292161</v>
  </rv>
  <rv s="0">
    <v>536870912</v>
    <v>Breasta</v>
    <v>ae8cb7b0-2b73-841a-5bd4-f75cd2a63de4</v>
    <v>en-US</v>
    <v>Map</v>
  </rv>
  <rv s="1">
    <fb>45.2</fb>
    <v>9</v>
  </rv>
  <rv s="2">
    <v>213</v>
    <v>7</v>
    <v>511</v>
    <v>7</v>
    <v>0</v>
    <v>Image of Breasta</v>
  </rv>
  <rv s="1">
    <fb>44.341298000000002</fb>
    <v>14</v>
  </rv>
  <rv s="3">
    <v>https://www.bing.com/search?q=breasta&amp;form=skydnc</v>
    <v>Learn more on Bing</v>
  </rv>
  <rv s="1">
    <fb>23.655850000000001</fb>
    <v>14</v>
  </rv>
  <rv s="1">
    <fb>4201</fb>
    <v>9</v>
  </rv>
  <rv s="9">
    <v>#VALUE!</v>
    <v>en-US</v>
    <v>ae8cb7b0-2b73-841a-5bd4-f75cd2a63de4</v>
    <v>536870912</v>
    <v>1</v>
    <v>512</v>
    <v>70</v>
    <v>Breasta</v>
    <v>5</v>
    <v>6</v>
    <v>Map</v>
    <v>7</v>
    <v>8</v>
    <v>330</v>
    <v>2019</v>
    <v>26</v>
    <v>Breasta is a commune in Dolj County, Oltenia, Romania with a population of 3,906 people. It is composed of seven villages: Breasta, Cotu, Crovna, Făget, Obedin, Roșieni and Valea Lungului.</v>
    <v>2020</v>
    <v>2021</v>
    <v>2022</v>
    <v>2023</v>
    <v>Breasta</v>
    <v>2024</v>
    <v>7</v>
    <v>Breasta</v>
    <v>mdp/vdpid/7241856153217400833</v>
  </rv>
  <rv s="0">
    <v>536870912</v>
    <v>Carei</v>
    <v>f7e03c51-c8af-e0f5-9c24-0fa2a8a96e39</v>
    <v>en-US</v>
    <v>Map</v>
  </rv>
  <rv s="1">
    <fb>102</fb>
    <v>9</v>
  </rv>
  <rv s="2">
    <v>214</v>
    <v>7</v>
    <v>513</v>
    <v>7</v>
    <v>0</v>
    <v>Image of Carei</v>
  </rv>
  <rv s="1">
    <fb>47.69</fb>
    <v>14</v>
  </rv>
  <rv s="0">
    <v>805306368</v>
    <v>Monica-Silvia Giurgiu-Kovács (Mayor)</v>
    <v>b45dc13f-76e1-6981-8b73-2ca2796efec7</v>
    <v>en-US</v>
    <v>Generic</v>
  </rv>
  <rv s="4">
    <v>166</v>
  </rv>
  <rv s="3">
    <v>https://www.bing.com/search?q=carei+romania&amp;form=skydnc</v>
    <v>Learn more on Bing</v>
  </rv>
  <rv s="1">
    <fb>18957</fb>
    <v>9</v>
  </rv>
  <rv s="6">
    <v>#VALUE!</v>
    <v>en-US</v>
    <v>f7e03c51-c8af-e0f5-9c24-0fa2a8a96e39</v>
    <v>536870912</v>
    <v>1</v>
    <v>514</v>
    <v>12</v>
    <v>Carei</v>
    <v>5</v>
    <v>6</v>
    <v>Map</v>
    <v>7</v>
    <v>8</v>
    <v>512</v>
    <v>2027</v>
    <v>26</v>
    <v>Carei is a city in Satu Mare County, northwestern Romania, near the border with Hungary. The city administers one village, Ianculești. The municipality of Carei is situated in the north-west of Romania, 99 km away from Oradea. Carei is situated ...</v>
    <v>2028</v>
    <v>2029</v>
    <v>2031</v>
    <v>2032</v>
    <v>1645</v>
    <v>Carei</v>
    <v>2033</v>
    <v>7</v>
    <v>Carei</v>
    <v>mdp/vdpid/7025241200881827841</v>
  </rv>
  <rv s="0">
    <v>536870912</v>
    <v>Petroșani</v>
    <v>09f126bb-0f8f-ee68-7783-8cd156312b7e</v>
    <v>en-US</v>
    <v>Map</v>
  </rv>
  <rv s="1">
    <fb>195.56</fb>
    <v>9</v>
  </rv>
  <rv s="2">
    <v>215</v>
    <v>7</v>
    <v>515</v>
    <v>7</v>
    <v>0</v>
    <v>Image of Petroșani</v>
  </rv>
  <rv s="1">
    <fb>45.412222222221999</fb>
    <v>14</v>
  </rv>
  <rv s="0">
    <v>805306368</v>
    <v>Tiberiu Iacob-Ridzi (Mayor)</v>
    <v>e31d741e-e361-a768-bab4-d7fd2c037368</v>
    <v>en-US</v>
    <v>Generic</v>
  </rv>
  <rv s="4">
    <v>167</v>
  </rv>
  <rv s="3">
    <v>https://www.bing.com/search?q=petro%c8%99ani+romania&amp;form=skydnc</v>
    <v>Learn more on Bing</v>
  </rv>
  <rv s="1">
    <fb>23.373333333333001</fb>
    <v>14</v>
  </rv>
  <rv s="1">
    <fb>31044</fb>
    <v>9</v>
  </rv>
  <rv s="6">
    <v>#VALUE!</v>
    <v>en-US</v>
    <v>09f126bb-0f8f-ee68-7783-8cd156312b7e</v>
    <v>536870912</v>
    <v>1</v>
    <v>516</v>
    <v>12</v>
    <v>Petroșani</v>
    <v>5</v>
    <v>6</v>
    <v>Map</v>
    <v>7</v>
    <v>8</v>
    <v>391</v>
    <v>2036</v>
    <v>26</v>
    <v>Petroșani is a city in Hunedoara County, Transylvania, Romania, with a population of 31,044 as of 2021. The city has been associated with mining since the 19th century. "Pietros" means "stony, rocky" in Romanian. The city of Petroșani was ...</v>
    <v>2037</v>
    <v>2038</v>
    <v>2040</v>
    <v>2041</v>
    <v>2042</v>
    <v>Petroșani</v>
    <v>2043</v>
    <v>7</v>
    <v>Petroșani</v>
    <v>mdp/vdpid/7049651798352592897</v>
  </rv>
  <rv s="0">
    <v>536870912</v>
    <v>Recea, Argeș</v>
    <v>1790cd93-43fd-b7a6-3fb0-77afb97e602c</v>
    <v>en-US</v>
    <v>Map</v>
  </rv>
  <rv s="1">
    <fb>63.38</fb>
    <v>9</v>
  </rv>
  <rv s="2">
    <v>216</v>
    <v>7</v>
    <v>517</v>
    <v>7</v>
    <v>0</v>
    <v>Image of Recea, Argeș</v>
  </rv>
  <rv s="1">
    <fb>44.519171222222198</fb>
    <v>14</v>
  </rv>
  <rv s="1">
    <fb>25.029466305555601</fb>
    <v>14</v>
  </rv>
  <rv s="1">
    <fb>2430</fb>
    <v>9</v>
  </rv>
  <rv s="13">
    <v>#VALUE!</v>
    <v>en-US</v>
    <v>1790cd93-43fd-b7a6-3fb0-77afb97e602c</v>
    <v>536870912</v>
    <v>1</v>
    <v>518</v>
    <v>193</v>
    <v>Recea, Argeș</v>
    <v>194</v>
    <v>6</v>
    <v>Map</v>
    <v>7</v>
    <v>8</v>
    <v>18</v>
    <v>2046</v>
    <v>26</v>
    <v>Recea is a commune in the south of Argeș County, Muntenia, Romania, having a population of 3,272. It is composed of five villages: Deagu de Jos, Deagu de Sus, Goleasca, Orodel and Recea. It lies in the Teleorman river valley and the main source ...</v>
    <v>2047</v>
    <v>2048</v>
    <v>2049</v>
    <v>Recea, Argeș</v>
    <v>2050</v>
    <v>7</v>
    <v>Recea, Argeș</v>
    <v>mdp/vdpid/7241962045417979905</v>
  </rv>
  <rv s="0">
    <v>536870912</v>
    <v>Remetea Mare</v>
    <v>9afab29e-e28f-7d0c-1a61-e977a0587123</v>
    <v>en-US</v>
    <v>Map</v>
  </rv>
  <rv s="1">
    <fb>105.41</fb>
    <v>9</v>
  </rv>
  <rv s="2">
    <v>217</v>
    <v>7</v>
    <v>519</v>
    <v>7</v>
    <v>0</v>
    <v>Image of Remetea Mare</v>
  </rv>
  <rv s="1">
    <fb>45.827162199999997</fb>
    <v>14</v>
  </rv>
  <rv s="0">
    <v>805306368</v>
    <v>Cosmin Chira (Mayor)</v>
    <v>cd364eaf-3e3e-ac7a-4585-99c18bfa8312</v>
    <v>en-US</v>
    <v>Generic</v>
  </rv>
  <rv s="4">
    <v>168</v>
  </rv>
  <rv s="3">
    <v>https://www.bing.com/search?q=remetea+mare+romania&amp;form=skydnc</v>
    <v>Learn more on Bing</v>
  </rv>
  <rv s="1">
    <fb>21.417499599999999</fb>
    <v>14</v>
  </rv>
  <rv s="1">
    <fb>2908</fb>
    <v>9</v>
  </rv>
  <rv s="6">
    <v>#VALUE!</v>
    <v>en-US</v>
    <v>9afab29e-e28f-7d0c-1a61-e977a0587123</v>
    <v>536870912</v>
    <v>1</v>
    <v>520</v>
    <v>12</v>
    <v>Remetea Mare</v>
    <v>5</v>
    <v>6</v>
    <v>Map</v>
    <v>7</v>
    <v>8</v>
    <v>269</v>
    <v>2053</v>
    <v>26</v>
    <v>Remetea Mare is a commune in Timiș County, Romania. It is composed of two villages, Ianova and Remetea Mare. Remetea Mare is located in the center of Timiș County, 12 km east of Timișoara. It is crossed by DN6 and the Bega Canal. It borders ...</v>
    <v>2054</v>
    <v>2055</v>
    <v>2057</v>
    <v>2058</v>
    <v>2059</v>
    <v>Remetea Mare</v>
    <v>2060</v>
    <v>7</v>
    <v>Remetea Mare</v>
    <v>mdp/vdpid/7025499817941925889</v>
  </rv>
  <rv s="0">
    <v>536870912</v>
    <v>Odoreu</v>
    <v>85fe623e-8f22-506b-3a71-ff98f8b20efb</v>
    <v>en-US</v>
    <v>Map</v>
  </rv>
  <rv s="1">
    <fb>47.17</fb>
    <v>9</v>
  </rv>
  <rv s="2">
    <v>218</v>
    <v>7</v>
    <v>521</v>
    <v>7</v>
    <v>0</v>
    <v>Image of Odoreu</v>
  </rv>
  <rv s="1">
    <fb>47.802388999999998</fb>
    <v>14</v>
  </rv>
  <rv s="0">
    <v>805306368</v>
    <v>Dumitru Dorel Pop (Mayor)</v>
    <v>fe0d20c5-999d-f2ad-5d73-49857ccf1d96</v>
    <v>en-US</v>
    <v>Generic</v>
  </rv>
  <rv s="4">
    <v>169</v>
  </rv>
  <rv s="3">
    <v>https://www.bing.com/search?q=odoreu+romania&amp;form=skydnc</v>
    <v>Learn more on Bing</v>
  </rv>
  <rv s="1">
    <fb>23.002452999999999</fb>
    <v>14</v>
  </rv>
  <rv s="1">
    <fb>5569</fb>
    <v>9</v>
  </rv>
  <rv s="6">
    <v>#VALUE!</v>
    <v>en-US</v>
    <v>85fe623e-8f22-506b-3a71-ff98f8b20efb</v>
    <v>536870912</v>
    <v>1</v>
    <v>522</v>
    <v>12</v>
    <v>Odoreu</v>
    <v>5</v>
    <v>6</v>
    <v>Map</v>
    <v>7</v>
    <v>8</v>
    <v>512</v>
    <v>2063</v>
    <v>26</v>
    <v>Odoreu is a commune situated in Satu Mare County, Romania. It is composed of six villages: Berindan, Cucu, Eteni, Mărtinești, Odoreu, and Vânătorești. The commune is located in the north-central part of the county, just east of the county seat, ...</v>
    <v>2064</v>
    <v>2065</v>
    <v>2067</v>
    <v>2068</v>
    <v>2069</v>
    <v>Odoreu</v>
    <v>2070</v>
    <v>7</v>
    <v>Odoreu</v>
    <v>mdp/vdpid/7049268729531596801</v>
  </rv>
  <rv s="0">
    <v>536870912</v>
    <v>Gușterița</v>
    <v>aa8e3bce-145e-947c-fc12-2ada55e56173</v>
    <v>en-US</v>
    <v>Map</v>
  </rv>
  <rv s="2">
    <v>219</v>
    <v>7</v>
    <v>523</v>
    <v>7</v>
    <v>0</v>
    <v>Image of Gușterița</v>
  </rv>
  <rv s="1">
    <fb>45.811111109999999</fb>
    <v>14</v>
  </rv>
  <rv s="3">
    <v>https://www.bing.com/search?q=gu%c8%99teri%c8%9ba&amp;form=skydnc</v>
    <v>Learn more on Bing</v>
  </rv>
  <rv s="1">
    <fb>24.17777778</fb>
    <v>14</v>
  </rv>
  <rv s="21">
    <v>#VALUE!</v>
    <v>en-US</v>
    <v>aa8e3bce-145e-947c-fc12-2ada55e56173</v>
    <v>536870912</v>
    <v>1</v>
    <v>524</v>
    <v>525</v>
    <v>Gușterița</v>
    <v>5</v>
    <v>6</v>
    <v>Map</v>
    <v>7</v>
    <v>0</v>
    <v>2</v>
    <v>3</v>
    <v>Gușterița is a district or neighbourhood of Sibiu, Sibiu County, southern Transylvania, Romania. The region was first mentioned in 1309 as a Saxon settlement which was incorporated into the city in 1940.</v>
    <v>2073</v>
    <v>2074</v>
    <v>2075</v>
    <v>2076</v>
    <v>Gușterița</v>
    <v>Gușterița</v>
    <v>mdp/vdpid/7049706640940990465</v>
  </rv>
  <rv s="0">
    <v>536870912</v>
    <v>Satchinez</v>
    <v>e99c1315-2d1e-4e1b-d87f-6625e98c6b57</v>
    <v>en-US</v>
    <v>Map</v>
  </rv>
  <rv s="1">
    <fb>99.88</fb>
    <v>9</v>
  </rv>
  <rv s="2">
    <v>220</v>
    <v>7</v>
    <v>526</v>
    <v>7</v>
    <v>0</v>
    <v>Image of Satchinez</v>
  </rv>
  <rv s="1">
    <fb>45.930354000000001</fb>
    <v>14</v>
  </rv>
  <rv s="0">
    <v>805306368</v>
    <v>Florin Olimpiu Cheaua (Mayor)</v>
    <v>d5904921-a6ba-e53f-eb14-4a9d71392833</v>
    <v>en-US</v>
    <v>Generic</v>
  </rv>
  <rv s="4">
    <v>170</v>
  </rv>
  <rv s="3">
    <v>https://www.bing.com/search?q=satchinez+romania&amp;form=skydnc</v>
    <v>Learn more on Bing</v>
  </rv>
  <rv s="1">
    <fb>21.039442999999999</fb>
    <v>14</v>
  </rv>
  <rv s="1">
    <fb>4439</fb>
    <v>9</v>
  </rv>
  <rv s="6">
    <v>#VALUE!</v>
    <v>en-US</v>
    <v>e99c1315-2d1e-4e1b-d87f-6625e98c6b57</v>
    <v>536870912</v>
    <v>1</v>
    <v>527</v>
    <v>12</v>
    <v>Satchinez</v>
    <v>5</v>
    <v>6</v>
    <v>Map</v>
    <v>7</v>
    <v>8</v>
    <v>269</v>
    <v>2079</v>
    <v>26</v>
    <v>Satchinez is a commune in Timiș County, Romania. It is composed of three villages: Bărăteaz, Hodoni and Satchinez. The first recorded mention of Satchinez dates from 1230, when it was mentioned as Kenaz. On the papal tithe lists of 1333 it ...</v>
    <v>2080</v>
    <v>2081</v>
    <v>2083</v>
    <v>2084</v>
    <v>2085</v>
    <v>Satchinez</v>
    <v>2086</v>
    <v>7</v>
    <v>Satchinez</v>
    <v>mdp/vdpid/7025399491716972545</v>
  </rv>
  <rv s="0">
    <v>536870912</v>
    <v>Baia de Aramă</v>
    <v>a8ed82a4-fa8c-bd4b-5a65-fc4a486e7976</v>
    <v>en-US</v>
    <v>Map</v>
  </rv>
  <rv s="1">
    <fb>91.11</fb>
    <v>9</v>
  </rv>
  <rv s="2">
    <v>221</v>
    <v>7</v>
    <v>528</v>
    <v>7</v>
    <v>0</v>
    <v>Image of Baia de Aramă</v>
  </rv>
  <rv s="1">
    <fb>45</fb>
    <v>14</v>
  </rv>
  <rv s="0">
    <v>805306368</v>
    <v>Ilie-Ion Tudorescu (Mayor)</v>
    <v>8eecb99a-7de7-8e0e-ef99-d965294afd12</v>
    <v>en-US</v>
    <v>Generic</v>
  </rv>
  <rv s="4">
    <v>171</v>
  </rv>
  <rv s="3">
    <v>https://www.bing.com/search?q=baia+de+aram%c4%83+romania&amp;form=skydnc</v>
    <v>Learn more on Bing</v>
  </rv>
  <rv s="1">
    <fb>22.811388888888999</fb>
    <v>14</v>
  </rv>
  <rv s="1">
    <fb>4478</fb>
    <v>9</v>
  </rv>
  <rv s="6">
    <v>#VALUE!</v>
    <v>en-US</v>
    <v>a8ed82a4-fa8c-bd4b-5a65-fc4a486e7976</v>
    <v>536870912</v>
    <v>1</v>
    <v>529</v>
    <v>12</v>
    <v>Baia de Aramă</v>
    <v>5</v>
    <v>6</v>
    <v>Map</v>
    <v>7</v>
    <v>8</v>
    <v>98</v>
    <v>2089</v>
    <v>26</v>
    <v>Baia de Aramă is a small Romanian town located in Mehedinți County, in the historical region of Oltenia, with a population of 4,478 as of 2021. Eight villages are administered by the town: Bratilovu, Brebina, Dealu Mare, Mărășești, Negoești, ...</v>
    <v>2090</v>
    <v>2091</v>
    <v>2093</v>
    <v>2094</v>
    <v>2095</v>
    <v>Baia de Aramă</v>
    <v>2096</v>
    <v>7</v>
    <v>Baia de Aramă</v>
    <v>mdp/vdpid/7241791118252179457</v>
  </rv>
  <rv s="0">
    <v>536870912</v>
    <v>Bălăușeri</v>
    <v>ab207329-b594-02f7-e898-93bb07c314f6</v>
    <v>en-US</v>
    <v>Map</v>
  </rv>
  <rv s="1">
    <fb>39.369999999999997</fb>
    <v>9</v>
  </rv>
  <rv s="2">
    <v>222</v>
    <v>7</v>
    <v>530</v>
    <v>7</v>
    <v>0</v>
    <v>Image of Bălăușeri</v>
  </rv>
  <rv s="1">
    <fb>46.363373000000003</fb>
    <v>14</v>
  </rv>
  <rv s="0">
    <v>805306368</v>
    <v>András-Adorján Varga (Mayor)</v>
    <v>8c560338-5eed-0483-ffc0-6089b443f16f</v>
    <v>en-US</v>
    <v>Generic</v>
  </rv>
  <rv s="4">
    <v>172</v>
  </rv>
  <rv s="3">
    <v>https://www.bing.com/search?q=b%c4%83l%c4%83u%c8%99eri+romania&amp;form=skydnc</v>
    <v>Learn more on Bing</v>
  </rv>
  <rv s="1">
    <fb>24.670010000000001</fb>
    <v>14</v>
  </rv>
  <rv s="1">
    <fb>4852</fb>
    <v>9</v>
  </rv>
  <rv s="6">
    <v>#VALUE!</v>
    <v>en-US</v>
    <v>ab207329-b594-02f7-e898-93bb07c314f6</v>
    <v>536870912</v>
    <v>1</v>
    <v>531</v>
    <v>12</v>
    <v>Bălăușeri</v>
    <v>5</v>
    <v>6</v>
    <v>Map</v>
    <v>7</v>
    <v>8</v>
    <v>434</v>
    <v>2099</v>
    <v>26</v>
    <v>Bălăușeri is a commune in Mureș County, Transylvania, Romania. It is composed of six villages: Agrișteu, Bălăușeri, Chendu, Dumitreni, Filitelnic, and Senereuș. The villages were in the northern reaches of Küküllő County in Transylvania, just ...</v>
    <v>2100</v>
    <v>2101</v>
    <v>2103</v>
    <v>2104</v>
    <v>2105</v>
    <v>Bălăușeri</v>
    <v>2106</v>
    <v>7</v>
    <v>Bălăușeri</v>
    <v>mdp/vdpid/7049529234380816385</v>
  </rv>
  <rv s="0">
    <v>536870912</v>
    <v>Bâcleș</v>
    <v>e7f25800-040a-af1a-e275-38e7d174e0c4</v>
    <v>en-US</v>
    <v>Map</v>
  </rv>
  <rv s="1">
    <fb>96.46</fb>
    <v>9</v>
  </rv>
  <rv s="2">
    <v>223</v>
    <v>7</v>
    <v>532</v>
    <v>7</v>
    <v>0</v>
    <v>Image of Bâcleș</v>
  </rv>
  <rv s="1">
    <fb>44.4546274</fb>
    <v>14</v>
  </rv>
  <rv s="3">
    <v>https://www.bing.com/search?q=b%c3%a2cle%c8%99&amp;form=skydnc</v>
    <v>Learn more on Bing</v>
  </rv>
  <rv s="1">
    <fb>23.131805199999999</fb>
    <v>14</v>
  </rv>
  <rv s="1">
    <fb>1586</fb>
    <v>9</v>
  </rv>
  <rv s="9">
    <v>#VALUE!</v>
    <v>en-US</v>
    <v>e7f25800-040a-af1a-e275-38e7d174e0c4</v>
    <v>536870912</v>
    <v>1</v>
    <v>533</v>
    <v>70</v>
    <v>Bâcleș</v>
    <v>5</v>
    <v>6</v>
    <v>Map</v>
    <v>7</v>
    <v>8</v>
    <v>98</v>
    <v>2109</v>
    <v>26</v>
    <v>Bâcleș is a commune located in Mehedinți County, Romania. It is composed of seven villages: Bâcleș, Corzu, Giura, Petra, Podu Grosului, Seliștiuța and Smadovița. It is situated in the historical region of Oltenia.</v>
    <v>2110</v>
    <v>2111</v>
    <v>2112</v>
    <v>2113</v>
    <v>Bâcleș</v>
    <v>2114</v>
    <v>7</v>
    <v>Bâcleș</v>
    <v>mdp/vdpid/7241818802889949185</v>
  </rv>
  <rv s="0">
    <v>536870912</v>
    <v>Ișalnița</v>
    <v>935c4c88-cb36-47ea-19b4-dbdfd64a6c31</v>
    <v>en-US</v>
    <v>Map</v>
  </rv>
  <rv s="1">
    <fb>19.87</fb>
    <v>9</v>
  </rv>
  <rv s="2">
    <v>224</v>
    <v>7</v>
    <v>534</v>
    <v>7</v>
    <v>0</v>
    <v>Image of Ișalnița</v>
  </rv>
  <rv s="1">
    <fb>44.384712</fb>
    <v>14</v>
  </rv>
  <rv s="3">
    <v>https://www.bing.com/search?q=i%c8%99alni%c8%9ba&amp;form=skydnc</v>
    <v>Learn more on Bing</v>
  </rv>
  <rv s="1">
    <fb>23.723718000000002</fb>
    <v>14</v>
  </rv>
  <rv s="1">
    <fb>4042</fb>
    <v>9</v>
  </rv>
  <rv s="9">
    <v>#VALUE!</v>
    <v>en-US</v>
    <v>935c4c88-cb36-47ea-19b4-dbdfd64a6c31</v>
    <v>536870912</v>
    <v>1</v>
    <v>535</v>
    <v>70</v>
    <v>Ișalnița</v>
    <v>5</v>
    <v>6</v>
    <v>Map</v>
    <v>7</v>
    <v>8</v>
    <v>330</v>
    <v>2117</v>
    <v>26</v>
    <v>Ișalnița is a commune in Dolj County, Oltenia, Romania with a population of 4,042 people. It is composed of a single village, Ișalnița.</v>
    <v>2118</v>
    <v>2119</v>
    <v>2120</v>
    <v>2121</v>
    <v>Ișalnița</v>
    <v>2122</v>
    <v>7</v>
    <v>Ișalnița</v>
    <v>mdp/vdpid/7241855254680043521</v>
  </rv>
  <rv s="0">
    <v>536870912</v>
    <v>Negrești-Oaș</v>
    <v>1befedde-3adb-5f4f-0856-0a0ce0b7bb14</v>
    <v>en-US</v>
    <v>Map</v>
  </rv>
  <rv s="1">
    <fb>130</fb>
    <v>9</v>
  </rv>
  <rv s="2">
    <v>225</v>
    <v>7</v>
    <v>536</v>
    <v>7</v>
    <v>0</v>
    <v>Image of Negrești-Oaș</v>
  </rv>
  <rv s="1">
    <fb>47.869444444443999</fb>
    <v>14</v>
  </rv>
  <rv s="0">
    <v>805306368</v>
    <v>Aurelia Fedorca (Mayor)</v>
    <v>beecb9df-f910-2209-556a-795ea13f0240</v>
    <v>en-US</v>
    <v>Generic</v>
  </rv>
  <rv s="4">
    <v>173</v>
  </rv>
  <rv s="3">
    <v>https://www.bing.com/search?q=negre%c8%99ti-oa%c8%99+romania&amp;form=skydnc</v>
    <v>Learn more on Bing</v>
  </rv>
  <rv s="1">
    <fb>23.424166666666999</fb>
    <v>14</v>
  </rv>
  <rv s="1">
    <fb>14616</fb>
    <v>9</v>
  </rv>
  <rv s="6">
    <v>#VALUE!</v>
    <v>en-US</v>
    <v>1befedde-3adb-5f4f-0856-0a0ce0b7bb14</v>
    <v>536870912</v>
    <v>1</v>
    <v>537</v>
    <v>12</v>
    <v>Negrești-Oaș</v>
    <v>5</v>
    <v>6</v>
    <v>Map</v>
    <v>7</v>
    <v>8</v>
    <v>512</v>
    <v>2125</v>
    <v>26</v>
    <v>Negrești-Oaș is a town in northwestern Romania, in the county of Satu Mare. Two villages, Luna and Tur, are administered by the town. The town is the capital of the Țara Oașului ethnocultural region. Negrești-Oaș is situated at an altitude of ...</v>
    <v>2126</v>
    <v>2127</v>
    <v>2129</v>
    <v>2130</v>
    <v>2131</v>
    <v>Negrești-Oaș</v>
    <v>2132</v>
    <v>7</v>
    <v>Negrești-Oaș</v>
    <v>mdp/vdpid/7048545788372189185</v>
  </rv>
  <rv s="0">
    <v>536870912</v>
    <v>Rupea</v>
    <v>24b4eb4b-ea51-e5f9-e82f-6f6bc4a44ca8</v>
    <v>en-US</v>
    <v>Map</v>
  </rv>
  <rv s="1">
    <fb>74.87</fb>
    <v>9</v>
  </rv>
  <rv s="2">
    <v>226</v>
    <v>7</v>
    <v>538</v>
    <v>7</v>
    <v>0</v>
    <v>Image of Rupea</v>
  </rv>
  <rv s="1">
    <fb>46.038888888888998</fb>
    <v>14</v>
  </rv>
  <rv s="0">
    <v>805306368</v>
    <v>Alexandru Opriș (Mayor)</v>
    <v>aecd698a-0633-a279-a6ae-f8473622a20b</v>
    <v>en-US</v>
    <v>Generic</v>
  </rv>
  <rv s="4">
    <v>174</v>
  </rv>
  <rv s="3">
    <v>https://www.bing.com/search?q=rupea&amp;form=skydnc</v>
    <v>Learn more on Bing</v>
  </rv>
  <rv s="1">
    <fb>25.2225</fb>
    <v>14</v>
  </rv>
  <rv s="1">
    <fb>4907</fb>
    <v>9</v>
  </rv>
  <rv s="6">
    <v>#VALUE!</v>
    <v>en-US</v>
    <v>24b4eb4b-ea51-e5f9-e82f-6f6bc4a44ca8</v>
    <v>536870912</v>
    <v>1</v>
    <v>539</v>
    <v>12</v>
    <v>Rupea</v>
    <v>5</v>
    <v>6</v>
    <v>Map</v>
    <v>7</v>
    <v>8</v>
    <v>158</v>
    <v>2135</v>
    <v>26</v>
    <v>Rupea is a town in Brașov County in Transylvania, Romania. It administers one village, Fișer. Both Fișer and Rupea have fortified churches. Older Romanian names for the settlement include Cohalm and Holuma. In 2021, the town's population was ...</v>
    <v>2136</v>
    <v>2137</v>
    <v>2139</v>
    <v>2140</v>
    <v>2141</v>
    <v>Rupea</v>
    <v>2142</v>
    <v>7</v>
    <v>Rupea</v>
    <v>mdp/vdpid/7049745570826551297</v>
  </rv>
  <rv s="0">
    <v>536870912</v>
    <v>Creaca</v>
    <v>e7536913-cac4-2f49-5b3a-2488fbb54074</v>
    <v>en-US</v>
    <v>Map</v>
  </rv>
  <rv s="1">
    <fb>74.16</fb>
    <v>9</v>
  </rv>
  <rv s="2">
    <v>227</v>
    <v>7</v>
    <v>540</v>
    <v>7</v>
    <v>0</v>
    <v>Image of Creaca</v>
  </rv>
  <rv s="1">
    <fb>47.185958999999997</fb>
    <v>14</v>
  </rv>
  <rv s="0">
    <v>805306368</v>
    <v>Ioan-Eugen Terec (Mayor)</v>
    <v>b888d870-ab82-4129-e2be-3c90a0523164</v>
    <v>en-US</v>
    <v>Generic</v>
  </rv>
  <rv s="4">
    <v>175</v>
  </rv>
  <rv s="3">
    <v>https://www.bing.com/search?q=creaca+%22nord+vest%22&amp;form=skydnc</v>
    <v>Learn more on Bing</v>
  </rv>
  <rv s="1">
    <fb>23.224015000000001</fb>
    <v>14</v>
  </rv>
  <rv s="1">
    <fb>2890</fb>
    <v>9</v>
  </rv>
  <rv s="8">
    <v>#VALUE!</v>
    <v>en-US</v>
    <v>e7536913-cac4-2f49-5b3a-2488fbb54074</v>
    <v>536870912</v>
    <v>1</v>
    <v>541</v>
    <v>31</v>
    <v>Creaca</v>
    <v>5</v>
    <v>6</v>
    <v>Map</v>
    <v>7</v>
    <v>8</v>
    <v>538</v>
    <v>538</v>
    <v>2145</v>
    <v>26</v>
    <v>Creaca is a commune located in Sălaj County, Crișana, Romania. The commune is composed of nine villages: Borza, Brebi, Brusturi, Ciglean, Creaca, Jac, Lupoaia, Prodănești and Viile Jacului. The largest village in terms of population and area is ...</v>
    <v>2146</v>
    <v>2147</v>
    <v>2149</v>
    <v>2150</v>
    <v>2151</v>
    <v>Creaca</v>
    <v>2152</v>
    <v>7</v>
    <v>Creaca</v>
    <v>mdp/vdpid/7049317651272695809</v>
  </rv>
  <rv s="0">
    <v>536870912</v>
    <v>Arefu</v>
    <v>7c9163b0-4c8a-e201-7448-3659496b3c4d</v>
    <v>en-US</v>
    <v>Map</v>
  </rv>
  <rv s="1">
    <fb>420.25</fb>
    <v>9</v>
  </rv>
  <rv s="2">
    <v>228</v>
    <v>7</v>
    <v>542</v>
    <v>7</v>
    <v>0</v>
    <v>Image of Arefu</v>
  </rv>
  <rv s="1">
    <fb>45.474434600000002</fb>
    <v>14</v>
  </rv>
  <rv s="0">
    <v>805306368</v>
    <v>Gheorghe Stoican (Mayor)</v>
    <v>2bc7b852-7759-db56-4c84-d6bc13a716bc</v>
    <v>en-US</v>
    <v>Generic</v>
  </rv>
  <rv s="4">
    <v>176</v>
  </rv>
  <rv s="3">
    <v>https://www.bing.com/search?q=arefu+romania&amp;form=skydnc</v>
    <v>Learn more on Bing</v>
  </rv>
  <rv s="1">
    <fb>24.625824099999999</fb>
    <v>14</v>
  </rv>
  <rv s="1">
    <fb>2040</fb>
    <v>9</v>
  </rv>
  <rv s="6">
    <v>#VALUE!</v>
    <v>en-US</v>
    <v>7c9163b0-4c8a-e201-7448-3659496b3c4d</v>
    <v>536870912</v>
    <v>1</v>
    <v>543</v>
    <v>12</v>
    <v>Arefu</v>
    <v>5</v>
    <v>6</v>
    <v>Map</v>
    <v>7</v>
    <v>8</v>
    <v>18</v>
    <v>2155</v>
    <v>26</v>
    <v>Arefu is a commune in Argeș County, Muntenia, Romania. It is composed of three villages: Arefu, Căpățânenii Pământeni, and Căpățânenii Ungureni.</v>
    <v>2156</v>
    <v>2157</v>
    <v>2159</v>
    <v>2160</v>
    <v>2161</v>
    <v>Arefu</v>
    <v>2162</v>
    <v>7</v>
    <v>Arefu</v>
    <v>mdp/vdpid/7049805281793933313</v>
  </rv>
  <rv s="0">
    <v>536870912</v>
    <v>Fundata</v>
    <v>2c528e48-9747-fb3b-863e-bd1968af8cd9</v>
    <v>en-US</v>
    <v>Map</v>
  </rv>
  <rv s="1">
    <fb>36.81</fb>
    <v>9</v>
  </rv>
  <rv s="2">
    <v>229</v>
    <v>7</v>
    <v>544</v>
    <v>7</v>
    <v>0</v>
    <v>Image of Fundata</v>
  </rv>
  <rv s="1">
    <fb>45.436667</fb>
    <v>14</v>
  </rv>
  <rv s="0">
    <v>805306368</v>
    <v>Marian-Florin Pâtea (Mayor)</v>
    <v>84837a05-67ea-37f9-9052-be6b5bda0d9a</v>
    <v>en-US</v>
    <v>Generic</v>
  </rv>
  <rv s="4">
    <v>177</v>
  </rv>
  <rv s="3">
    <v>https://www.bing.com/search?q=fundata&amp;form=skydnc</v>
    <v>Learn more on Bing</v>
  </rv>
  <rv s="1">
    <fb>25.274999999999999</fb>
    <v>14</v>
  </rv>
  <rv s="1">
    <fb>683</fb>
    <v>9</v>
  </rv>
  <rv s="6">
    <v>#VALUE!</v>
    <v>en-US</v>
    <v>2c528e48-9747-fb3b-863e-bd1968af8cd9</v>
    <v>536870912</v>
    <v>1</v>
    <v>545</v>
    <v>12</v>
    <v>Fundata</v>
    <v>5</v>
    <v>6</v>
    <v>Map</v>
    <v>7</v>
    <v>8</v>
    <v>158</v>
    <v>2165</v>
    <v>26</v>
    <v>Fundata is a commune in Brașov County, Romania, in the historic region of Transylvania. It is composed of three villages: Fundata, Fundățica, and Șirnea. The place offers panoramas for the Piatra Craiului Mountains and Bucegi Mountains. During ...</v>
    <v>2166</v>
    <v>2167</v>
    <v>2169</v>
    <v>2170</v>
    <v>2171</v>
    <v>Fundata</v>
    <v>2172</v>
    <v>7</v>
    <v>Fundata</v>
    <v>mdp/vdpid/7049803537382899713</v>
  </rv>
  <rv s="0">
    <v>536870912</v>
    <v>Buziaș</v>
    <v>40aa54ab-8e1d-db82-72c4-169fa44041a6</v>
    <v>en-US</v>
    <v>Map</v>
  </rv>
  <rv s="1">
    <fb>105.2</fb>
    <v>9</v>
  </rv>
  <rv s="2">
    <v>230</v>
    <v>7</v>
    <v>546</v>
    <v>7</v>
    <v>0</v>
    <v>Image of Buziaș</v>
  </rv>
  <rv s="1">
    <fb>45.65</fb>
    <v>14</v>
  </rv>
  <rv s="0">
    <v>805306368</v>
    <v>Sorin Munteanu (Mayor)</v>
    <v>c05073ab-fc79-3b32-aefc-eda9a008ee93</v>
    <v>en-US</v>
    <v>Generic</v>
  </rv>
  <rv s="4">
    <v>178</v>
  </rv>
  <rv s="3">
    <v>https://www.bing.com/search?q=buzia%c8%99+romania&amp;form=skydnc</v>
    <v>Learn more on Bing</v>
  </rv>
  <rv s="1">
    <fb>21.6</fb>
    <v>14</v>
  </rv>
  <rv s="1">
    <fb>6834</fb>
    <v>9</v>
  </rv>
  <rv s="6">
    <v>#VALUE!</v>
    <v>en-US</v>
    <v>40aa54ab-8e1d-db82-72c4-169fa44041a6</v>
    <v>536870912</v>
    <v>1</v>
    <v>547</v>
    <v>12</v>
    <v>Buziaș</v>
    <v>5</v>
    <v>6</v>
    <v>Map</v>
    <v>7</v>
    <v>8</v>
    <v>269</v>
    <v>2175</v>
    <v>26</v>
    <v>Buziaș is a town in Timiș County, Romania. Thanks to its healing springs, it was once one of the most famous bathing places in Hungary and then in Romania; it has appeared in several international catalogs and has often been referred to as the ...</v>
    <v>2176</v>
    <v>2177</v>
    <v>2179</v>
    <v>2180</v>
    <v>2181</v>
    <v>Buziaș</v>
    <v>2182</v>
    <v>7</v>
    <v>Buziaș</v>
    <v>mdp/vdpid/7025556583350272001</v>
  </rv>
  <rv s="0">
    <v>536870912</v>
    <v>Căteasca</v>
    <v>4460f528-c635-7ca7-8969-88e9b90f7681</v>
    <v>en-US</v>
    <v>Map</v>
  </rv>
  <rv s="1">
    <fb>81</fb>
    <v>9</v>
  </rv>
  <rv s="2">
    <v>231</v>
    <v>7</v>
    <v>548</v>
    <v>7</v>
    <v>0</v>
    <v>Image of Căteasca</v>
  </rv>
  <rv s="1">
    <fb>44.749191000000003</fb>
    <v>14</v>
  </rv>
  <rv s="3">
    <v>https://www.bing.com/search?q=c%c4%83teasca&amp;form=skydnc</v>
    <v>Learn more on Bing</v>
  </rv>
  <rv s="1">
    <fb>25.05434</fb>
    <v>14</v>
  </rv>
  <rv s="1">
    <fb>3716</fb>
    <v>9</v>
  </rv>
  <rv s="9">
    <v>#VALUE!</v>
    <v>en-US</v>
    <v>4460f528-c635-7ca7-8969-88e9b90f7681</v>
    <v>536870912</v>
    <v>1</v>
    <v>549</v>
    <v>70</v>
    <v>Căteasca</v>
    <v>5</v>
    <v>6</v>
    <v>Map</v>
    <v>7</v>
    <v>8</v>
    <v>18</v>
    <v>2185</v>
    <v>26</v>
    <v>Căteasca is a commune in Argeș County, Muntenia, Romania. It is composed of seven villages: Catanele, Căteasca, Cireșu, Coșeri, Gruiu, Recea and Siliștea.</v>
    <v>2186</v>
    <v>2187</v>
    <v>2188</v>
    <v>2189</v>
    <v>Căteasca</v>
    <v>2190</v>
    <v>7</v>
    <v>Căteasca</v>
    <v>mdp/vdpid/7241978334047895553</v>
  </rv>
  <rv s="0">
    <v>536870912</v>
    <v>Ernei</v>
    <v>c7a6ed86-5e34-0d09-7d3b-a333f478529c</v>
    <v>en-US</v>
    <v>Map</v>
  </rv>
  <rv s="1">
    <fb>66.95</fb>
    <v>9</v>
  </rv>
  <rv s="2">
    <v>232</v>
    <v>7</v>
    <v>550</v>
    <v>7</v>
    <v>0</v>
    <v>Image of Ernei</v>
  </rv>
  <rv s="1">
    <fb>46.602314999999997</fb>
    <v>14</v>
  </rv>
  <rv s="0">
    <v>805306368</v>
    <v>Ferenc Jánosi (Mayor)</v>
    <v>52414c03-24f2-1e1e-a69d-c1482d208c3e</v>
    <v>en-US</v>
    <v>Generic</v>
  </rv>
  <rv s="4">
    <v>179</v>
  </rv>
  <rv s="3">
    <v>https://www.bing.com/search?q=ernei+romania&amp;form=skydnc</v>
    <v>Learn more on Bing</v>
  </rv>
  <rv s="1">
    <fb>24.698015999999999</fb>
    <v>14</v>
  </rv>
  <rv s="1">
    <fb>5843</fb>
    <v>9</v>
  </rv>
  <rv s="6">
    <v>#VALUE!</v>
    <v>en-US</v>
    <v>c7a6ed86-5e34-0d09-7d3b-a333f478529c</v>
    <v>536870912</v>
    <v>1</v>
    <v>551</v>
    <v>12</v>
    <v>Ernei</v>
    <v>5</v>
    <v>6</v>
    <v>Map</v>
    <v>7</v>
    <v>8</v>
    <v>434</v>
    <v>2193</v>
    <v>26</v>
    <v>Ernei is a commune in Mureș County, Transylvania, Romania, composed of six villages: Călușeri, Dumbrăvioara, Ernei, Icland, Săcăreni, and Sângeru de Pădure. The commune is situated on the Transylvanian Plateau, on the left bank of the Mureș ...</v>
    <v>2194</v>
    <v>2195</v>
    <v>2197</v>
    <v>2198</v>
    <v>2199</v>
    <v>Ernei</v>
    <v>2200</v>
    <v>7</v>
    <v>Ernei</v>
    <v>mdp/vdpid/7049524631299948545</v>
  </rv>
  <rv s="0">
    <v>536870912</v>
    <v>Sâncraiu de Mureș</v>
    <v>add3bac8-70b5-2af0-1826-d6de041b2bcb</v>
    <v>en-US</v>
    <v>Map</v>
  </rv>
  <rv s="1">
    <fb>20.59</fb>
    <v>9</v>
  </rv>
  <rv s="2">
    <v>233</v>
    <v>7</v>
    <v>552</v>
    <v>7</v>
    <v>0</v>
    <v>Image of Sâncraiu de Mureș</v>
  </rv>
  <rv s="1">
    <fb>46.550632999999998</fb>
    <v>14</v>
  </rv>
  <rv s="0">
    <v>805306368</v>
    <v>Petru Ionuț Budian (Mayor)</v>
    <v>8d20059a-8229-75b8-0727-855e1255cb1b</v>
    <v>en-US</v>
    <v>Generic</v>
  </rv>
  <rv s="4">
    <v>180</v>
  </rv>
  <rv s="3">
    <v>https://www.bing.com/search?q=s%c3%a2ncraiu+de+mure%c8%99+romania&amp;form=skydnc</v>
    <v>Learn more on Bing</v>
  </rv>
  <rv s="1">
    <fb>24.498557000000002</fb>
    <v>14</v>
  </rv>
  <rv s="1">
    <fb>10403</fb>
    <v>9</v>
  </rv>
  <rv s="6">
    <v>#VALUE!</v>
    <v>en-US</v>
    <v>add3bac8-70b5-2af0-1826-d6de041b2bcb</v>
    <v>536870912</v>
    <v>1</v>
    <v>553</v>
    <v>12</v>
    <v>Sâncraiu de Mureș</v>
    <v>5</v>
    <v>6</v>
    <v>Map</v>
    <v>7</v>
    <v>8</v>
    <v>434</v>
    <v>2203</v>
    <v>26</v>
    <v>Sâncraiu de Mureș is a commune in Mureș County, Transylvania, Romania composed of two villages: Nazna and Sâncraiu de Mureș. Around 1930, Cornățel village was merged into Sâncraiu de Mureș. The commune is situated on the Transylvanian Plateau, ...</v>
    <v>2204</v>
    <v>2205</v>
    <v>2207</v>
    <v>2208</v>
    <v>2209</v>
    <v>Sâncraiu de Mureș</v>
    <v>2210</v>
    <v>7</v>
    <v>Sâncraiu de Mureș</v>
    <v>mdp/vdpid/7049503578125238273</v>
  </rv>
  <rv s="0">
    <v>536870912</v>
    <v>Cârța, Sibiu</v>
    <v>21716ee0-26ac-f499-1716-ff8a0d09ed20</v>
    <v>en-US</v>
    <v>Map</v>
  </rv>
  <rv s="1">
    <fb>28.9</fb>
    <v>9</v>
  </rv>
  <rv s="2">
    <v>234</v>
    <v>7</v>
    <v>554</v>
    <v>7</v>
    <v>0</v>
    <v>Image of Cârța, Sibiu</v>
  </rv>
  <rv s="1">
    <fb>45.777154000000003</fb>
    <v>14</v>
  </rv>
  <rv s="0">
    <v>805306368</v>
    <v>Daniel Cândulețiu (Mayor)</v>
    <v>8a3cea86-3094-b004-b922-80b2a72b191e</v>
    <v>en-US</v>
    <v>Generic</v>
  </rv>
  <rv s="4">
    <v>181</v>
  </rv>
  <rv s="1">
    <fb>24.574946000000001</fb>
    <v>14</v>
  </rv>
  <rv s="1">
    <fb>1042</fb>
    <v>9</v>
  </rv>
  <rv s="19">
    <v>#VALUE!</v>
    <v>en-US</v>
    <v>21716ee0-26ac-f499-1716-ff8a0d09ed20</v>
    <v>536870912</v>
    <v>1</v>
    <v>555</v>
    <v>358</v>
    <v>Cârța, Sibiu</v>
    <v>194</v>
    <v>6</v>
    <v>Map</v>
    <v>7</v>
    <v>8</v>
    <v>0</v>
    <v>2213</v>
    <v>26</v>
    <v>Cârța is a commune in Sibiu County, Transylvania, Romania. It is composed of two villages, Cârța and Poienița.</v>
    <v>2214</v>
    <v>2215</v>
    <v>2217</v>
    <v>2218</v>
    <v>Cârța, Sibiu</v>
    <v>2219</v>
    <v>7</v>
    <v>Cârța, Sibiu</v>
    <v>mdp/vdpid/7049716228885053441</v>
  </rv>
  <rv s="0">
    <v>536870912</v>
    <v>Sighișoara</v>
    <v>98167b73-d71e-91d3-1bf3-061b03303e78</v>
    <v>en-US</v>
    <v>Map</v>
  </rv>
  <rv s="2">
    <v>235</v>
    <v>7</v>
    <v>556</v>
    <v>7</v>
    <v>0</v>
    <v>Image of Sighișoara</v>
  </rv>
  <rv s="1">
    <fb>46.216944444444003</fb>
    <v>14</v>
  </rv>
  <rv s="0">
    <v>805306368</v>
    <v>Ioan-Iulian Sîrbu (Mayor)</v>
    <v>125812f5-e09e-a4c9-5a0c-a2ea857fedbb</v>
    <v>en-US</v>
    <v>Generic</v>
  </rv>
  <rv s="4">
    <v>182</v>
  </rv>
  <rv s="3">
    <v>https://www.bing.com/search?q=sighi%c8%99oara&amp;form=skydnc</v>
    <v>Learn more on Bing</v>
  </rv>
  <rv s="1">
    <fb>24.791111111111</fb>
    <v>14</v>
  </rv>
  <rv s="1">
    <fb>23927</fb>
    <v>9</v>
  </rv>
  <rv s="11">
    <v>#VALUE!</v>
    <v>en-US</v>
    <v>98167b73-d71e-91d3-1bf3-061b03303e78</v>
    <v>536870912</v>
    <v>1</v>
    <v>557</v>
    <v>103</v>
    <v>Sighișoara</v>
    <v>5</v>
    <v>6</v>
    <v>Map</v>
    <v>7</v>
    <v>104</v>
    <v>434</v>
    <v>26</v>
    <v>Sighișoara is a city on the Târnava Mare River in Mureș County, central Romania. Located in the historic region of Transylvania, Sighișoara had a population of 23,927 according to the 2021 census. It is a popular tourist destination for its ...</v>
    <v>2222</v>
    <v>2223</v>
    <v>2225</v>
    <v>2226</v>
    <v>2227</v>
    <v>Sighișoara</v>
    <v>2228</v>
    <v>7</v>
    <v>Sighișoara</v>
    <v>mdp/vdpid/7049723331385229313</v>
  </rv>
  <rv s="0">
    <v>536870912</v>
    <v>Sita Buzăului</v>
    <v>023ec6bf-bcb2-dacf-60fb-07fc4e7159d4</v>
    <v>en-US</v>
    <v>Map</v>
  </rv>
  <rv s="1">
    <fb>147.53</fb>
    <v>9</v>
  </rv>
  <rv s="2">
    <v>236</v>
    <v>7</v>
    <v>558</v>
    <v>7</v>
    <v>0</v>
    <v>Image of Sita Buzăului</v>
  </rv>
  <rv s="1">
    <fb>45.621735000000001</fb>
    <v>14</v>
  </rv>
  <rv s="0">
    <v>805306368</v>
    <v>Nicolae Stoica (Mayor)</v>
    <v>ace9eb86-2311-b7d1-d6b6-81015b489e1e</v>
    <v>en-US</v>
    <v>Generic</v>
  </rv>
  <rv s="4">
    <v>183</v>
  </rv>
  <rv s="3">
    <v>https://www.bing.com/search?q=sita+buz%c4%83ului+romania&amp;form=skydnc</v>
    <v>Learn more on Bing</v>
  </rv>
  <rv s="1">
    <fb>26.126097000000001</fb>
    <v>14</v>
  </rv>
  <rv s="1">
    <fb>4722</fb>
    <v>9</v>
  </rv>
  <rv s="6">
    <v>#VALUE!</v>
    <v>en-US</v>
    <v>023ec6bf-bcb2-dacf-60fb-07fc4e7159d4</v>
    <v>536870912</v>
    <v>1</v>
    <v>559</v>
    <v>12</v>
    <v>Sita Buzăului</v>
    <v>5</v>
    <v>6</v>
    <v>Map</v>
    <v>7</v>
    <v>8</v>
    <v>305</v>
    <v>2231</v>
    <v>26</v>
    <v>Sita Buzăului is a commune in Covasna County, in the geographical region of Transylvania, Romania. It is composed of four villages: Crasna, Merișor, Sita Buzăului, and Zăbrătău. The commune is located at the southern extremity of Covasna County, ...</v>
    <v>2232</v>
    <v>2233</v>
    <v>2235</v>
    <v>2236</v>
    <v>2237</v>
    <v>Sita Buzăului</v>
    <v>2238</v>
    <v>7</v>
    <v>Sita Buzăului</v>
    <v>mdp/vdpid/7050209739015192577</v>
  </rv>
  <rv s="0">
    <v>536870912</v>
    <v>Izvoru Bârzii</v>
    <v>bbb67372-8282-c871-90ea-3c598798b8ab</v>
    <v>en-US</v>
    <v>Map</v>
  </rv>
  <rv s="2">
    <v>237</v>
    <v>7</v>
    <v>560</v>
    <v>7</v>
    <v>0</v>
    <v>Image of Izvoru Bârzii</v>
  </rv>
  <rv s="1">
    <fb>44.708266999999999</fb>
    <v>14</v>
  </rv>
  <rv s="3">
    <v>https://www.bing.com/search?q=izvoru+b%c3%a2rzii&amp;form=skydnc</v>
    <v>Learn more on Bing</v>
  </rv>
  <rv s="1">
    <fb>22.667816999999999</fb>
    <v>14</v>
  </rv>
  <rv s="1">
    <fb>2481</fb>
    <v>9</v>
  </rv>
  <rv s="22">
    <v>#VALUE!</v>
    <v>en-US</v>
    <v>bbb67372-8282-c871-90ea-3c598798b8ab</v>
    <v>536870912</v>
    <v>1</v>
    <v>561</v>
    <v>562</v>
    <v>Izvoru Bârzii</v>
    <v>5</v>
    <v>6</v>
    <v>Map</v>
    <v>7</v>
    <v>104</v>
    <v>98</v>
    <v>26</v>
    <v>Izvoru Bârzii is a commune located in Mehedinți County, Oltenia, Romania. It is composed of seven villages: Balotești, Halânga, Izvoru Bârzii, Puținei, Răscolești, Schinteiești and Schitu Topolniței.</v>
    <v>2241</v>
    <v>2242</v>
    <v>2243</v>
    <v>2244</v>
    <v>Izvoru Bârzii</v>
    <v>2245</v>
    <v>7</v>
    <v>Izvoru Bârzii</v>
    <v>mdp/vdpid/7241796368581263361</v>
  </rv>
  <rv s="0">
    <v>536870912</v>
    <v>Bălilești</v>
    <v>d0bc094c-d4e0-6df9-d1b1-9cad33207ee6</v>
    <v>en-US</v>
    <v>Map</v>
  </rv>
  <rv s="1">
    <fb>59.93</fb>
    <v>9</v>
  </rv>
  <rv s="2">
    <v>238</v>
    <v>7</v>
    <v>563</v>
    <v>7</v>
    <v>0</v>
    <v>Image of Bălilești</v>
  </rv>
  <rv s="1">
    <fb>45.070165000000003</fb>
    <v>14</v>
  </rv>
  <rv s="0">
    <v>805306368</v>
    <v>Victor Cătălin Turturică (Mayor)</v>
    <v>4b3ff454-fe31-af63-6327-d63641ee7976</v>
    <v>en-US</v>
    <v>Generic</v>
  </rv>
  <rv s="4">
    <v>184</v>
  </rv>
  <rv s="3">
    <v>https://www.bing.com/search?q=b%c4%83lile%c8%99ti&amp;form=skydnc</v>
    <v>Learn more on Bing</v>
  </rv>
  <rv s="1">
    <fb>24.951741999999999</fb>
    <v>14</v>
  </rv>
  <rv s="1">
    <fb>3670</fb>
    <v>9</v>
  </rv>
  <rv s="6">
    <v>#VALUE!</v>
    <v>en-US</v>
    <v>d0bc094c-d4e0-6df9-d1b1-9cad33207ee6</v>
    <v>536870912</v>
    <v>1</v>
    <v>564</v>
    <v>12</v>
    <v>Bălilești</v>
    <v>5</v>
    <v>6</v>
    <v>Map</v>
    <v>7</v>
    <v>8</v>
    <v>18</v>
    <v>2248</v>
    <v>26</v>
    <v>Bălilești is a commune in Argeș County, Muntenia, Romania. It is composed of seven villages: Băjești, Bălilești, Golești, Poienița, Priboaia, Ulita, and Valea Mare-Bratia. The commune is located in the central part of Argeș County, 30 km from ...</v>
    <v>2249</v>
    <v>2250</v>
    <v>2252</v>
    <v>2253</v>
    <v>2254</v>
    <v>Bălilești</v>
    <v>2255</v>
    <v>7</v>
    <v>Bălilești</v>
    <v>mdp/vdpid/7049813190791659521</v>
  </rv>
  <rv s="0">
    <v>536870912</v>
    <v>Cârța, Harghita</v>
    <v>75756c12-4691-97fc-4633-b4e0e042c6ef</v>
    <v>en-US</v>
    <v>Map</v>
  </rv>
  <rv s="1">
    <fb>78.36</fb>
    <v>9</v>
  </rv>
  <rv s="2">
    <v>239</v>
    <v>7</v>
    <v>565</v>
    <v>7</v>
    <v>0</v>
    <v>Image of Cârța, Harghita</v>
  </rv>
  <rv s="1">
    <fb>46.554518000000002</fb>
    <v>14</v>
  </rv>
  <rv s="0">
    <v>805306368</v>
    <v>Tibor Gábor (Mayor)</v>
    <v>0b1d98e7-faa9-f144-6dbc-53a52276c759</v>
    <v>en-US</v>
    <v>Generic</v>
  </rv>
  <rv s="4">
    <v>185</v>
  </rv>
  <rv s="1">
    <fb>25.688721000000001</fb>
    <v>14</v>
  </rv>
  <rv s="1">
    <fb>2527</fb>
    <v>9</v>
  </rv>
  <rv s="19">
    <v>#VALUE!</v>
    <v>en-US</v>
    <v>75756c12-4691-97fc-4633-b4e0e042c6ef</v>
    <v>536870912</v>
    <v>1</v>
    <v>566</v>
    <v>358</v>
    <v>Cârța, Harghita</v>
    <v>194</v>
    <v>6</v>
    <v>Map</v>
    <v>7</v>
    <v>8</v>
    <v>71</v>
    <v>2258</v>
    <v>26</v>
    <v>Cârța is a commune in Romania, located in Harghita County. It lies in the Székely Land, an ethno-cultural region in eastern Transylvania. The commune is composed of two villages: Cârța and Ineu. Tomești has been an independent commune since 2004.</v>
    <v>2259</v>
    <v>2260</v>
    <v>2262</v>
    <v>2263</v>
    <v>Cârța, Harghita</v>
    <v>2264</v>
    <v>7</v>
    <v>Cârța, Harghita</v>
    <v>mdp/vdpid/7049924279634231297</v>
  </rv>
  <rv s="0">
    <v>536870912</v>
    <v>Mioveni</v>
    <v>49fc820e-e78d-ad04-11d4-61929e8c8b35</v>
    <v>en-US</v>
    <v>Map</v>
  </rv>
  <rv s="1">
    <fb>50.79</fb>
    <v>9</v>
  </rv>
  <rv s="2">
    <v>240</v>
    <v>7</v>
    <v>567</v>
    <v>7</v>
    <v>0</v>
    <v>Image of Mioveni</v>
  </rv>
  <rv s="1">
    <fb>44.955277777778001</fb>
    <v>14</v>
  </rv>
  <rv s="0">
    <v>805306368</v>
    <v>Aurel Costache (Mayor)</v>
    <v>a09ea181-b080-3c54-0f50-09b3249988bb</v>
    <v>en-US</v>
    <v>Generic</v>
  </rv>
  <rv s="4">
    <v>186</v>
  </rv>
  <rv s="3">
    <v>https://www.bing.com/search?q=mioveni+romania&amp;form=skydnc</v>
    <v>Learn more on Bing</v>
  </rv>
  <rv s="1">
    <fb>24.935555555556</fb>
    <v>14</v>
  </rv>
  <rv s="1">
    <fb>29317</fb>
    <v>9</v>
  </rv>
  <rv s="6">
    <v>#VALUE!</v>
    <v>en-US</v>
    <v>49fc820e-e78d-ad04-11d4-61929e8c8b35</v>
    <v>536870912</v>
    <v>1</v>
    <v>568</v>
    <v>12</v>
    <v>Mioveni</v>
    <v>5</v>
    <v>6</v>
    <v>Map</v>
    <v>7</v>
    <v>8</v>
    <v>18</v>
    <v>2267</v>
    <v>26</v>
    <v>Mioveni is a town in Argeș County, Romania, approximately 15 km north-east of Pitești. As of 2021, it had a population of 29,317. The town administers four villages: Clucereasa, Colibași, Făgetu, and Racovița.</v>
    <v>2268</v>
    <v>2269</v>
    <v>2271</v>
    <v>2272</v>
    <v>2273</v>
    <v>Mioveni</v>
    <v>2274</v>
    <v>7</v>
    <v>Mioveni</v>
    <v>mdp/vdpid/7241967136833273857</v>
  </rv>
  <rv s="0">
    <v>536870912</v>
    <v>Ilva Mică</v>
    <v>f91e6668-75cb-a501-a70c-dd23b6ec9f19</v>
    <v>en-US</v>
    <v>Map</v>
  </rv>
  <rv s="1">
    <fb>52.5</fb>
    <v>9</v>
  </rv>
  <rv s="2">
    <v>241</v>
    <v>7</v>
    <v>569</v>
    <v>7</v>
    <v>0</v>
    <v>Image of Ilva Mică</v>
  </rv>
  <rv s="1">
    <fb>47.310499999999998</fb>
    <v>14</v>
  </rv>
  <rv s="0">
    <v>805306368</v>
    <v>Aurel Horea (Mayor)</v>
    <v>c6926675-0516-e2e7-542b-17edebe46cc7</v>
    <v>en-US</v>
    <v>Generic</v>
  </rv>
  <rv s="4">
    <v>187</v>
  </rv>
  <rv s="3">
    <v>https://www.bing.com/search?q=ilva+mic%c4%83+romania&amp;form=skydnc</v>
    <v>Learn more on Bing</v>
  </rv>
  <rv s="1">
    <fb>24.670627</fb>
    <v>14</v>
  </rv>
  <rv s="1">
    <fb>3164</fb>
    <v>9</v>
  </rv>
  <rv s="6">
    <v>#VALUE!</v>
    <v>en-US</v>
    <v>f91e6668-75cb-a501-a70c-dd23b6ec9f19</v>
    <v>536870912</v>
    <v>1</v>
    <v>570</v>
    <v>12</v>
    <v>Ilva Mică</v>
    <v>5</v>
    <v>6</v>
    <v>Map</v>
    <v>7</v>
    <v>8</v>
    <v>184</v>
    <v>2277</v>
    <v>26</v>
    <v>Ilva Mică is a commune in Bistrița-Năsăud County, Transylvania, Romania. It is composed of a single village, Ilva Mică. The commune is situated in the western foothills of the Bârgău Mountains, at an altitude of 405 m, on the banks of the river ...</v>
    <v>2278</v>
    <v>2279</v>
    <v>2281</v>
    <v>2282</v>
    <v>2283</v>
    <v>Ilva Mică</v>
    <v>2284</v>
    <v>7</v>
    <v>Ilva Mică</v>
    <v>mdp/vdpid/7049454261213593601</v>
  </rv>
  <rv s="0">
    <v>536870912</v>
    <v>Dobârlău</v>
    <v>4ec6c989-c1f7-27ff-2355-08ae1da87d60</v>
    <v>en-US</v>
    <v>Map</v>
  </rv>
  <rv s="1">
    <fb>50.36</fb>
    <v>9</v>
  </rv>
  <rv s="2">
    <v>242</v>
    <v>7</v>
    <v>571</v>
    <v>7</v>
    <v>0</v>
    <v>Image of Dobârlău</v>
  </rv>
  <rv s="1">
    <fb>45.722746999999998</fb>
    <v>14</v>
  </rv>
  <rv s="0">
    <v>805306368</v>
    <v>Bogdan Barbu (Mayor)</v>
    <v>32213923-585b-3e0d-24f2-fa8d947fe09e</v>
    <v>en-US</v>
    <v>Generic</v>
  </rv>
  <rv s="4">
    <v>188</v>
  </rv>
  <rv s="3">
    <v>https://www.bing.com/search?q=dob%c3%a2rl%c4%83u+romania&amp;form=skydnc</v>
    <v>Learn more on Bing</v>
  </rv>
  <rv s="1">
    <fb>25.919584</fb>
    <v>14</v>
  </rv>
  <rv s="1">
    <fb>2275</fb>
    <v>9</v>
  </rv>
  <rv s="6">
    <v>#VALUE!</v>
    <v>en-US</v>
    <v>4ec6c989-c1f7-27ff-2355-08ae1da87d60</v>
    <v>536870912</v>
    <v>1</v>
    <v>572</v>
    <v>12</v>
    <v>Dobârlău</v>
    <v>5</v>
    <v>6</v>
    <v>Map</v>
    <v>7</v>
    <v>8</v>
    <v>305</v>
    <v>2287</v>
    <v>26</v>
    <v>Dobârlău is a commune in Covasna County, Transylvania, Romania. It is composed of four villages: Dobârlău, Lunca Mărcușului, Mărcuș, and Valea Dobârlăului. The commune is located in the southern part of the county, on the border with Brașov ...</v>
    <v>2288</v>
    <v>2289</v>
    <v>2291</v>
    <v>2292</v>
    <v>2293</v>
    <v>Dobârlău</v>
    <v>2294</v>
    <v>7</v>
    <v>Dobârlău</v>
    <v>mdp/vdpid/7050138120099987457</v>
  </rv>
  <rv s="0">
    <v>536870912</v>
    <v>Rona de Jos</v>
    <v>c00d7e22-4447-129d-b3f1-b108ecb71a45</v>
    <v>en-US</v>
    <v>Map</v>
  </rv>
  <rv s="1">
    <fb>22</fb>
    <v>9</v>
  </rv>
  <rv s="2">
    <v>243</v>
    <v>7</v>
    <v>573</v>
    <v>7</v>
    <v>0</v>
    <v>Image of Rona de Jos</v>
  </rv>
  <rv s="1">
    <fb>47.924055000000003</fb>
    <v>14</v>
  </rv>
  <rv s="0">
    <v>805306368</v>
    <v>Ion Herbil (Mayor)</v>
    <v>c4c0a869-bd86-ff93-0160-fe84b0411dea</v>
    <v>en-US</v>
    <v>Generic</v>
  </rv>
  <rv s="4">
    <v>189</v>
  </rv>
  <rv s="3">
    <v>https://www.bing.com/search?q=rona+de+jos+romania&amp;form=skydnc</v>
    <v>Learn more on Bing</v>
  </rv>
  <rv s="1">
    <fb>24.009039000000001</fb>
    <v>14</v>
  </rv>
  <rv s="1">
    <fb>1928</fb>
    <v>9</v>
  </rv>
  <rv s="6">
    <v>#VALUE!</v>
    <v>en-US</v>
    <v>c00d7e22-4447-129d-b3f1-b108ecb71a45</v>
    <v>536870912</v>
    <v>1</v>
    <v>574</v>
    <v>12</v>
    <v>Rona de Jos</v>
    <v>5</v>
    <v>6</v>
    <v>Map</v>
    <v>7</v>
    <v>8</v>
    <v>236</v>
    <v>2297</v>
    <v>26</v>
    <v>Rona de Jos is a commune in Maramureș County, Maramureș, Romania. It is composed of a single village, Rona de Jos. The commune is located in a hilly area in the northern part of the county, 3 km from the river Tisza and the Ukrainian border. The ...</v>
    <v>2298</v>
    <v>2299</v>
    <v>2301</v>
    <v>2302</v>
    <v>2303</v>
    <v>Rona de Jos</v>
    <v>2304</v>
    <v>7</v>
    <v>Rona de Jos</v>
    <v>mdp/vdpid/7048649083090632705</v>
  </rv>
  <rv s="0">
    <v>536870912</v>
    <v>Sacoșu Turcesc</v>
    <v>ef780e75-52d6-d173-1cb4-1c9d52997a96</v>
    <v>en-US</v>
    <v>Map</v>
  </rv>
  <rv s="1">
    <fb>124.53</fb>
    <v>9</v>
  </rv>
  <rv s="2">
    <v>244</v>
    <v>7</v>
    <v>575</v>
    <v>7</v>
    <v>0</v>
    <v>Image of Sacoșu Turcesc</v>
  </rv>
  <rv s="1">
    <fb>45.635294999999999</fb>
    <v>14</v>
  </rv>
  <rv s="0">
    <v>805306368</v>
    <v>Iulian-Petru Brocia (Mayor)</v>
    <v>14e9b14a-cbad-c55d-6470-ce697beb3213</v>
    <v>en-US</v>
    <v>Generic</v>
  </rv>
  <rv s="4">
    <v>190</v>
  </rv>
  <rv s="3">
    <v>https://www.bing.com/search?q=saco%c8%99u+turcesc+romania&amp;form=skydnc</v>
    <v>Learn more on Bing</v>
  </rv>
  <rv s="1">
    <fb>21.38524</fb>
    <v>14</v>
  </rv>
  <rv s="1">
    <fb>3392</fb>
    <v>9</v>
  </rv>
  <rv s="6">
    <v>#VALUE!</v>
    <v>en-US</v>
    <v>ef780e75-52d6-d173-1cb4-1c9d52997a96</v>
    <v>536870912</v>
    <v>1</v>
    <v>576</v>
    <v>12</v>
    <v>Sacoșu Turcesc</v>
    <v>5</v>
    <v>6</v>
    <v>Map</v>
    <v>7</v>
    <v>8</v>
    <v>269</v>
    <v>2307</v>
    <v>26</v>
    <v>Sacoșu Turcesc is a commune in Timiș County, Romania. It is composed of seven villages: Berini, Icloda, Otvești, Sacoșu Turcesc, Stamora Română, Uliuc and Unip. The first recorded mention of Sacoșu Turcesc dates from 1321, when, in a Hungarian ...</v>
    <v>2308</v>
    <v>2309</v>
    <v>2311</v>
    <v>2312</v>
    <v>2313</v>
    <v>Sacoșu Turcesc</v>
    <v>2314</v>
    <v>7</v>
    <v>Sacoșu Turcesc</v>
    <v>mdp/vdpid/7025548038714163201</v>
  </rv>
  <rv s="0">
    <v>536870912</v>
    <v>Lipova, Arad</v>
    <v>43651fe9-c6c0-d32c-5614-dcaf3400c64d</v>
    <v>en-US</v>
    <v>Map</v>
  </rv>
  <rv s="1">
    <fb>135</fb>
    <v>9</v>
  </rv>
  <rv s="2">
    <v>245</v>
    <v>7</v>
    <v>577</v>
    <v>7</v>
    <v>0</v>
    <v>Image of Lipova, Arad</v>
  </rv>
  <rv s="1">
    <fb>46.089444444443998</fb>
    <v>14</v>
  </rv>
  <rv s="0">
    <v>805306368</v>
    <v>Florin-Fabius Pera (Mayor)</v>
    <v>0d68ff09-b1fc-92ce-0a6f-0e2c0805ec2b</v>
    <v>en-US</v>
    <v>Generic</v>
  </rv>
  <rv s="4">
    <v>191</v>
  </rv>
  <rv s="3">
    <v>https://www.bing.com/search?q=lipova+romania&amp;form=skydnc</v>
    <v>Learn more on Bing</v>
  </rv>
  <rv s="1">
    <fb>21.691388888889001</fb>
    <v>14</v>
  </rv>
  <rv s="1">
    <fb>10040</fb>
    <v>9</v>
  </rv>
  <rv s="6">
    <v>#VALUE!</v>
    <v>en-US</v>
    <v>43651fe9-c6c0-d32c-5614-dcaf3400c64d</v>
    <v>536870912</v>
    <v>1</v>
    <v>578</v>
    <v>12</v>
    <v>Lipova, Arad</v>
    <v>5</v>
    <v>6</v>
    <v>Map</v>
    <v>7</v>
    <v>8</v>
    <v>120</v>
    <v>2317</v>
    <v>26</v>
    <v>Lipova is a town in Romania, Arad County, located in the Banat region. It is situated at a distance of 34 km from Arad, the county capital, at the contact zone of the river Mureș with the Zarand Mountains, the Western Plateau, and the Lipova ...</v>
    <v>2318</v>
    <v>2319</v>
    <v>2321</v>
    <v>2322</v>
    <v>2323</v>
    <v>Lipova, Arad</v>
    <v>2324</v>
    <v>182</v>
    <v>Lipova, Arad</v>
    <v>mdp/vdpid/7025514354275516417</v>
  </rv>
  <rv s="0">
    <v>536870912</v>
    <v>Câmpulung la Tisa</v>
    <v>014f6de5-b937-d866-10bf-002eb6705a48</v>
    <v>en-US</v>
    <v>Map</v>
  </rv>
  <rv s="1">
    <fb>29.87</fb>
    <v>9</v>
  </rv>
  <rv s="2">
    <v>246</v>
    <v>7</v>
    <v>579</v>
    <v>7</v>
    <v>0</v>
    <v>Image of Câmpulung la Tisa</v>
  </rv>
  <rv s="1">
    <fb>47.972422999999999</fb>
    <v>14</v>
  </rv>
  <rv s="0">
    <v>805306368</v>
    <v>Ludovic R-Fekete (Mayor)</v>
    <v>30cd5316-1773-844c-81f8-dd2ece1226ee</v>
    <v>en-US</v>
    <v>Generic</v>
  </rv>
  <rv s="4">
    <v>192</v>
  </rv>
  <rv s="3">
    <v>https://www.bing.com/search?q=c%c3%a2mpulung+la+tisa&amp;form=skydnc</v>
    <v>Learn more on Bing</v>
  </rv>
  <rv s="1">
    <fb>23.765657999999998</fb>
    <v>14</v>
  </rv>
  <rv s="1">
    <fb>2308</fb>
    <v>9</v>
  </rv>
  <rv s="6">
    <v>#VALUE!</v>
    <v>en-US</v>
    <v>014f6de5-b937-d866-10bf-002eb6705a48</v>
    <v>536870912</v>
    <v>1</v>
    <v>580</v>
    <v>12</v>
    <v>Câmpulung la Tisa</v>
    <v>5</v>
    <v>6</v>
    <v>Map</v>
    <v>7</v>
    <v>8</v>
    <v>236</v>
    <v>2327</v>
    <v>26</v>
    <v>Câmpulung la Tisa is a commune in Maramureș County, Maramureș, Romania. It is composed of a single village, Câmpulung la Tisa. The commune lies on the left bank of the river Tisza, on the border with Ukraine, across from the village of Hrushovo. ...</v>
    <v>2328</v>
    <v>2329</v>
    <v>2331</v>
    <v>2332</v>
    <v>2333</v>
    <v>Câmpulung la Tisa</v>
    <v>2334</v>
    <v>7</v>
    <v>Câmpulung la Tisa</v>
    <v>mdp/vdpid/7048553494701146113</v>
  </rv>
  <rv s="0">
    <v>536870912</v>
    <v>Bogdan Vodă</v>
    <v>d42837c0-f289-010f-1b56-3172d4ba2c18</v>
    <v>en-US</v>
    <v>Map</v>
  </rv>
  <rv s="1">
    <fb>30.56</fb>
    <v>9</v>
  </rv>
  <rv s="2">
    <v>247</v>
    <v>7</v>
    <v>581</v>
    <v>7</v>
    <v>0</v>
    <v>Image of Bogdan Vodă</v>
  </rv>
  <rv s="1">
    <fb>47.7108931</fb>
    <v>14</v>
  </rv>
  <rv s="0">
    <v>805306368</v>
    <v>Anuța Enea-Bizău (Mayor)</v>
    <v>483cad9c-4f5d-3cb8-d084-1c40c8c4a700</v>
    <v>en-US</v>
    <v>Generic</v>
  </rv>
  <rv s="4">
    <v>193</v>
  </rv>
  <rv s="3">
    <v>https://www.bing.com/search?q=bogdan+vod%c4%83&amp;form=skydnc</v>
    <v>Learn more on Bing</v>
  </rv>
  <rv s="1">
    <fb>24.284102000000001</fb>
    <v>14</v>
  </rv>
  <rv s="1">
    <fb>2619</fb>
    <v>9</v>
  </rv>
  <rv s="6">
    <v>#VALUE!</v>
    <v>en-US</v>
    <v>d42837c0-f289-010f-1b56-3172d4ba2c18</v>
    <v>536870912</v>
    <v>1</v>
    <v>582</v>
    <v>12</v>
    <v>Bogdan Vodă</v>
    <v>5</v>
    <v>6</v>
    <v>Map</v>
    <v>7</v>
    <v>8</v>
    <v>236</v>
    <v>2337</v>
    <v>26</v>
    <v>Bogdan Vodă is a commune in Maramureș County, Maramureș, Romania. The commune was named after its significant native, Bogdan I, the second founder of Moldavia. It is composed of two villages: Bocicoel and Bogdan Vodă.</v>
    <v>2338</v>
    <v>2339</v>
    <v>2341</v>
    <v>2342</v>
    <v>2343</v>
    <v>Bogdan Vodă</v>
    <v>2344</v>
    <v>7</v>
    <v>Bogdan Vodă</v>
    <v>mdp/vdpid/7049404174026407937</v>
  </rv>
  <rv s="0">
    <v>536870912</v>
    <v>Hălchiu</v>
    <v>f0b6b41a-2c0a-94c0-da15-819afce6ded4</v>
    <v>en-US</v>
    <v>Map</v>
  </rv>
  <rv s="1">
    <fb>57.97</fb>
    <v>9</v>
  </rv>
  <rv s="2">
    <v>248</v>
    <v>7</v>
    <v>583</v>
    <v>7</v>
    <v>0</v>
    <v>Image of Hălchiu</v>
  </rv>
  <rv s="1">
    <fb>45.761111111110999</fb>
    <v>14</v>
  </rv>
  <rv s="0">
    <v>805306368</v>
    <v>Ioan Gârbacea (Mayor)</v>
    <v>d0ca45a4-f4c3-a3e4-c46b-914729e92aba</v>
    <v>en-US</v>
    <v>Generic</v>
  </rv>
  <rv s="4">
    <v>194</v>
  </rv>
  <rv s="3">
    <v>https://www.bing.com/search?q=h%c4%83lchiu+transylvania&amp;form=skydnc</v>
    <v>Learn more on Bing</v>
  </rv>
  <rv s="1">
    <fb>25.547222222222</fb>
    <v>14</v>
  </rv>
  <rv s="1">
    <fb>4560</fb>
    <v>9</v>
  </rv>
  <rv s="6">
    <v>#VALUE!</v>
    <v>en-US</v>
    <v>f0b6b41a-2c0a-94c0-da15-819afce6ded4</v>
    <v>536870912</v>
    <v>1</v>
    <v>584</v>
    <v>12</v>
    <v>Hălchiu</v>
    <v>5</v>
    <v>6</v>
    <v>Map</v>
    <v>7</v>
    <v>8</v>
    <v>158</v>
    <v>2347</v>
    <v>26</v>
    <v>Hălchiu is a commune in Brașov County, Transylvania, Romania. It is composed of two villages, Hălchiu and Satu Nou. The commune is located in the east-central part of the county, in the northern part of the Burzenland historical region. It lies ...</v>
    <v>2348</v>
    <v>2349</v>
    <v>2351</v>
    <v>2352</v>
    <v>2353</v>
    <v>Hălchiu</v>
    <v>2354</v>
    <v>7</v>
    <v>Hălchiu</v>
    <v>mdp/vdpid/7050129266763104257</v>
  </rv>
  <rv s="0">
    <v>536870912</v>
    <v>Saschiz</v>
    <v>d3a3f594-76fe-e0fb-cc03-5718d63e61f3</v>
    <v>en-US</v>
    <v>Map</v>
  </rv>
  <rv s="1">
    <fb>98.21</fb>
    <v>9</v>
  </rv>
  <rv s="2">
    <v>249</v>
    <v>7</v>
    <v>585</v>
    <v>7</v>
    <v>0</v>
    <v>Image of Saschiz</v>
  </rv>
  <rv s="1">
    <fb>46.176946999999998</fb>
    <v>14</v>
  </rv>
  <rv s="0">
    <v>805306368</v>
    <v>Ovidiu Șoaita (Mayor)</v>
    <v>87fffe4a-19ae-c46c-e23e-b6860084d804</v>
    <v>en-US</v>
    <v>Generic</v>
  </rv>
  <rv s="4">
    <v>195</v>
  </rv>
  <rv s="3">
    <v>https://www.bing.com/search?q=saschiz+romania&amp;form=skydnc</v>
    <v>Learn more on Bing</v>
  </rv>
  <rv s="1">
    <fb>24.991790000000002</fb>
    <v>14</v>
  </rv>
  <rv s="1">
    <fb>2080</fb>
    <v>9</v>
  </rv>
  <rv s="6">
    <v>#VALUE!</v>
    <v>en-US</v>
    <v>d3a3f594-76fe-e0fb-cc03-5718d63e61f3</v>
    <v>536870912</v>
    <v>1</v>
    <v>586</v>
    <v>12</v>
    <v>Saschiz</v>
    <v>5</v>
    <v>6</v>
    <v>Map</v>
    <v>7</v>
    <v>8</v>
    <v>434</v>
    <v>2357</v>
    <v>26</v>
    <v>Saschiz is a commune in Mureș County, Transylvania, central Romania. It is composed of three villages: Cloașterf, Mihai Viteazu, and Saschiz. Saschiz, with its 15th-century church, has been the home of a UNESCO World Heritage Site, Villages with ...</v>
    <v>2358</v>
    <v>2359</v>
    <v>2361</v>
    <v>2362</v>
    <v>2363</v>
    <v>Saschiz</v>
    <v>2364</v>
    <v>7</v>
    <v>Saschiz</v>
    <v>mdp/vdpid/7049730855496843265</v>
  </rv>
  <rv s="0">
    <v>536870912</v>
    <v>Valea Mărului</v>
    <v>4860e08c-17b9-b2cf-698a-098aa28c1b43</v>
    <v>en-US</v>
    <v>Map</v>
  </rv>
  <rv s="0">
    <v>536870912</v>
    <v>Galați County</v>
    <v>ab9506dc-8457-ead3-6440-afd79051c3b0</v>
    <v>en-US</v>
    <v>Map</v>
  </rv>
  <rv s="1">
    <fb>48.63</fb>
    <v>9</v>
  </rv>
  <rv s="2">
    <v>250</v>
    <v>7</v>
    <v>587</v>
    <v>7</v>
    <v>0</v>
    <v>Image of Valea Mărului</v>
  </rv>
  <rv s="1">
    <fb>45.848720999999998</fb>
    <v>14</v>
  </rv>
  <rv s="3">
    <v>https://www.bing.com/search?q=valea+m%c4%83rului&amp;form=skydnc</v>
    <v>Learn more on Bing</v>
  </rv>
  <rv s="1">
    <fb>27.68103</fb>
    <v>14</v>
  </rv>
  <rv s="1">
    <fb>3572</fb>
    <v>9</v>
  </rv>
  <rv s="9">
    <v>#VALUE!</v>
    <v>en-US</v>
    <v>4860e08c-17b9-b2cf-698a-098aa28c1b43</v>
    <v>536870912</v>
    <v>1</v>
    <v>588</v>
    <v>70</v>
    <v>Valea Mărului</v>
    <v>5</v>
    <v>6</v>
    <v>Map</v>
    <v>7</v>
    <v>8</v>
    <v>2367</v>
    <v>2368</v>
    <v>26</v>
    <v>Valea Mărului is a commune in Galați County, Western Moldavia, Romania with a population of 3,818 people. It is composed of two villages, Mândrești and Valea Mărului.</v>
    <v>2369</v>
    <v>2370</v>
    <v>2371</v>
    <v>2372</v>
    <v>Valea Mărului</v>
    <v>2373</v>
    <v>7</v>
    <v>Valea Mărului</v>
    <v>mdp/vdpid/7050304323254747137</v>
  </rv>
  <rv s="0">
    <v>536870912</v>
    <v>Zimandu Nou</v>
    <v>fea68286-409a-ae87-eb43-7cff11511d84</v>
    <v>en-US</v>
    <v>Map</v>
  </rv>
  <rv s="1">
    <fb>74.3</fb>
    <v>9</v>
  </rv>
  <rv s="2">
    <v>251</v>
    <v>7</v>
    <v>589</v>
    <v>7</v>
    <v>0</v>
    <v>Image of Zimandu Nou</v>
  </rv>
  <rv s="1">
    <fb>46.263236999999997</fb>
    <v>14</v>
  </rv>
  <rv s="3">
    <v>https://www.bing.com/search?q=zimandu+nou+romania&amp;form=skydnc</v>
    <v>Learn more on Bing</v>
  </rv>
  <rv s="1">
    <fb>21.432157</fb>
    <v>14</v>
  </rv>
  <rv s="1">
    <fb>4663</fb>
    <v>9</v>
  </rv>
  <rv s="9">
    <v>#VALUE!</v>
    <v>en-US</v>
    <v>fea68286-409a-ae87-eb43-7cff11511d84</v>
    <v>536870912</v>
    <v>1</v>
    <v>590</v>
    <v>70</v>
    <v>Zimandu Nou</v>
    <v>5</v>
    <v>6</v>
    <v>Map</v>
    <v>7</v>
    <v>8</v>
    <v>120</v>
    <v>2376</v>
    <v>26</v>
    <v>Zimandu Nou is a commune located in Arad County, Romania, is situated in the Arad Plateau and it stretches over 7430 hectares. According to the 2011 census, the population of the commune counts 4476 inhabitants, out of which 63.31% are ...</v>
    <v>2377</v>
    <v>2378</v>
    <v>2379</v>
    <v>2380</v>
    <v>Zimandu Nou</v>
    <v>2381</v>
    <v>7</v>
    <v>Zimandu Nou</v>
    <v>mdp/vdpid/7025478767132803073</v>
  </rv>
  <rv s="0">
    <v>536870912</v>
    <v>Zărnești</v>
    <v>94d6b06b-f33f-2bf9-9a0f-66bbdbd08ced</v>
    <v>en-US</v>
    <v>Map</v>
  </rv>
  <rv s="1">
    <fb>204.75</fb>
    <v>9</v>
  </rv>
  <rv s="2">
    <v>252</v>
    <v>7</v>
    <v>591</v>
    <v>7</v>
    <v>0</v>
    <v>Image of Zărnești</v>
  </rv>
  <rv s="1">
    <fb>45.572499999999998</fb>
    <v>14</v>
  </rv>
  <rv s="0">
    <v>805306368</v>
    <v>Alexandru-Lucian Igrișan (Mayor)</v>
    <v>bcab0ed2-6a73-bf00-2654-dbd5b92cdfc3</v>
    <v>en-US</v>
    <v>Generic</v>
  </rv>
  <rv s="4">
    <v>196</v>
  </rv>
  <rv s="3">
    <v>https://www.bing.com/search?q=z%c4%83rne%c8%99ti+romania&amp;form=skydnc</v>
    <v>Learn more on Bing</v>
  </rv>
  <rv s="1">
    <fb>25.343055555555999</fb>
    <v>14</v>
  </rv>
  <rv s="1">
    <fb>21624</fb>
    <v>9</v>
  </rv>
  <rv s="6">
    <v>#VALUE!</v>
    <v>en-US</v>
    <v>94d6b06b-f33f-2bf9-9a0f-66bbdbd08ced</v>
    <v>536870912</v>
    <v>1</v>
    <v>592</v>
    <v>12</v>
    <v>Zărnești</v>
    <v>5</v>
    <v>6</v>
    <v>Map</v>
    <v>7</v>
    <v>8</v>
    <v>158</v>
    <v>2384</v>
    <v>26</v>
    <v>Zărnești is a town in Brașov County, Transylvania, Romania, with a population of 21,624 as of 2021. It administers one village, Tohanu Nou. The town is located near the Piatra Craiului Mountains, which are part of the Southern Carpathians ...</v>
    <v>2385</v>
    <v>2386</v>
    <v>2388</v>
    <v>2389</v>
    <v>2390</v>
    <v>Zărnești</v>
    <v>2391</v>
    <v>7</v>
    <v>Zărnești</v>
    <v>mdp/vdpid/7049800273979506689</v>
  </rv>
  <rv s="0">
    <v>536870912</v>
    <v>Ciacova</v>
    <v>54aae8a9-e82d-3aae-e902-dcca49369b14</v>
    <v>en-US</v>
    <v>Map</v>
  </rv>
  <rv s="1">
    <fb>252.76</fb>
    <v>9</v>
  </rv>
  <rv s="2">
    <v>253</v>
    <v>7</v>
    <v>593</v>
    <v>7</v>
    <v>0</v>
    <v>Image of Ciacova</v>
  </rv>
  <rv s="1">
    <fb>45.5</fb>
    <v>14</v>
  </rv>
  <rv s="0">
    <v>805306368</v>
    <v>Petru Filip (Mayor)</v>
    <v>dd5528b5-93b4-3670-b666-121e7a506f69</v>
    <v>en-US</v>
    <v>Generic</v>
  </rv>
  <rv s="4">
    <v>197</v>
  </rv>
  <rv s="3">
    <v>https://www.bing.com/search?q=ciacova+romania&amp;form=skydnc</v>
    <v>Learn more on Bing</v>
  </rv>
  <rv s="1">
    <fb>21.133333333332999</fb>
    <v>14</v>
  </rv>
  <rv s="1">
    <fb>5434</fb>
    <v>9</v>
  </rv>
  <rv s="6">
    <v>#VALUE!</v>
    <v>en-US</v>
    <v>54aae8a9-e82d-3aae-e902-dcca49369b14</v>
    <v>536870912</v>
    <v>1</v>
    <v>594</v>
    <v>12</v>
    <v>Ciacova</v>
    <v>5</v>
    <v>6</v>
    <v>Map</v>
    <v>7</v>
    <v>8</v>
    <v>269</v>
    <v>2394</v>
    <v>26</v>
    <v>Ciacova is a town in Timiș County, Romania. It administers four villages: Cebza, Macedonia, Obad and Petroman. When it was declared a town in 2004, the villages of Gad and Ghilad, which it administered up to that point, were split off to form ...</v>
    <v>2395</v>
    <v>2396</v>
    <v>2398</v>
    <v>2399</v>
    <v>2400</v>
    <v>Ciacova</v>
    <v>2401</v>
    <v>7</v>
    <v>Ciacova</v>
    <v>mdp/vdpid/7025549503516114945</v>
  </rv>
  <rv s="0">
    <v>536870912</v>
    <v>Apele Vii</v>
    <v>db28b8a9-2e84-f982-41c8-ab9f99d68a1d</v>
    <v>en-US</v>
    <v>Map</v>
  </rv>
  <rv s="1">
    <fb>61.44</fb>
    <v>9</v>
  </rv>
  <rv s="2">
    <v>254</v>
    <v>7</v>
    <v>595</v>
    <v>7</v>
    <v>0</v>
    <v>Image of Apele Vii</v>
  </rv>
  <rv s="1">
    <fb>44.066666669999996</fb>
    <v>14</v>
  </rv>
  <rv s="0">
    <v>805306368</v>
    <v>Augustin Stanciu (Mayor)</v>
    <v>40ceff52-4750-8b59-e122-b2c5f6fb87ba</v>
    <v>en-US</v>
    <v>Generic</v>
  </rv>
  <rv s="4">
    <v>198</v>
  </rv>
  <rv s="3">
    <v>https://www.bing.com/search?q=apele+vii&amp;form=skydnc</v>
    <v>Learn more on Bing</v>
  </rv>
  <rv s="1">
    <fb>24.06666667</fb>
    <v>14</v>
  </rv>
  <rv s="1">
    <fb>1804</fb>
    <v>9</v>
  </rv>
  <rv s="6">
    <v>#VALUE!</v>
    <v>en-US</v>
    <v>db28b8a9-2e84-f982-41c8-ab9f99d68a1d</v>
    <v>536870912</v>
    <v>1</v>
    <v>596</v>
    <v>12</v>
    <v>Apele Vii</v>
    <v>5</v>
    <v>6</v>
    <v>Map</v>
    <v>7</v>
    <v>8</v>
    <v>330</v>
    <v>2404</v>
    <v>26</v>
    <v>Apele Vii is a commune in Dolj County, Oltenia, Romania with a population of 1,804 people as of 2021. It is composed of a single village, Apele Vii. The commune is situated in the Wallachian Plain, at an altitude of 140 m. It is located in the ...</v>
    <v>2405</v>
    <v>2406</v>
    <v>2408</v>
    <v>2409</v>
    <v>2410</v>
    <v>Apele Vii</v>
    <v>2411</v>
    <v>7</v>
    <v>Apele Vii</v>
    <v>mdp/vdpid/7242005970753159169</v>
  </rv>
  <rv s="0">
    <v>536870912</v>
    <v>Balș</v>
    <v>bd872c38-4294-1ea1-d215-5beea266764f</v>
    <v>en-US</v>
    <v>Map</v>
  </rv>
  <rv s="1">
    <fb>37</fb>
    <v>9</v>
  </rv>
  <rv s="2">
    <v>255</v>
    <v>7</v>
    <v>597</v>
    <v>7</v>
    <v>0</v>
    <v>Image of Balș</v>
  </rv>
  <rv s="1">
    <fb>44.354166666666998</fb>
    <v>14</v>
  </rv>
  <rv s="0">
    <v>805306368</v>
    <v>Cătălin-Ștefan Rotea (Mayor)</v>
    <v>101925d8-f3b7-28f6-4f1e-c099db47002e</v>
    <v>en-US</v>
    <v>Generic</v>
  </rv>
  <rv s="4">
    <v>199</v>
  </rv>
  <rv s="3">
    <v>https://www.bing.com/search?q=bal%c8%99+romania&amp;form=skydnc</v>
    <v>Learn more on Bing</v>
  </rv>
  <rv s="1">
    <fb>24.098611111111001</fb>
    <v>14</v>
  </rv>
  <rv s="1">
    <fb>16114</fb>
    <v>9</v>
  </rv>
  <rv s="6">
    <v>#VALUE!</v>
    <v>en-US</v>
    <v>bd872c38-4294-1ea1-d215-5beea266764f</v>
    <v>536870912</v>
    <v>1</v>
    <v>598</v>
    <v>12</v>
    <v>Balș</v>
    <v>5</v>
    <v>6</v>
    <v>Map</v>
    <v>7</v>
    <v>8</v>
    <v>460</v>
    <v>2414</v>
    <v>26</v>
    <v>Balș is a town in Olt County, Oltenia, Romania. The town administers three villages: Corbeni, Româna, and Teiș. The town is situated on the Wallachian Plain and lies on the banks of the river Olteț. It is located in the northwestern part of the ...</v>
    <v>2415</v>
    <v>2416</v>
    <v>2418</v>
    <v>2419</v>
    <v>2420</v>
    <v>Balș</v>
    <v>2421</v>
    <v>7</v>
    <v>Balș</v>
    <v>mdp/vdpid/7241952770033451009</v>
  </rv>
  <rv s="0">
    <v>536870912</v>
    <v>Ivești, Galați</v>
    <v>5f7c6861-2aee-576a-6d28-c4af4a2b964c</v>
    <v>en-US</v>
    <v>Map</v>
  </rv>
  <rv s="1">
    <fb>89.55</fb>
    <v>9</v>
  </rv>
  <rv s="2">
    <v>256</v>
    <v>7</v>
    <v>599</v>
    <v>7</v>
    <v>0</v>
    <v>Image of Ivești, Galați</v>
  </rv>
  <rv s="1">
    <fb>45.669786000000002</fb>
    <v>14</v>
  </rv>
  <rv s="0">
    <v>805306368</v>
    <v>Maricel Gheoca (Mayor)</v>
    <v>e84ec371-c2d2-295e-de1a-8c8bf6fea883</v>
    <v>en-US</v>
    <v>Generic</v>
  </rv>
  <rv s="4">
    <v>200</v>
  </rv>
  <rv s="1">
    <fb>27.543519</fb>
    <v>14</v>
  </rv>
  <rv s="1">
    <fb>9584</fb>
    <v>9</v>
  </rv>
  <rv s="19">
    <v>#VALUE!</v>
    <v>en-US</v>
    <v>5f7c6861-2aee-576a-6d28-c4af4a2b964c</v>
    <v>536870912</v>
    <v>1</v>
    <v>600</v>
    <v>358</v>
    <v>Ivești, Galați</v>
    <v>194</v>
    <v>6</v>
    <v>Map</v>
    <v>7</v>
    <v>8</v>
    <v>2367</v>
    <v>2424</v>
    <v>26</v>
    <v>Ivești is a commune in Galați County, Western Moldavia, Romania. It is composed of two villages, Bucești and Ivești.</v>
    <v>2425</v>
    <v>2426</v>
    <v>2428</v>
    <v>2429</v>
    <v>Ivești, Galați</v>
    <v>2430</v>
    <v>7</v>
    <v>Ivești, Galați</v>
    <v>mdp/vdpid/7050350235414953985</v>
  </rv>
  <rv s="0">
    <v>536870912</v>
    <v>Hațeg</v>
    <v>1fd191bf-3029-1a70-f4be-9d543a8e780b</v>
    <v>en-US</v>
    <v>Map</v>
  </rv>
  <rv s="1">
    <fb>61.56</fb>
    <v>9</v>
  </rv>
  <rv s="2">
    <v>257</v>
    <v>7</v>
    <v>601</v>
    <v>7</v>
    <v>0</v>
    <v>Image of Hațeg</v>
  </rv>
  <rv s="1">
    <fb>45.607500000000002</fb>
    <v>14</v>
  </rv>
  <rv s="0">
    <v>805306368</v>
    <v>Adrian-Emilian Pușcaș (Mayor)</v>
    <v>a7c504c7-d0ac-e516-ff33-9226833d3c96</v>
    <v>en-US</v>
    <v>Generic</v>
  </rv>
  <rv s="4">
    <v>201</v>
  </rv>
  <rv s="3">
    <v>https://www.bing.com/search?q=ha%c8%9beg+romania&amp;form=skydnc</v>
    <v>Learn more on Bing</v>
  </rv>
  <rv s="1">
    <fb>22.95</fb>
    <v>14</v>
  </rv>
  <rv s="1">
    <fb>8793</fb>
    <v>9</v>
  </rv>
  <rv s="6">
    <v>#VALUE!</v>
    <v>en-US</v>
    <v>1fd191bf-3029-1a70-f4be-9d543a8e780b</v>
    <v>536870912</v>
    <v>1</v>
    <v>602</v>
    <v>12</v>
    <v>Hațeg</v>
    <v>5</v>
    <v>6</v>
    <v>Map</v>
    <v>7</v>
    <v>8</v>
    <v>391</v>
    <v>2433</v>
    <v>26</v>
    <v>Hațeg is a town in Hunedoara County, Romania with a population of 8,793 as of 2021. Three villages are administered by the town: Nălațvad, Silvașu de Jos, and Silvașu de Sus. It is situated in the southwestern reaches of the historical region of ...</v>
    <v>2434</v>
    <v>2435</v>
    <v>2437</v>
    <v>2438</v>
    <v>2439</v>
    <v>Hațeg</v>
    <v>2440</v>
    <v>7</v>
    <v>Hațeg</v>
    <v>mdp/vdpid/7049620502687514625</v>
  </rv>
  <rv s="0">
    <v>536870912</v>
    <v>Almăj</v>
    <v>6da99266-5393-3042-5bec-d98af0e8ef2f</v>
    <v>en-US</v>
    <v>Map</v>
  </rv>
  <rv s="1">
    <fb>28.02</fb>
    <v>9</v>
  </rv>
  <rv s="2">
    <v>258</v>
    <v>7</v>
    <v>603</v>
    <v>7</v>
    <v>0</v>
    <v>Image of Almăj</v>
  </rv>
  <rv s="1">
    <fb>44.45</fb>
    <v>14</v>
  </rv>
  <rv s="0">
    <v>805306368</v>
    <v>Alin-Mădălin Gorjan (Mayor)</v>
    <v>e776bfdc-7231-81fc-f3b5-259837c93ca6</v>
    <v>en-US</v>
    <v>Generic</v>
  </rv>
  <rv s="4">
    <v>202</v>
  </rv>
  <rv s="3">
    <v>https://www.bing.com/search?q=alm%c4%83j&amp;form=skydnc</v>
    <v>Learn more on Bing</v>
  </rv>
  <rv s="1">
    <fb>1792</fb>
    <v>9</v>
  </rv>
  <rv s="6">
    <v>#VALUE!</v>
    <v>en-US</v>
    <v>6da99266-5393-3042-5bec-d98af0e8ef2f</v>
    <v>536870912</v>
    <v>1</v>
    <v>604</v>
    <v>12</v>
    <v>Almăj</v>
    <v>5</v>
    <v>6</v>
    <v>Map</v>
    <v>7</v>
    <v>8</v>
    <v>330</v>
    <v>2443</v>
    <v>26</v>
    <v>Almăj is a commune in Dolj County, Oltenia, Romania with a population of 1,792 people as of 2021. It is composed of four villages: Almăj, Bogea, Moșneni, and Șitoaia. It also included Beharca and Coțofenii din Față villages until 2004, when they ...</v>
    <v>2444</v>
    <v>2445</v>
    <v>2447</v>
    <v>2448</v>
    <v>1855</v>
    <v>Almăj</v>
    <v>2449</v>
    <v>7</v>
    <v>Almăj</v>
    <v>mdp/vdpid/7241856712670445569</v>
  </rv>
  <rv s="0">
    <v>536870912</v>
    <v>Treznea</v>
    <v>67c05858-639e-7a34-59fa-197f40dfa2da</v>
    <v>en-US</v>
    <v>Map</v>
  </rv>
  <rv s="1">
    <fb>37.049999999999997</fb>
    <v>9</v>
  </rv>
  <rv s="2">
    <v>259</v>
    <v>7</v>
    <v>605</v>
    <v>7</v>
    <v>0</v>
    <v>Image of Treznea</v>
  </rv>
  <rv s="1">
    <fb>47.104585999999998</fb>
    <v>14</v>
  </rv>
  <rv s="0">
    <v>805306368</v>
    <v>Cristian Oros (Mayor)</v>
    <v>ad24b5f3-b1e5-20a9-98b9-c350e5f10fbc</v>
    <v>en-US</v>
    <v>Generic</v>
  </rv>
  <rv s="4">
    <v>203</v>
  </rv>
  <rv s="3">
    <v>https://www.bing.com/search?q=treznea+romania&amp;form=skydnc</v>
    <v>Learn more on Bing</v>
  </rv>
  <rv s="1">
    <fb>23.075137999999999</fb>
    <v>14</v>
  </rv>
  <rv s="1">
    <fb>1013</fb>
    <v>9</v>
  </rv>
  <rv s="8">
    <v>#VALUE!</v>
    <v>en-US</v>
    <v>67c05858-639e-7a34-59fa-197f40dfa2da</v>
    <v>536870912</v>
    <v>1</v>
    <v>606</v>
    <v>31</v>
    <v>Treznea</v>
    <v>5</v>
    <v>6</v>
    <v>Map</v>
    <v>7</v>
    <v>8</v>
    <v>538</v>
    <v>538</v>
    <v>2452</v>
    <v>26</v>
    <v>Treznea is a commune in Sălaj County, Crișana, Romania. It is composed of two villages, Bozna and Treznea. These were part of Agrij Commune until 1995, when they were split off to form a separate commune.</v>
    <v>2453</v>
    <v>2454</v>
    <v>2456</v>
    <v>2457</v>
    <v>2458</v>
    <v>Treznea</v>
    <v>2459</v>
    <v>7</v>
    <v>Treznea</v>
    <v>mdp/vdpid/7049341331071565825</v>
  </rv>
  <rv s="0">
    <v>536870912</v>
    <v>Tăuții-Măgherăuș</v>
    <v>6d985c0e-daa0-b616-e3fc-68a97b38d383</v>
    <v>en-US</v>
    <v>Map</v>
  </rv>
  <rv s="2">
    <v>260</v>
    <v>7</v>
    <v>607</v>
    <v>7</v>
    <v>0</v>
    <v>Image of Tăuții-Măgherăuș</v>
  </rv>
  <rv s="1">
    <fb>47.6678</fb>
    <v>14</v>
  </rv>
  <rv s="0">
    <v>805306368</v>
    <v>Dumitru Marinescu (Mayor)</v>
    <v>e271d072-1a6c-183c-1584-1acb740405e8</v>
    <v>en-US</v>
    <v>Generic</v>
  </rv>
  <rv s="4">
    <v>204</v>
  </rv>
  <rv s="3">
    <v>https://www.bing.com/search?q=t%c4%83u%c8%9bii-m%c4%83gher%c4%83u%c8%99+romania&amp;form=skydnc</v>
    <v>Learn more on Bing</v>
  </rv>
  <rv s="1">
    <fb>23.472200000000001</fb>
    <v>14</v>
  </rv>
  <rv s="1">
    <fb>8463</fb>
    <v>9</v>
  </rv>
  <rv s="11">
    <v>#VALUE!</v>
    <v>en-US</v>
    <v>6d985c0e-daa0-b616-e3fc-68a97b38d383</v>
    <v>536870912</v>
    <v>1</v>
    <v>608</v>
    <v>103</v>
    <v>Tăuții-Măgherăuș</v>
    <v>5</v>
    <v>6</v>
    <v>Map</v>
    <v>7</v>
    <v>104</v>
    <v>236</v>
    <v>26</v>
    <v>Tăuții-Măgherăuș is a town in Maramureș County, Romania. The town administers six villages: Băița, Bozânta Mare, Bușag, Merișor, Nistru, and Ulmoasa. Tăuții-Măgherăuș was declared a town in 2004. The Baia Mare Airport is located in the town.</v>
    <v>2462</v>
    <v>2463</v>
    <v>2465</v>
    <v>2466</v>
    <v>2467</v>
    <v>Tăuții-Măgherăuș</v>
    <v>2468</v>
    <v>7</v>
    <v>Tăuții-Măgherăuș</v>
    <v>mdp/vdpid/7049298745480970241</v>
  </rv>
  <rv s="0">
    <v>536870912</v>
    <v>Sângeorgiu de Pădure</v>
    <v>13ffea97-a98e-759f-10a6-f177dc26476b</v>
    <v>en-US</v>
    <v>Map</v>
  </rv>
  <rv s="1">
    <fb>7142</fb>
    <v>9</v>
  </rv>
  <rv s="2">
    <v>261</v>
    <v>7</v>
    <v>609</v>
    <v>7</v>
    <v>0</v>
    <v>Image of Sângeorgiu de Pădure</v>
  </rv>
  <rv s="1">
    <fb>46.430277777778002</fb>
    <v>14</v>
  </rv>
  <rv s="0">
    <v>805306368</v>
    <v>Levente-Loránd Szász (Mayor)</v>
    <v>4693e745-f616-6cc7-8b20-e0be44abc383</v>
    <v>en-US</v>
    <v>Generic</v>
  </rv>
  <rv s="4">
    <v>205</v>
  </rv>
  <rv s="3">
    <v>https://www.bing.com/search?q=s%c3%a2ngeorgiu+de+p%c4%83dure+romania&amp;form=skydnc</v>
    <v>Learn more on Bing</v>
  </rv>
  <rv s="1">
    <fb>24.841666666666999</fb>
    <v>14</v>
  </rv>
  <rv s="1">
    <fb>4875</fb>
    <v>9</v>
  </rv>
  <rv s="6">
    <v>#VALUE!</v>
    <v>en-US</v>
    <v>13ffea97-a98e-759f-10a6-f177dc26476b</v>
    <v>536870912</v>
    <v>1</v>
    <v>610</v>
    <v>12</v>
    <v>Sângeorgiu de Pădure</v>
    <v>5</v>
    <v>6</v>
    <v>Map</v>
    <v>7</v>
    <v>8</v>
    <v>434</v>
    <v>2471</v>
    <v>26</v>
    <v>Sângeorgiu de Pădure is a town in Mureș County, Transylvania, Romania. Bezid, Bezidu Nou, and Loțu villages are administratively part of the town. The first written record of the town is preserved in a papal tithe applotment list from 1333 in ...</v>
    <v>2472</v>
    <v>2473</v>
    <v>2475</v>
    <v>2476</v>
    <v>2477</v>
    <v>Sângeorgiu de Pădure</v>
    <v>2478</v>
    <v>7</v>
    <v>Sângeorgiu de Pădure</v>
    <v>mdp/vdpid/7049531338495361025</v>
  </rv>
  <rv s="0">
    <v>536870912</v>
    <v>Margina</v>
    <v>1c18023e-69a0-d6c8-27e9-493eaed741e6</v>
    <v>en-US</v>
    <v>Map</v>
  </rv>
  <rv s="1">
    <fb>132.81</fb>
    <v>9</v>
  </rv>
  <rv s="2">
    <v>262</v>
    <v>7</v>
    <v>611</v>
    <v>7</v>
    <v>0</v>
    <v>Image of Margina</v>
  </rv>
  <rv s="1">
    <fb>45.856944444444402</fb>
    <v>14</v>
  </rv>
  <rv s="0">
    <v>805306368</v>
    <v>Cosmin-Simion Popescu (Mayor)</v>
    <v>825fd6ca-a5a8-4161-add7-27a581b3bcb6</v>
    <v>en-US</v>
    <v>Generic</v>
  </rv>
  <rv s="4">
    <v>206</v>
  </rv>
  <rv s="3">
    <v>https://www.bing.com/search?q=margina+romania&amp;form=skydnc</v>
    <v>Learn more on Bing</v>
  </rv>
  <rv s="1">
    <fb>22.2694444444444</fb>
    <v>14</v>
  </rv>
  <rv s="1">
    <fb>2074</fb>
    <v>9</v>
  </rv>
  <rv s="6">
    <v>#VALUE!</v>
    <v>en-US</v>
    <v>1c18023e-69a0-d6c8-27e9-493eaed741e6</v>
    <v>536870912</v>
    <v>1</v>
    <v>612</v>
    <v>12</v>
    <v>Margina</v>
    <v>5</v>
    <v>6</v>
    <v>Map</v>
    <v>7</v>
    <v>8</v>
    <v>269</v>
    <v>2481</v>
    <v>26</v>
    <v>Margina is a commune in Timiș County, Romania. It is composed of nine villages: Breazova, Bulza, Coșevița, Coșteiu de Sus, Groși, Margina, Nemeșești, Sintești and Zorani. Margina is located in the eastern extremity of Timiș County, 8 km east of ...</v>
    <v>2482</v>
    <v>2483</v>
    <v>2485</v>
    <v>2486</v>
    <v>2487</v>
    <v>Margina</v>
    <v>2488</v>
    <v>7</v>
    <v>Margina</v>
    <v>mdp/vdpid/7025541266188271617</v>
  </rv>
  <rv s="0">
    <v>536870912</v>
    <v>Dannet</v>
    <v>8936c781-db46-b62d-ee87-9cc64e2307e2</v>
    <v>en-US</v>
    <v>Map</v>
  </rv>
  <rv s="0">
    <v>536870912</v>
    <v>Agadez Region</v>
    <v>3cb7ca31-9f95-2c9d-da4b-97dc21d6b0c6</v>
    <v>en-US</v>
    <v>Map</v>
  </rv>
  <rv s="0">
    <v>536870912</v>
    <v>Arlit Department</v>
    <v>0e39d1b1-8731-e017-340a-773ded7f8a40</v>
    <v>en-US</v>
    <v>Map</v>
  </rv>
  <rv s="0">
    <v>536870912</v>
    <v>Niger</v>
    <v>1e2e2e3e-477e-d95f-bbf4-3ccf31b3f684</v>
    <v>en-US</v>
    <v>Map</v>
  </rv>
  <rv s="2">
    <v>263</v>
    <v>7</v>
    <v>613</v>
    <v>7</v>
    <v>0</v>
    <v>Image of Dannet</v>
  </rv>
  <rv s="1">
    <fb>18.282699999999998</fb>
    <v>14</v>
  </rv>
  <rv s="3">
    <v>https://www.bing.com/search?q=dannet&amp;form=skydnc</v>
    <v>Learn more on Bing</v>
  </rv>
  <rv s="1">
    <fb>7.3437999999999999</fb>
    <v>14</v>
  </rv>
  <rv s="1">
    <fb>14964</fb>
    <v>9</v>
  </rv>
  <rv s="4">
    <v>207</v>
  </rv>
  <rv s="23">
    <v>#VALUE!</v>
    <v>en-US</v>
    <v>8936c781-db46-b62d-ee87-9cc64e2307e2</v>
    <v>536870912</v>
    <v>1</v>
    <v>614</v>
    <v>615</v>
    <v>Dannet</v>
    <v>5</v>
    <v>6</v>
    <v>Map</v>
    <v>7</v>
    <v>616</v>
    <v>2491</v>
    <v>2492</v>
    <v>2493</v>
    <v>Dannet is a village and rural commune in Niger. As of 2012, the commune had a population of 14,964 people.</v>
    <v>2494</v>
    <v>2495</v>
    <v>2496</v>
    <v>2497</v>
    <v>Dannet</v>
    <v>2498</v>
    <v>2499</v>
    <v>Dannet</v>
    <v>mdp/vdpid/7281619680639320065</v>
  </rv>
  <rv s="0">
    <v>536870912</v>
    <v>Budacu de Jos</v>
    <v>ae036b25-008a-4fb2-43a5-b309eac867ac</v>
    <v>en-US</v>
    <v>Map</v>
  </rv>
  <rv s="1">
    <fb>68.58</fb>
    <v>9</v>
  </rv>
  <rv s="2">
    <v>264</v>
    <v>7</v>
    <v>617</v>
    <v>7</v>
    <v>0</v>
    <v>Image of Budacu de Jos</v>
  </rv>
  <rv s="1">
    <fb>47.092508000000002</fb>
    <v>14</v>
  </rv>
  <rv s="0">
    <v>805306368</v>
    <v>Florin-Sandu Simionca (Mayor)</v>
    <v>7ec8d239-977e-b28b-030c-277e462c9a66</v>
    <v>en-US</v>
    <v>Generic</v>
  </rv>
  <rv s="4">
    <v>208</v>
  </rv>
  <rv s="3">
    <v>https://www.bing.com/search?q=budacu+de+jos+romania&amp;form=skydnc</v>
    <v>Learn more on Bing</v>
  </rv>
  <rv s="1">
    <fb>24.535464000000001</fb>
    <v>14</v>
  </rv>
  <rv s="1">
    <fb>3289</fb>
    <v>9</v>
  </rv>
  <rv s="6">
    <v>#VALUE!</v>
    <v>en-US</v>
    <v>ae036b25-008a-4fb2-43a5-b309eac867ac</v>
    <v>536870912</v>
    <v>1</v>
    <v>618</v>
    <v>12</v>
    <v>Budacu de Jos</v>
    <v>5</v>
    <v>6</v>
    <v>Map</v>
    <v>7</v>
    <v>8</v>
    <v>184</v>
    <v>2502</v>
    <v>26</v>
    <v>Budacu de Jos is a commune in Bistrița-Năsăud County, Transylvania, Romania. It is composed of five villages: Budacu de Jos, Buduș, Jelna, Monariu, and Simionești. The commune is situated on the Transylvanian Plateau, at the foot of the Călimani ...</v>
    <v>2503</v>
    <v>2504</v>
    <v>2506</v>
    <v>2507</v>
    <v>2508</v>
    <v>Budacu de Jos</v>
    <v>2509</v>
    <v>7</v>
    <v>Budacu de Jos</v>
    <v>mdp/vdpid/7049435228066021377</v>
  </rv>
  <rv s="0">
    <v>536870912</v>
    <v>Roșiorii de Vede</v>
    <v>c4bc85d1-1c6b-5ca2-3922-9ac5e8c63b12</v>
    <v>en-US</v>
    <v>Map</v>
  </rv>
  <rv s="1">
    <fb>152.56</fb>
    <v>9</v>
  </rv>
  <rv s="2">
    <v>265</v>
    <v>7</v>
    <v>619</v>
    <v>7</v>
    <v>0</v>
    <v>Image of Roșiorii de Vede</v>
  </rv>
  <rv s="1">
    <fb>44.065005999999997</fb>
    <v>14</v>
  </rv>
  <rv s="0">
    <v>805306368</v>
    <v>Gheorghe-Valerică Cârciumaru (Mayor)</v>
    <v>41eb7c97-6e9a-7811-729c-23984b4bc096</v>
    <v>en-US</v>
    <v>Generic</v>
  </rv>
  <rv s="4">
    <v>209</v>
  </rv>
  <rv s="3">
    <v>https://www.bing.com/search?q=ro%c8%99iorii+de+vede+romania&amp;form=skydnc</v>
    <v>Learn more on Bing</v>
  </rv>
  <rv s="1">
    <fb>24.965509399999998</fb>
    <v>14</v>
  </rv>
  <rv s="1">
    <fb>22294</fb>
    <v>9</v>
  </rv>
  <rv s="6">
    <v>#VALUE!</v>
    <v>en-US</v>
    <v>c4bc85d1-1c6b-5ca2-3922-9ac5e8c63b12</v>
    <v>536870912</v>
    <v>1</v>
    <v>620</v>
    <v>12</v>
    <v>Roșiorii de Vede</v>
    <v>5</v>
    <v>6</v>
    <v>Map</v>
    <v>7</v>
    <v>8</v>
    <v>581</v>
    <v>2512</v>
    <v>26</v>
    <v>Roșiorii de Vede is a city in Teleorman County, Romania. Located in the Muntenia region, it is one of the oldest cities in the country. It was first mentioned in a document which dates back to 1385, when the city was visited by two German ...</v>
    <v>2513</v>
    <v>2514</v>
    <v>2516</v>
    <v>2517</v>
    <v>2518</v>
    <v>Roșiorii de Vede</v>
    <v>2519</v>
    <v>7</v>
    <v>Roșiorii de Vede</v>
    <v>mdp/vdpid/7242044760297308161</v>
  </rv>
  <rv s="0">
    <v>536870912</v>
    <v>Negreni, Cluj</v>
    <v>7f78c07e-957a-e9cf-8494-1cba6218a3de</v>
    <v>en-US</v>
    <v>Map</v>
  </rv>
  <rv s="1">
    <fb>63.83</fb>
    <v>9</v>
  </rv>
  <rv s="2">
    <v>266</v>
    <v>7</v>
    <v>621</v>
    <v>7</v>
    <v>0</v>
    <v>Image of Negreni, Cluj</v>
  </rv>
  <rv s="1">
    <fb>46.952589000000003</fb>
    <v>14</v>
  </rv>
  <rv s="0">
    <v>805306368</v>
    <v>Dorin Constantin Manea (Mayor)</v>
    <v>a7fcc006-2a4c-fbe0-e141-ed6e12591d32</v>
    <v>en-US</v>
    <v>Generic</v>
  </rv>
  <rv s="4">
    <v>210</v>
  </rv>
  <rv s="3">
    <v>https://www.bing.com/search?q=negreni%2c+cluj+romania&amp;form=skydnc</v>
    <v>Learn more on Bing</v>
  </rv>
  <rv s="1">
    <fb>22.726589000000001</fb>
    <v>14</v>
  </rv>
  <rv s="1">
    <fb>2281</fb>
    <v>9</v>
  </rv>
  <rv s="6">
    <v>#VALUE!</v>
    <v>en-US</v>
    <v>7f78c07e-957a-e9cf-8494-1cba6218a3de</v>
    <v>536870912</v>
    <v>1</v>
    <v>622</v>
    <v>12</v>
    <v>Negreni, Cluj</v>
    <v>5</v>
    <v>6</v>
    <v>Map</v>
    <v>7</v>
    <v>8</v>
    <v>615</v>
    <v>2522</v>
    <v>26</v>
    <v>Negreni is a commune in Cluj County, Transylvania, Romania. It is composed of three villages: Bucea, Negreni, and Prelucele. These were part of Ciucea Commune from 1968 to 2002, when they were split off.</v>
    <v>2523</v>
    <v>2524</v>
    <v>2526</v>
    <v>2527</v>
    <v>2528</v>
    <v>Negreni, Cluj</v>
    <v>2529</v>
    <v>7</v>
    <v>Negreni, Cluj</v>
    <v>mdp/vdpid/7049333486112473089</v>
  </rv>
  <rv s="0">
    <v>536870912</v>
    <v>Bascov</v>
    <v>cca979ce-f2c1-e165-204a-5f5ad47c7aa2</v>
    <v>en-US</v>
    <v>Map</v>
  </rv>
  <rv s="1">
    <fb>56</fb>
    <v>9</v>
  </rv>
  <rv s="2">
    <v>267</v>
    <v>7</v>
    <v>623</v>
    <v>7</v>
    <v>0</v>
    <v>Image of Bascov</v>
  </rv>
  <rv s="1">
    <fb>44.890695000000001</fb>
    <v>14</v>
  </rv>
  <rv s="0">
    <v>805306368</v>
    <v>Gheorghe Stancu (Mayor)</v>
    <v>ae65a074-7063-c4a6-180f-9c6f9985aa92</v>
    <v>en-US</v>
    <v>Generic</v>
  </rv>
  <rv s="4">
    <v>211</v>
  </rv>
  <rv s="3">
    <v>https://www.bing.com/search?q=bascov+romania&amp;form=skydnc</v>
    <v>Learn more on Bing</v>
  </rv>
  <rv s="1">
    <fb>24.785367000000001</fb>
    <v>14</v>
  </rv>
  <rv s="1">
    <fb>11151</fb>
    <v>9</v>
  </rv>
  <rv s="6">
    <v>#VALUE!</v>
    <v>en-US</v>
    <v>cca979ce-f2c1-e165-204a-5f5ad47c7aa2</v>
    <v>536870912</v>
    <v>1</v>
    <v>624</v>
    <v>12</v>
    <v>Bascov</v>
    <v>5</v>
    <v>6</v>
    <v>Map</v>
    <v>7</v>
    <v>8</v>
    <v>18</v>
    <v>2532</v>
    <v>26</v>
    <v>Bascov is a commune in Argeș County, Muntenia, Romania. It is composed of eight villages: Bascov, Brăileni, Glâmbocu, Mica, Prislopu Mic, Schiau, Uiasca, and Valea Ursului. The commune lies on the Getic Plateau, an area of foothills leading up ...</v>
    <v>2533</v>
    <v>2534</v>
    <v>2536</v>
    <v>2537</v>
    <v>2538</v>
    <v>Bascov</v>
    <v>2539</v>
    <v>7</v>
    <v>Bascov</v>
    <v>mdp/vdpid/7241966694552305665</v>
  </rv>
  <rv s="0">
    <v>536870912</v>
    <v>Săliște</v>
    <v>8b999aa5-a73d-9cf4-3eb3-666a7714f9ee</v>
    <v>en-US</v>
    <v>Map</v>
  </rv>
  <rv s="1">
    <fb>226.78</fb>
    <v>9</v>
  </rv>
  <rv s="2">
    <v>268</v>
    <v>7</v>
    <v>625</v>
    <v>7</v>
    <v>0</v>
    <v>Image of Săliște</v>
  </rv>
  <rv s="1">
    <fb>45.794166666667003</fb>
    <v>14</v>
  </rv>
  <rv s="0">
    <v>805306368</v>
    <v>Horațiu-Dumitru Răcuciu (Mayor)</v>
    <v>48ef3879-086f-f36f-59bc-fa3e572e4650</v>
    <v>en-US</v>
    <v>Generic</v>
  </rv>
  <rv s="4">
    <v>212</v>
  </rv>
  <rv s="3">
    <v>https://www.bing.com/search?q=s%c4%83li%c8%99te+romania&amp;form=skydnc</v>
    <v>Learn more on Bing</v>
  </rv>
  <rv s="1">
    <fb>23.886388888889002</fb>
    <v>14</v>
  </rv>
  <rv s="1">
    <fb>5710</fb>
    <v>9</v>
  </rv>
  <rv s="6">
    <v>#VALUE!</v>
    <v>en-US</v>
    <v>8b999aa5-a73d-9cf4-3eb3-666a7714f9ee</v>
    <v>536870912</v>
    <v>1</v>
    <v>626</v>
    <v>12</v>
    <v>Săliște</v>
    <v>5</v>
    <v>6</v>
    <v>Map</v>
    <v>7</v>
    <v>8</v>
    <v>0</v>
    <v>2542</v>
    <v>26</v>
    <v>Săliște is a town in Sibiu County, in the centre of Romania, 21 km west of the county capital, Sibiu. Declared a town in 2003, it is the main locality in the Mărginimea Sibiului area. The town is situated at the edge of the Cindrel Mountains, on ...</v>
    <v>2543</v>
    <v>2544</v>
    <v>2546</v>
    <v>2547</v>
    <v>2548</v>
    <v>Săliște</v>
    <v>2549</v>
    <v>7</v>
    <v>Săliște</v>
    <v>mdp/vdpid/7049610060749602817</v>
  </rv>
  <rv s="0">
    <v>536870912</v>
    <v>Agnita</v>
    <v>7a1cc384-dba8-2c24-a970-a2df9be5539c</v>
    <v>en-US</v>
    <v>Map</v>
  </rv>
  <rv s="1">
    <fb>96.22</fb>
    <v>9</v>
  </rv>
  <rv s="2">
    <v>269</v>
    <v>7</v>
    <v>627</v>
    <v>7</v>
    <v>0</v>
    <v>Image of Agnita</v>
  </rv>
  <rv s="1">
    <fb>45.974444444444401</fb>
    <v>14</v>
  </rv>
  <rv s="0">
    <v>805306368</v>
    <v>Alin-Ciprian Schiau-Gull (Mayor)</v>
    <v>68003a83-2152-62af-cf41-43f0eb3a46a9</v>
    <v>en-US</v>
    <v>Generic</v>
  </rv>
  <rv s="4">
    <v>213</v>
  </rv>
  <rv s="3">
    <v>https://www.bing.com/search?q=agnita+romania&amp;form=skydnc</v>
    <v>Learn more on Bing</v>
  </rv>
  <rv s="1">
    <fb>24.623333333333299</fb>
    <v>14</v>
  </rv>
  <rv s="1">
    <fb>7564</fb>
    <v>9</v>
  </rv>
  <rv s="6">
    <v>#VALUE!</v>
    <v>en-US</v>
    <v>7a1cc384-dba8-2c24-a970-a2df9be5539c</v>
    <v>536870912</v>
    <v>1</v>
    <v>628</v>
    <v>12</v>
    <v>Agnita</v>
    <v>5</v>
    <v>6</v>
    <v>Map</v>
    <v>7</v>
    <v>8</v>
    <v>0</v>
    <v>2552</v>
    <v>26</v>
    <v>Agnita is a town on the Hârtibaciu river in Sibiu County, Transylvania, central Romania. It is considered the locality in the center of the country. The town administers two villages, namely Coveș and Ruja.</v>
    <v>2553</v>
    <v>2554</v>
    <v>2556</v>
    <v>2557</v>
    <v>2558</v>
    <v>Agnita</v>
    <v>2559</v>
    <v>7</v>
    <v>Agnita</v>
    <v>mdp/vdpid/7049735422775132161</v>
  </rv>
  <rv s="0">
    <v>536870912</v>
    <v>Pomi</v>
    <v>c80583ad-c116-db20-615d-14346c8616f4</v>
    <v>en-US</v>
    <v>Map</v>
  </rv>
  <rv s="1">
    <fb>39.4</fb>
    <v>9</v>
  </rv>
  <rv s="2">
    <v>270</v>
    <v>7</v>
    <v>629</v>
    <v>7</v>
    <v>0</v>
    <v>Image of Pomi</v>
  </rv>
  <rv s="1">
    <fb>47.674450999999998</fb>
    <v>14</v>
  </rv>
  <rv s="0">
    <v>805306368</v>
    <v>Cosmin-Ionel Krișan (Mayor)</v>
    <v>cde8aebd-a62a-8a96-33c1-27b61114d867</v>
    <v>en-US</v>
    <v>Generic</v>
  </rv>
  <rv s="4">
    <v>214</v>
  </rv>
  <rv s="3">
    <v>https://www.bing.com/search?q=pomi+romania&amp;form=skydnc</v>
    <v>Learn more on Bing</v>
  </rv>
  <rv s="1">
    <fb>23.310245999999999</fb>
    <v>14</v>
  </rv>
  <rv s="1">
    <fb>1936</fb>
    <v>9</v>
  </rv>
  <rv s="6">
    <v>#VALUE!</v>
    <v>en-US</v>
    <v>c80583ad-c116-db20-615d-14346c8616f4</v>
    <v>536870912</v>
    <v>1</v>
    <v>630</v>
    <v>12</v>
    <v>Pomi</v>
    <v>5</v>
    <v>6</v>
    <v>Map</v>
    <v>7</v>
    <v>8</v>
    <v>512</v>
    <v>2562</v>
    <v>26</v>
    <v>Pomi is a commune of 1,936 inhabitants situated in Satu Mare County, Romania. It is composed of four villages: Aciua, Bicău, Borlești, and Pomi. The commune is located in the eastern part of the county, on the border with Maramureș County.</v>
    <v>2563</v>
    <v>2564</v>
    <v>2566</v>
    <v>2567</v>
    <v>2568</v>
    <v>Pomi</v>
    <v>2569</v>
    <v>7</v>
    <v>Pomi</v>
    <v>mdp/vdpid/7049296628045316097</v>
  </rv>
  <rv s="0">
    <v>536870912</v>
    <v>Huedin</v>
    <v>419427a8-dbaf-09ad-0fb6-596f0289410d</v>
    <v>en-US</v>
    <v>Map</v>
  </rv>
  <rv s="1">
    <fb>61.24</fb>
    <v>9</v>
  </rv>
  <rv s="2">
    <v>271</v>
    <v>7</v>
    <v>631</v>
    <v>7</v>
    <v>0</v>
    <v>Image of Huedin</v>
  </rv>
  <rv s="1">
    <fb>46.873758299999999</fb>
    <v>14</v>
  </rv>
  <rv s="0">
    <v>805306368</v>
    <v>Mircea Moroșan (Mayor)</v>
    <v>c15f6d3d-32cf-e862-1c84-0305a6cf6fbe</v>
    <v>en-US</v>
    <v>Generic</v>
  </rv>
  <rv s="4">
    <v>215</v>
  </rv>
  <rv s="3">
    <v>https://www.bing.com/search?q=huedin+romania&amp;form=skydnc</v>
    <v>Learn more on Bing</v>
  </rv>
  <rv s="1">
    <fb>23.0041212</fb>
    <v>14</v>
  </rv>
  <rv s="1">
    <fb>8069</fb>
    <v>9</v>
  </rv>
  <rv s="6">
    <v>#VALUE!</v>
    <v>en-US</v>
    <v>419427a8-dbaf-09ad-0fb6-596f0289410d</v>
    <v>536870912</v>
    <v>1</v>
    <v>632</v>
    <v>12</v>
    <v>Huedin</v>
    <v>5</v>
    <v>6</v>
    <v>Map</v>
    <v>7</v>
    <v>8</v>
    <v>615</v>
    <v>2572</v>
    <v>26</v>
    <v>Huedin is a town in Cluj County, Transylvania, Romania. Huedin is located at the northern edge of the Apuseni Mountains. It is surrounded by the villages of Nearșova, Domoșu, Horlacea, and others. The town administers one village, Bicălatu. ...</v>
    <v>2573</v>
    <v>2574</v>
    <v>2576</v>
    <v>2577</v>
    <v>2578</v>
    <v>Huedin</v>
    <v>2579</v>
    <v>7</v>
    <v>Huedin</v>
    <v>mdp/vdpid/7049343974791708673</v>
  </rv>
  <rv s="0">
    <v>536870912</v>
    <v>Mihăești, Argeș</v>
    <v>22e3b162-c253-22fa-96de-6916f2d4f950</v>
    <v>en-US</v>
    <v>Map</v>
  </rv>
  <rv s="2">
    <v>272</v>
    <v>7</v>
    <v>633</v>
    <v>7</v>
    <v>0</v>
    <v>Image of Mihăești, Argeș</v>
  </rv>
  <rv s="1">
    <fb>45.124370999999996</fb>
    <v>14</v>
  </rv>
  <rv s="0">
    <v>805306368</v>
    <v>Andreea-Iuliana Crîmpiță-Matei (Mayor)</v>
    <v>250e7044-f80e-8d98-62ff-75f5d49bcadd</v>
    <v>en-US</v>
    <v>Generic</v>
  </rv>
  <rv s="4">
    <v>216</v>
  </rv>
  <rv s="1">
    <fb>25.017789</fb>
    <v>14</v>
  </rv>
  <rv s="1">
    <fb>5726</fb>
    <v>9</v>
  </rv>
  <rv s="19">
    <v>#VALUE!</v>
    <v>en-US</v>
    <v>22e3b162-c253-22fa-96de-6916f2d4f950</v>
    <v>536870912</v>
    <v>1</v>
    <v>634</v>
    <v>358</v>
    <v>Mihăești, Argeș</v>
    <v>194</v>
    <v>6</v>
    <v>Map</v>
    <v>7</v>
    <v>8</v>
    <v>18</v>
    <v>398</v>
    <v>26</v>
    <v>Mihăești is a commune in Argeș County, Muntenia, Romania. It is composed of seven villages: Drăghici, Furnicoși, Mihăești, Rudeni, Valea Bradului, Valea Popii, and Văcarea. The Râul Târgului crosses the commune from north to south.</v>
    <v>2582</v>
    <v>2583</v>
    <v>2585</v>
    <v>2586</v>
    <v>Mihăești, Argeș</v>
    <v>2587</v>
    <v>7</v>
    <v>Mihăești, Argeș</v>
    <v>mdp/vdpid/7049818003134742529</v>
  </rv>
  <rv s="0">
    <v>536870912</v>
    <v>Ilva Mare</v>
    <v>2ed7f52b-9551-8882-c36b-15ad098dd6b7</v>
    <v>en-US</v>
    <v>Map</v>
  </rv>
  <rv s="1">
    <fb>35.14</fb>
    <v>9</v>
  </rv>
  <rv s="2">
    <v>273</v>
    <v>7</v>
    <v>635</v>
    <v>7</v>
    <v>0</v>
    <v>Image of Ilva Mare</v>
  </rv>
  <rv s="1">
    <fb>47.365229999999997</fb>
    <v>14</v>
  </rv>
  <rv s="0">
    <v>805306368</v>
    <v>Alexandru Anca (Mayor)</v>
    <v>95ea25ce-49a7-33a6-0305-50fa948c36f1</v>
    <v>en-US</v>
    <v>Generic</v>
  </rv>
  <rv s="4">
    <v>217</v>
  </rv>
  <rv s="3">
    <v>https://www.bing.com/search?q=ilva+mare+romania&amp;form=skydnc</v>
    <v>Learn more on Bing</v>
  </rv>
  <rv s="1">
    <fb>24.885073999999999</fb>
    <v>14</v>
  </rv>
  <rv s="1">
    <fb>2338</fb>
    <v>9</v>
  </rv>
  <rv s="6">
    <v>#VALUE!</v>
    <v>en-US</v>
    <v>2ed7f52b-9551-8882-c36b-15ad098dd6b7</v>
    <v>536870912</v>
    <v>1</v>
    <v>636</v>
    <v>12</v>
    <v>Ilva Mare</v>
    <v>5</v>
    <v>6</v>
    <v>Map</v>
    <v>7</v>
    <v>8</v>
    <v>184</v>
    <v>2590</v>
    <v>26</v>
    <v>Ilva Mare is a commune in Bistrița-Năsăud County, Transylvania, Romania. It is composed of two villages, Ilva Mare and Ivăneasa. The commune is situated in the Bârgău Mountains, at an altitude of 620 m, on the banks of the river Ilva. It is ...</v>
    <v>2591</v>
    <v>2592</v>
    <v>2594</v>
    <v>2595</v>
    <v>2596</v>
    <v>Ilva Mare</v>
    <v>2597</v>
    <v>7</v>
    <v>Ilva Mare</v>
    <v>mdp/vdpid/7049457157950930945</v>
  </rv>
  <rv s="0">
    <v>536870912</v>
    <v>Făget</v>
    <v>50a5a726-5f45-4a7a-84a8-0bab111ec9a1</v>
    <v>en-US</v>
    <v>Map</v>
  </rv>
  <rv s="1">
    <fb>150.87</fb>
    <v>9</v>
  </rv>
  <rv s="2">
    <v>274</v>
    <v>7</v>
    <v>637</v>
    <v>7</v>
    <v>0</v>
    <v>Image of Făget</v>
  </rv>
  <rv s="1">
    <fb>45.85</fb>
    <v>14</v>
  </rv>
  <rv s="0">
    <v>805306368</v>
    <v>Claudiu-Ionel Avramescu (Mayor)</v>
    <v>8bdeb073-8995-c17d-701c-b42b77541349</v>
    <v>en-US</v>
    <v>Generic</v>
  </rv>
  <rv s="4">
    <v>218</v>
  </rv>
  <rv s="3">
    <v>https://www.bing.com/search?q=f%c4%83get+romania&amp;form=skydnc</v>
    <v>Learn more on Bing</v>
  </rv>
  <rv s="1">
    <fb>22.18</fb>
    <v>14</v>
  </rv>
  <rv s="1">
    <fb>6595</fb>
    <v>9</v>
  </rv>
  <rv s="6">
    <v>#VALUE!</v>
    <v>en-US</v>
    <v>50a5a726-5f45-4a7a-84a8-0bab111ec9a1</v>
    <v>536870912</v>
    <v>1</v>
    <v>638</v>
    <v>12</v>
    <v>Făget</v>
    <v>5</v>
    <v>6</v>
    <v>Map</v>
    <v>7</v>
    <v>8</v>
    <v>269</v>
    <v>2600</v>
    <v>26</v>
    <v>Făget is a town in Timiș County, Romania, with a population of about 6,600. The town administers ten villages: Bătești, Begheiu Mic, Bichigi, Brănești, Bunea Mare, Bunea Mică, Colonia Mică, Jupânești, Povârgina and Temerești.</v>
    <v>2601</v>
    <v>2602</v>
    <v>2604</v>
    <v>2605</v>
    <v>2606</v>
    <v>Făget</v>
    <v>2607</v>
    <v>7</v>
    <v>Făget</v>
    <v>mdp/vdpid/7025540788255719425</v>
  </rv>
  <rv s="0">
    <v>536870912</v>
    <v>Rucăr</v>
    <v>6e4a4da1-031d-8c8e-0270-a4ae67ea605b</v>
    <v>en-US</v>
    <v>Map</v>
  </rv>
  <rv s="1">
    <fb>284.11</fb>
    <v>9</v>
  </rv>
  <rv s="2">
    <v>275</v>
    <v>7</v>
    <v>639</v>
    <v>7</v>
    <v>0</v>
    <v>Image of Rucăr</v>
  </rv>
  <rv s="1">
    <fb>45.5003484</fb>
    <v>14</v>
  </rv>
  <rv s="0">
    <v>805306368</v>
    <v>Ionel Dulamă (Mayor)</v>
    <v>f806b5bc-69ae-13fb-c9fb-53e4429ec97a</v>
    <v>en-US</v>
    <v>Generic</v>
  </rv>
  <rv s="4">
    <v>219</v>
  </rv>
  <rv s="3">
    <v>https://www.bing.com/search?q=ruc%c4%83r&amp;form=skydnc</v>
    <v>Learn more on Bing</v>
  </rv>
  <rv s="1">
    <fb>25.119348500000001</fb>
    <v>14</v>
  </rv>
  <rv s="1">
    <fb>5259</fb>
    <v>9</v>
  </rv>
  <rv s="6">
    <v>#VALUE!</v>
    <v>en-US</v>
    <v>6e4a4da1-031d-8c8e-0270-a4ae67ea605b</v>
    <v>536870912</v>
    <v>1</v>
    <v>640</v>
    <v>12</v>
    <v>Rucăr</v>
    <v>5</v>
    <v>6</v>
    <v>Map</v>
    <v>7</v>
    <v>8</v>
    <v>18</v>
    <v>2610</v>
    <v>26</v>
    <v>Rucăr is a commune located in the north-eastern part of Argeș County, Romania, situated in the Carpathian Mountains. The commune is composed of two villages, Rucăr and Sătic, and its population as of 2021 was 5,259. Historically important for ...</v>
    <v>2611</v>
    <v>2612</v>
    <v>2614</v>
    <v>2615</v>
    <v>2616</v>
    <v>Rucăr</v>
    <v>2617</v>
    <v>7</v>
    <v>Rucăr</v>
    <v>mdp/vdpid/7049803983489073153</v>
  </rv>
  <rv s="0">
    <v>536870912</v>
    <v>Brastavățu</v>
    <v>27f5918e-a099-e6ba-2266-4c982cb0def3</v>
    <v>en-US</v>
    <v>Map</v>
  </rv>
  <rv s="1">
    <fb>70.34</fb>
    <v>9</v>
  </rv>
  <rv s="2">
    <v>276</v>
    <v>7</v>
    <v>641</v>
    <v>7</v>
    <v>0</v>
    <v>Image of Brastavățu</v>
  </rv>
  <rv s="1">
    <fb>43.920969999999997</fb>
    <v>14</v>
  </rv>
  <rv s="3">
    <v>https://www.bing.com/search?q=brastav%c4%83%c8%9bu+romania&amp;form=skydnc</v>
    <v>Learn more on Bing</v>
  </rv>
  <rv s="1">
    <fb>24.412412</fb>
    <v>14</v>
  </rv>
  <rv s="1">
    <fb>3860</fb>
    <v>9</v>
  </rv>
  <rv s="9">
    <v>#VALUE!</v>
    <v>en-US</v>
    <v>27f5918e-a099-e6ba-2266-4c982cb0def3</v>
    <v>536870912</v>
    <v>1</v>
    <v>642</v>
    <v>70</v>
    <v>Brastavățu</v>
    <v>5</v>
    <v>6</v>
    <v>Map</v>
    <v>7</v>
    <v>8</v>
    <v>460</v>
    <v>2620</v>
    <v>26</v>
    <v>Brastavățu is a commune in Olt County, Oltenia, Romania. It is composed of two villages, Brastavățu and Crușovu.</v>
    <v>2621</v>
    <v>2622</v>
    <v>2623</v>
    <v>2624</v>
    <v>Brastavățu</v>
    <v>2625</v>
    <v>7</v>
    <v>Brastavățu</v>
    <v>mdp/vdpid/7242026725679300609</v>
  </rv>
  <rv s="0">
    <v>536870912</v>
    <v>Sâmbăta de Sus</v>
    <v>95c9a438-63c0-fe28-19f5-1c3dbe26d784</v>
    <v>en-US</v>
    <v>Map</v>
  </rv>
  <rv s="1">
    <fb>47.26</fb>
    <v>9</v>
  </rv>
  <rv s="2">
    <v>277</v>
    <v>7</v>
    <v>643</v>
    <v>7</v>
    <v>0</v>
    <v>Image of Sâmbăta de Sus</v>
  </rv>
  <rv s="1">
    <fb>45.760833333332997</fb>
    <v>14</v>
  </rv>
  <rv s="0">
    <v>805306368</v>
    <v>Nicolae Morariu (Mayor)</v>
    <v>236f1fc6-9302-5d87-caff-943ffd4faac1</v>
    <v>en-US</v>
    <v>Generic</v>
  </rv>
  <rv s="4">
    <v>220</v>
  </rv>
  <rv s="3">
    <v>https://www.bing.com/search?q=s%c3%a2mb%c4%83ta+de+sus&amp;form=skydnc</v>
    <v>Learn more on Bing</v>
  </rv>
  <rv s="1">
    <fb>24.823888888889002</fb>
    <v>14</v>
  </rv>
  <rv s="1">
    <fb>1610</fb>
    <v>9</v>
  </rv>
  <rv s="6">
    <v>#VALUE!</v>
    <v>en-US</v>
    <v>95c9a438-63c0-fe28-19f5-1c3dbe26d784</v>
    <v>536870912</v>
    <v>1</v>
    <v>644</v>
    <v>12</v>
    <v>Sâmbăta de Sus</v>
    <v>5</v>
    <v>6</v>
    <v>Map</v>
    <v>7</v>
    <v>8</v>
    <v>158</v>
    <v>2628</v>
    <v>26</v>
    <v>Sâmbăta de Sus is a commune in Brașov County, Transylvania, Romania. It is composed of two villages, Sâmbăta de Sus and Stațiunea Climaterică Sâmbăta. Formerly part of Voila commune, these villages were split off to form a separate commune in 2003.</v>
    <v>2629</v>
    <v>2630</v>
    <v>2632</v>
    <v>2633</v>
    <v>2634</v>
    <v>Sâmbăta de Sus</v>
    <v>2635</v>
    <v>7</v>
    <v>Sâmbăta de Sus</v>
    <v>mdp/vdpid/7049742128645144577</v>
  </rv>
  <rv s="0">
    <v>536870912</v>
    <v>Bobâlna</v>
    <v>12843982-4f4c-b1e1-c669-a038543cf958</v>
    <v>en-US</v>
    <v>Map</v>
  </rv>
  <rv s="1">
    <fb>97.48</fb>
    <v>9</v>
  </rv>
  <rv s="2">
    <v>278</v>
    <v>7</v>
    <v>645</v>
    <v>7</v>
    <v>0</v>
    <v>Image of Bobâlna</v>
  </rv>
  <rv s="1">
    <fb>47.139640999999997</fb>
    <v>14</v>
  </rv>
  <rv s="0">
    <v>805306368</v>
    <v>Augustin Mureșan (Mayor)</v>
    <v>39594f35-be06-2f21-aed3-8655ad7b4c34</v>
    <v>en-US</v>
    <v>Generic</v>
  </rv>
  <rv s="4">
    <v>221</v>
  </rv>
  <rv s="3">
    <v>https://www.bing.com/search?q=bob%c3%a2lna+romania&amp;form=skydnc</v>
    <v>Learn more on Bing</v>
  </rv>
  <rv s="1">
    <fb>23.62914</fb>
    <v>14</v>
  </rv>
  <rv s="1">
    <fb>1382</fb>
    <v>9</v>
  </rv>
  <rv s="6">
    <v>#VALUE!</v>
    <v>en-US</v>
    <v>12843982-4f4c-b1e1-c669-a038543cf958</v>
    <v>536870912</v>
    <v>1</v>
    <v>646</v>
    <v>12</v>
    <v>Bobâlna</v>
    <v>5</v>
    <v>6</v>
    <v>Map</v>
    <v>7</v>
    <v>8</v>
    <v>615</v>
    <v>2638</v>
    <v>26</v>
    <v>Bobâlna is a commune in Cluj County, Transylvania, Romania. It is composed of eleven villages: Antăș, Băbdiu, Blidărești, Bobâlna, Cremenea, Maia, Oșorhel, Pruni, Răzbuneni, Suarăș, and Vâlcelele. The first document that mentions the village is ...</v>
    <v>2639</v>
    <v>2640</v>
    <v>2642</v>
    <v>2643</v>
    <v>2644</v>
    <v>Bobâlna</v>
    <v>2645</v>
    <v>7</v>
    <v>Bobâlna</v>
    <v>mdp/vdpid/7049327235190226945</v>
  </rv>
  <rv s="0">
    <v>536870912</v>
    <v>Strehaia</v>
    <v>c30bf40d-aea0-0fdf-026d-0af1beef7fb7</v>
    <v>en-US</v>
    <v>Map</v>
  </rv>
  <rv s="1">
    <fb>108.64</fb>
    <v>9</v>
  </rv>
  <rv s="2">
    <v>279</v>
    <v>7</v>
    <v>647</v>
    <v>7</v>
    <v>0</v>
    <v>Image of Strehaia</v>
  </rv>
  <rv s="1">
    <fb>44.622222222222</fb>
    <v>14</v>
  </rv>
  <rv s="0">
    <v>805306368</v>
    <v>Ioan Giura (Mayor)</v>
    <v>33d470bf-05f7-b699-9ca4-f11be5b7f53e</v>
    <v>en-US</v>
    <v>Generic</v>
  </rv>
  <rv s="4">
    <v>222</v>
  </rv>
  <rv s="3">
    <v>https://www.bing.com/search?q=strehaia+romania&amp;form=skydnc</v>
    <v>Learn more on Bing</v>
  </rv>
  <rv s="1">
    <fb>23.197222222221999</fb>
    <v>14</v>
  </rv>
  <rv s="1">
    <fb>9059</fb>
    <v>9</v>
  </rv>
  <rv s="6">
    <v>#VALUE!</v>
    <v>en-US</v>
    <v>c30bf40d-aea0-0fdf-026d-0af1beef7fb7</v>
    <v>536870912</v>
    <v>1</v>
    <v>648</v>
    <v>12</v>
    <v>Strehaia</v>
    <v>5</v>
    <v>6</v>
    <v>Map</v>
    <v>7</v>
    <v>8</v>
    <v>98</v>
    <v>2648</v>
    <v>26</v>
    <v>Strehaia is a town in Mehedinți County, Oltenia, Romania. It is situated on the Motru River valley, in the eastern part of the county. Nine villages are administered by the town: Ciochiuța, Comanda, Hurducești, Lunca Banului, Menți, Motruleni, ...</v>
    <v>2649</v>
    <v>2650</v>
    <v>2652</v>
    <v>2653</v>
    <v>2654</v>
    <v>Strehaia</v>
    <v>2655</v>
    <v>7</v>
    <v>Strehaia</v>
    <v>mdp/vdpid/7241817532166832129</v>
  </rv>
  <rv s="0">
    <v>536870912</v>
    <v>Rozavlea</v>
    <v>179fbc83-5cf2-4173-536c-fbbb4385a50e</v>
    <v>en-US</v>
    <v>Map</v>
  </rv>
  <rv s="1">
    <fb>41.44</fb>
    <v>9</v>
  </rv>
  <rv s="2">
    <v>280</v>
    <v>7</v>
    <v>649</v>
    <v>7</v>
    <v>0</v>
    <v>Image of Rozavlea</v>
  </rv>
  <rv s="1">
    <fb>47.746602000000003</fb>
    <v>14</v>
  </rv>
  <rv s="0">
    <v>805306368</v>
    <v>Vasile Mîrza (Mayor)</v>
    <v>ecc2cca7-1dcf-ead2-a5b2-b9e75932124a</v>
    <v>en-US</v>
    <v>Generic</v>
  </rv>
  <rv s="4">
    <v>223</v>
  </rv>
  <rv s="3">
    <v>https://www.bing.com/search?q=rozavlea+romania&amp;form=skydnc</v>
    <v>Learn more on Bing</v>
  </rv>
  <rv s="1">
    <fb>24.218122000000001</fb>
    <v>14</v>
  </rv>
  <rv s="1">
    <fb>2986</fb>
    <v>9</v>
  </rv>
  <rv s="6">
    <v>#VALUE!</v>
    <v>en-US</v>
    <v>179fbc83-5cf2-4173-536c-fbbb4385a50e</v>
    <v>536870912</v>
    <v>1</v>
    <v>650</v>
    <v>12</v>
    <v>Rozavlea</v>
    <v>5</v>
    <v>6</v>
    <v>Map</v>
    <v>7</v>
    <v>8</v>
    <v>236</v>
    <v>2658</v>
    <v>26</v>
    <v>Rozavlea is a commune in Maramureș County, Maramureș, Romania. It is composed of two villages, Rozalvea and Sâlța. The commune is located in the east-central part of Maramureș County, on the right bank of the Iza River. It lies at an altitude of ...</v>
    <v>2659</v>
    <v>2660</v>
    <v>2662</v>
    <v>2663</v>
    <v>2664</v>
    <v>Rozavlea</v>
    <v>2665</v>
    <v>7</v>
    <v>Rozavlea</v>
    <v>mdp/vdpid/7049402730816733185</v>
  </rv>
  <rv s="0">
    <v>536870912</v>
    <v>Dărmănești</v>
    <v>9fabe14c-9cc5-17f9-3b63-ff82a447ae66</v>
    <v>en-US</v>
    <v>Map</v>
  </rv>
  <rv s="0">
    <v>536870912</v>
    <v>Bacău County</v>
    <v>61b312d7-17c7-cfe6-4e56-77816817f56b</v>
    <v>en-US</v>
    <v>Map</v>
  </rv>
  <rv s="1">
    <fb>270.43</fb>
    <v>9</v>
  </rv>
  <rv s="2">
    <v>281</v>
    <v>7</v>
    <v>651</v>
    <v>7</v>
    <v>0</v>
    <v>Image of Dărmănești</v>
  </rv>
  <rv s="1">
    <fb>46.37</fb>
    <v>14</v>
  </rv>
  <rv s="0">
    <v>805306368</v>
    <v>Toma Constantin (Mayor)</v>
    <v>e6d84f70-42d7-ee15-6666-ad85fd8275f6</v>
    <v>en-US</v>
    <v>Generic</v>
  </rv>
  <rv s="4">
    <v>224</v>
  </rv>
  <rv s="3">
    <v>https://www.bing.com/search?q=d%c4%83rm%c4%83ne%c8%99ti+romania&amp;form=skydnc</v>
    <v>Learn more on Bing</v>
  </rv>
  <rv s="1">
    <fb>26.479722222222001</fb>
    <v>14</v>
  </rv>
  <rv s="1">
    <fb>13069</fb>
    <v>9</v>
  </rv>
  <rv s="8">
    <v>#VALUE!</v>
    <v>en-US</v>
    <v>9fabe14c-9cc5-17f9-3b63-ff82a447ae66</v>
    <v>536870912</v>
    <v>1</v>
    <v>652</v>
    <v>31</v>
    <v>Dărmănești</v>
    <v>5</v>
    <v>6</v>
    <v>Map</v>
    <v>7</v>
    <v>8</v>
    <v>2668</v>
    <v>2668</v>
    <v>2669</v>
    <v>26</v>
    <v>Dărmănești is a town in eastern Romania, in Bacău County, in the valleys of the Trotuș and Uz rivers. The town is named after one of its leaders, "Dărman" and the earliest reference to the town is from the 16th century. As of 2021, it has a ...</v>
    <v>2670</v>
    <v>2671</v>
    <v>2673</v>
    <v>2674</v>
    <v>2675</v>
    <v>Dărmănești</v>
    <v>2676</v>
    <v>7</v>
    <v>Dărmănești</v>
    <v>mdp/vdpid/7050148368042950657</v>
  </rv>
  <rv s="0">
    <v>536870912</v>
    <v>Sútor</v>
    <v>e86f013f-5c16-72c1-46ab-76bf33c4b837</v>
    <v>en-US</v>
    <v>Map</v>
  </rv>
  <rv s="0">
    <v>536870912</v>
    <v>Banská Bystrica Region</v>
    <v>2e442f08-059f-48a2-8f6e-cbe382c50935</v>
    <v>en-US</v>
    <v>Map</v>
  </rv>
  <rv s="0">
    <v>536870912</v>
    <v>Rimavská Sobota District</v>
    <v>5c7c01ad-4999-1486-4e40-d6df165bc980</v>
    <v>en-US</v>
    <v>Map</v>
  </rv>
  <rv s="1">
    <fb>13.259553</fb>
    <v>9</v>
  </rv>
  <rv s="0">
    <v>536870912</v>
    <v>Slovakia</v>
    <v>edb4720a-f85f-2ef3-4669-e9de895513b0</v>
    <v>en-US</v>
    <v>Map</v>
  </rv>
  <rv s="2">
    <v>282</v>
    <v>7</v>
    <v>653</v>
    <v>7</v>
    <v>0</v>
    <v>Image of Sútor</v>
  </rv>
  <rv s="1">
    <fb>48.351700000000001</fb>
    <v>14</v>
  </rv>
  <rv s="3">
    <v>https://www.bing.com/search?q=s%c3%bator+slovakia&amp;form=skydnc</v>
    <v>Learn more on Bing</v>
  </rv>
  <rv s="1">
    <fb>20.122</fb>
    <v>14</v>
  </rv>
  <rv s="1">
    <fb>706</fb>
    <v>9</v>
  </rv>
  <rv s="20">
    <v>#VALUE!</v>
    <v>en-US</v>
    <v>e86f013f-5c16-72c1-46ab-76bf33c4b837</v>
    <v>536870912</v>
    <v>1</v>
    <v>654</v>
    <v>460</v>
    <v>Sútor</v>
    <v>5</v>
    <v>6</v>
    <v>Map</v>
    <v>7</v>
    <v>328</v>
    <v>2679</v>
    <v>2680</v>
    <v>2681</v>
    <v>2682</v>
    <v>Sútor is a village and municipality in the Rimavská Sobota District of the Banská Bystrica Region of southern Slovakia. The municipality lies at an altitude of 205 metres and covers an area of 13.25 km².</v>
    <v>2683</v>
    <v>2684</v>
    <v>2685</v>
    <v>2686</v>
    <v>Sútor</v>
    <v>2687</v>
    <v>Sútor</v>
    <v>mdp/vdpid/7024288853506654209</v>
  </rv>
  <rv s="0">
    <v>536870912</v>
    <v>Mărișelu</v>
    <v>03580939-a35a-fd57-8a89-e5f352e1ceb7</v>
    <v>en-US</v>
    <v>Map</v>
  </rv>
  <rv s="1">
    <fb>71.680000000000007</fb>
    <v>9</v>
  </rv>
  <rv s="2">
    <v>283</v>
    <v>7</v>
    <v>655</v>
    <v>7</v>
    <v>0</v>
    <v>Image of Mărișelu</v>
  </rv>
  <rv s="1">
    <fb>47.029570999999997</fb>
    <v>14</v>
  </rv>
  <rv s="0">
    <v>805306368</v>
    <v>Horea-Călin Petruț (Mayor)</v>
    <v>dd06fda1-f3c3-f42c-0f76-a18095f88678</v>
    <v>en-US</v>
    <v>Generic</v>
  </rv>
  <rv s="4">
    <v>225</v>
  </rv>
  <rv s="3">
    <v>https://www.bing.com/search?q=m%c4%83ri%c8%99elu&amp;form=skydnc</v>
    <v>Learn more on Bing</v>
  </rv>
  <rv s="1">
    <fb>24.494094</fb>
    <v>14</v>
  </rv>
  <rv s="6">
    <v>#VALUE!</v>
    <v>en-US</v>
    <v>03580939-a35a-fd57-8a89-e5f352e1ceb7</v>
    <v>536870912</v>
    <v>1</v>
    <v>656</v>
    <v>12</v>
    <v>Mărișelu</v>
    <v>5</v>
    <v>6</v>
    <v>Map</v>
    <v>7</v>
    <v>8</v>
    <v>184</v>
    <v>2690</v>
    <v>26</v>
    <v>Mărișelu is a commune in Bistrița-Năsăud County, Transylvania, Romania. It is composed of seven villages: Bârla, Domnești, Jeica, Măgurele, Mărișelu, Nețeni, and Sântioana. The commune is situated on the Transylvanian Plateau, in the Nösnerland, ...</v>
    <v>2691</v>
    <v>2692</v>
    <v>2694</v>
    <v>2695</v>
    <v>2696</v>
    <v>Mărișelu</v>
    <v>1226</v>
    <v>7</v>
    <v>Mărișelu</v>
    <v>mdp/vdpid/7049482717687185409</v>
  </rv>
  <rv s="0">
    <v>536870912</v>
    <v>Bonțida</v>
    <v>a80fc8dd-fb45-cba3-7a99-cba26e2192f6</v>
    <v>en-US</v>
    <v>Map</v>
  </rv>
  <rv s="1">
    <fb>80.38</fb>
    <v>9</v>
  </rv>
  <rv s="2">
    <v>284</v>
    <v>7</v>
    <v>657</v>
    <v>7</v>
    <v>0</v>
    <v>Image of Bonțida</v>
  </rv>
  <rv s="1">
    <fb>46.902661000000002</fb>
    <v>14</v>
  </rv>
  <rv s="0">
    <v>805306368</v>
    <v>Emil Cărhaț (Mayor)</v>
    <v>b7fe7489-1124-e451-06dd-9669f7f04fe2</v>
    <v>en-US</v>
    <v>Generic</v>
  </rv>
  <rv s="4">
    <v>226</v>
  </rv>
  <rv s="3">
    <v>https://www.bing.com/search?q=bon%c8%9bida+romania&amp;form=skydnc</v>
    <v>Learn more on Bing</v>
  </rv>
  <rv s="1">
    <fb>23.818684999999999</fb>
    <v>14</v>
  </rv>
  <rv s="1">
    <fb>5191</fb>
    <v>9</v>
  </rv>
  <rv s="6">
    <v>#VALUE!</v>
    <v>en-US</v>
    <v>a80fc8dd-fb45-cba3-7a99-cba26e2192f6</v>
    <v>536870912</v>
    <v>1</v>
    <v>658</v>
    <v>12</v>
    <v>Bonțida</v>
    <v>5</v>
    <v>6</v>
    <v>Map</v>
    <v>7</v>
    <v>8</v>
    <v>615</v>
    <v>2699</v>
    <v>26</v>
    <v>Bonțida is a commune in Cluj County, Transylvania, Romania. It is composed of four villages: Bonțida, Coasta, Răscruci, and Tăușeni. The commune lies in the Transylvanian Plain, on the banks of the rivers Someșul Mic, Borșa, and Sicu. It is ...</v>
    <v>2700</v>
    <v>2701</v>
    <v>2703</v>
    <v>2704</v>
    <v>2705</v>
    <v>Bonțida</v>
    <v>2706</v>
    <v>7</v>
    <v>Bonțida</v>
    <v>mdp/vdpid/7049380417891205121</v>
  </rv>
  <rv s="0">
    <v>536870912</v>
    <v>Șimnicu de Sus</v>
    <v>69e118da-7439-bcea-d0ca-a5ec4ebf2e40</v>
    <v>en-US</v>
    <v>Map</v>
  </rv>
  <rv s="1">
    <fb>57.83</fb>
    <v>9</v>
  </rv>
  <rv s="2">
    <v>285</v>
    <v>7</v>
    <v>659</v>
    <v>7</v>
    <v>0</v>
    <v>Image of Șimnicu de Sus</v>
  </rv>
  <rv s="1">
    <fb>44.406305000000003</fb>
    <v>14</v>
  </rv>
  <rv s="0">
    <v>805306368</v>
    <v>Laurențiu Ifrim (Mayor)</v>
    <v>a5cfa550-de7b-8e0e-af8a-08f3b64f1919</v>
    <v>en-US</v>
    <v>Generic</v>
  </rv>
  <rv s="4">
    <v>227</v>
  </rv>
  <rv s="3">
    <v>https://www.bing.com/search?q=%c8%99imnicu+de+sus&amp;form=skydnc</v>
    <v>Learn more on Bing</v>
  </rv>
  <rv s="1">
    <fb>23.802391</fb>
    <v>14</v>
  </rv>
  <rv s="1">
    <fb>5733</fb>
    <v>9</v>
  </rv>
  <rv s="6">
    <v>#VALUE!</v>
    <v>en-US</v>
    <v>69e118da-7439-bcea-d0ca-a5ec4ebf2e40</v>
    <v>536870912</v>
    <v>1</v>
    <v>660</v>
    <v>12</v>
    <v>Șimnicu de Sus</v>
    <v>5</v>
    <v>6</v>
    <v>Map</v>
    <v>7</v>
    <v>8</v>
    <v>330</v>
    <v>2709</v>
    <v>26</v>
    <v>Șimnicu de Sus is a commune in Dolj County, Oltenia, Romania with a population of 5,733 people as of 2021. It is composed of twelve villages: Albești, Cornetu, Deleni, Dudovicești, Duțulești, Florești, Izvor, Jieni, Leșile, Milești, Românești, ...</v>
    <v>2710</v>
    <v>2711</v>
    <v>2713</v>
    <v>2714</v>
    <v>2715</v>
    <v>Șimnicu de Sus</v>
    <v>2716</v>
    <v>7</v>
    <v>Șimnicu de Sus</v>
    <v>mdp/vdpid/7241857625770426369</v>
  </rv>
  <rv s="0">
    <v>536870912</v>
    <v>Hoghiz</v>
    <v>73002825-05d4-31cd-b4e0-6f98bda30f17</v>
    <v>en-US</v>
    <v>Map</v>
  </rv>
  <rv s="1">
    <fb>174.16</fb>
    <v>9</v>
  </rv>
  <rv s="2">
    <v>286</v>
    <v>7</v>
    <v>661</v>
    <v>7</v>
    <v>0</v>
    <v>Image of Hoghiz</v>
  </rv>
  <rv s="1">
    <fb>45.986111000000001</fb>
    <v>14</v>
  </rv>
  <rv s="0">
    <v>805306368</v>
    <v>Ioan Buta (Mayor)</v>
    <v>dd8818f0-47fc-0a36-9b3a-dba42b3fdba0</v>
    <v>en-US</v>
    <v>Generic</v>
  </rv>
  <rv s="4">
    <v>228</v>
  </rv>
  <rv s="3">
    <v>https://www.bing.com/search?q=hoghiz&amp;form=skydnc</v>
    <v>Learn more on Bing</v>
  </rv>
  <rv s="1">
    <fb>25.309722000000001</fb>
    <v>14</v>
  </rv>
  <rv s="1">
    <fb>4896</fb>
    <v>9</v>
  </rv>
  <rv s="6">
    <v>#VALUE!</v>
    <v>en-US</v>
    <v>73002825-05d4-31cd-b4e0-6f98bda30f17</v>
    <v>536870912</v>
    <v>1</v>
    <v>662</v>
    <v>12</v>
    <v>Hoghiz</v>
    <v>5</v>
    <v>6</v>
    <v>Map</v>
    <v>7</v>
    <v>8</v>
    <v>158</v>
    <v>2719</v>
    <v>26</v>
    <v>Hoghiz is a commune in Brașov County, Transylvania, Romania. It is composed of six villages: Bogata Olteană, Cuciulata, Dopca, Fântâna, Hoghiz and Lupșa. The commune is situated on the Transylvanian Plateau, on the left bank of the Olt River. It ...</v>
    <v>2720</v>
    <v>2721</v>
    <v>2723</v>
    <v>2724</v>
    <v>2725</v>
    <v>Hoghiz</v>
    <v>2726</v>
    <v>7</v>
    <v>Hoghiz</v>
    <v>mdp/vdpid/7049746326942121985</v>
  </rv>
  <rv s="0">
    <v>536870912</v>
    <v>Periam</v>
    <v>16c41b22-9894-c95e-56a6-71644ed6a815</v>
    <v>en-US</v>
    <v>Map</v>
  </rv>
  <rv s="1">
    <fb>64.47</fb>
    <v>9</v>
  </rv>
  <rv s="2">
    <v>287</v>
    <v>7</v>
    <v>663</v>
    <v>7</v>
    <v>0</v>
    <v>Image of Periam</v>
  </rv>
  <rv s="1">
    <fb>46.027985000000001</fb>
    <v>14</v>
  </rv>
  <rv s="0">
    <v>805306368</v>
    <v>Cornel Dumitraș (Mayor)</v>
    <v>666d0dce-9b88-8b26-6ef7-a3592183e316</v>
    <v>en-US</v>
    <v>Generic</v>
  </rv>
  <rv s="4">
    <v>229</v>
  </rv>
  <rv s="3">
    <v>https://www.bing.com/search?q=periam+romania&amp;form=skydnc</v>
    <v>Learn more on Bing</v>
  </rv>
  <rv s="1">
    <fb>20.893052000000001</fb>
    <v>14</v>
  </rv>
  <rv s="1">
    <fb>4196</fb>
    <v>9</v>
  </rv>
  <rv s="6">
    <v>#VALUE!</v>
    <v>en-US</v>
    <v>16c41b22-9894-c95e-56a6-71644ed6a815</v>
    <v>536870912</v>
    <v>1</v>
    <v>664</v>
    <v>12</v>
    <v>Periam</v>
    <v>5</v>
    <v>6</v>
    <v>Map</v>
    <v>7</v>
    <v>8</v>
    <v>269</v>
    <v>2729</v>
    <v>26</v>
    <v>Periam is a commune in Timiș County, Romania. It is composed of a single village, Periam, and also included Pesac until it broke off as a separate commune in 2007. Periam is located in the northwest of the Banat Plain, in a subdivision of the ...</v>
    <v>2730</v>
    <v>2731</v>
    <v>2733</v>
    <v>2734</v>
    <v>2735</v>
    <v>Periam</v>
    <v>2736</v>
    <v>7</v>
    <v>Periam</v>
    <v>mdp/vdpid/7025396121660817409</v>
  </rv>
  <rv s="0">
    <v>536870912</v>
    <v>Vânători, Mureș</v>
    <v>22605fd6-5e32-6884-d3dc-317f07b6be70</v>
    <v>en-US</v>
    <v>Map</v>
  </rv>
  <rv s="1">
    <fb>111.73</fb>
    <v>9</v>
  </rv>
  <rv s="2">
    <v>288</v>
    <v>7</v>
    <v>665</v>
    <v>7</v>
    <v>0</v>
    <v>Image of Vânători, Mureș</v>
  </rv>
  <rv s="1">
    <fb>46.215688</fb>
    <v>14</v>
  </rv>
  <rv s="0">
    <v>805306368</v>
    <v>Mircea Augustin Felegean (Mayor)</v>
    <v>ed8bf7e0-daa4-1d52-0671-1880e37cd003</v>
    <v>en-US</v>
    <v>Generic</v>
  </rv>
  <rv s="4">
    <v>230</v>
  </rv>
  <rv s="1">
    <fb>25.043958</fb>
    <v>14</v>
  </rv>
  <rv s="1">
    <fb>4131</fb>
    <v>9</v>
  </rv>
  <rv s="19">
    <v>#VALUE!</v>
    <v>en-US</v>
    <v>22605fd6-5e32-6884-d3dc-317f07b6be70</v>
    <v>536870912</v>
    <v>1</v>
    <v>666</v>
    <v>358</v>
    <v>Vânători, Mureș</v>
    <v>194</v>
    <v>6</v>
    <v>Map</v>
    <v>7</v>
    <v>8</v>
    <v>434</v>
    <v>2739</v>
    <v>26</v>
    <v>Vânători is a commune in Mureș County, Transylvania, Romania. It is composed of five villages: Archita, Feleag, Mureni, Șoard, and Vânători. The route of the Via Transilvanica long-distance trail passes through the village of Archita.</v>
    <v>2740</v>
    <v>2741</v>
    <v>2743</v>
    <v>2744</v>
    <v>Vânători, Mureș</v>
    <v>2745</v>
    <v>7</v>
    <v>Vânători, Mureș</v>
    <v>mdp/vdpid/7049721075336216577</v>
  </rv>
  <rv s="0">
    <v>536870912</v>
    <v>Cincu</v>
    <v>8a39ce27-21e1-02d9-dd99-666a85486ee7</v>
    <v>en-US</v>
    <v>Map</v>
  </rv>
  <rv s="1">
    <fb>117.19</fb>
    <v>9</v>
  </rv>
  <rv s="2">
    <v>289</v>
    <v>7</v>
    <v>667</v>
    <v>7</v>
    <v>0</v>
    <v>Image of Cincu</v>
  </rv>
  <rv s="1">
    <fb>45.914166666667001</fb>
    <v>14</v>
  </rv>
  <rv s="0">
    <v>805306368</v>
    <v>Gheorghe Mirca (Mayor)</v>
    <v>04189055-53c3-ae32-c0e3-3eb6c0e8bc21</v>
    <v>en-US</v>
    <v>Generic</v>
  </rv>
  <rv s="4">
    <v>231</v>
  </rv>
  <rv s="3">
    <v>https://www.bing.com/search?q=cincu+romania&amp;form=skydnc</v>
    <v>Learn more on Bing</v>
  </rv>
  <rv s="1">
    <fb>24.804722222222001</fb>
    <v>14</v>
  </rv>
  <rv s="1">
    <fb>1681</fb>
    <v>9</v>
  </rv>
  <rv s="6">
    <v>#VALUE!</v>
    <v>en-US</v>
    <v>8a39ce27-21e1-02d9-dd99-666a85486ee7</v>
    <v>536870912</v>
    <v>1</v>
    <v>668</v>
    <v>12</v>
    <v>Cincu</v>
    <v>5</v>
    <v>6</v>
    <v>Map</v>
    <v>7</v>
    <v>8</v>
    <v>158</v>
    <v>2748</v>
    <v>26</v>
    <v>Cincu is a commune in Brașov County, Transylvania, Romania. It is composed of two villages, Cincu and Toarcla. Each of these has a fortified church. The commune is located in the northwestern part of the county, on the border with Sibiu County. ...</v>
    <v>2749</v>
    <v>2750</v>
    <v>2752</v>
    <v>2753</v>
    <v>2754</v>
    <v>Cincu</v>
    <v>2755</v>
    <v>7</v>
    <v>Cincu</v>
    <v>mdp/vdpid/7049741097701998593</v>
  </rv>
  <rv s="0">
    <v>536870912</v>
    <v>Orăștie</v>
    <v>2efb0401-7604-2bd7-6df8-8511921334db</v>
    <v>en-US</v>
    <v>Map</v>
  </rv>
  <rv s="1">
    <fb>38.619999999999997</fb>
    <v>9</v>
  </rv>
  <rv s="2">
    <v>290</v>
    <v>7</v>
    <v>669</v>
    <v>7</v>
    <v>0</v>
    <v>Image of Orăștie</v>
  </rv>
  <rv s="1">
    <fb>45.840277777777999</fb>
    <v>14</v>
  </rv>
  <rv s="0">
    <v>805306368</v>
    <v>Ovidiu-Laurențiu Bălan (Mayor)</v>
    <v>7963acdd-3dd5-3588-5939-25a4ac5933df</v>
    <v>en-US</v>
    <v>Generic</v>
  </rv>
  <rv s="4">
    <v>232</v>
  </rv>
  <rv s="3">
    <v>https://www.bing.com/search?q=or%c4%83%c8%99tie+romania&amp;form=skydnc</v>
    <v>Learn more on Bing</v>
  </rv>
  <rv s="1">
    <fb>23.199444444444001</fb>
    <v>14</v>
  </rv>
  <rv s="1">
    <fb>16825</fb>
    <v>9</v>
  </rv>
  <rv s="6">
    <v>#VALUE!</v>
    <v>en-US</v>
    <v>2efb0401-7604-2bd7-6df8-8511921334db</v>
    <v>536870912</v>
    <v>1</v>
    <v>670</v>
    <v>12</v>
    <v>Orăștie</v>
    <v>5</v>
    <v>6</v>
    <v>Map</v>
    <v>7</v>
    <v>8</v>
    <v>391</v>
    <v>2758</v>
    <v>26</v>
    <v>Orăștie is a small town and municipality in Hunedoara County, south-western Transylvania, central Romania. 7th–9th century – On the site of an old swamp was a human settlement, now the location of the old town center, whose remains can be traced ...</v>
    <v>2759</v>
    <v>2760</v>
    <v>2762</v>
    <v>2763</v>
    <v>2764</v>
    <v>Orăștie</v>
    <v>2765</v>
    <v>7</v>
    <v>Orăștie</v>
    <v>mdp/vdpid/7049574527679856641</v>
  </rv>
  <rv s="0">
    <v>536870912</v>
    <v>Gherța Mică</v>
    <v>adbf7581-741a-cf99-ccac-cb9dbc200844</v>
    <v>en-US</v>
    <v>Map</v>
  </rv>
  <rv s="1">
    <fb>38.85</fb>
    <v>9</v>
  </rv>
  <rv s="2">
    <v>291</v>
    <v>7</v>
    <v>671</v>
    <v>7</v>
    <v>0</v>
    <v>Image of Gherța Mică</v>
  </rv>
  <rv s="1">
    <fb>47.943801000000001</fb>
    <v>14</v>
  </rv>
  <rv s="0">
    <v>805306368</v>
    <v>Ioan Ciuta (Mayor)</v>
    <v>604ad9bf-bf48-2180-bc56-bd7eb2493635</v>
    <v>en-US</v>
    <v>Generic</v>
  </rv>
  <rv s="4">
    <v>233</v>
  </rv>
  <rv s="3">
    <v>https://www.bing.com/search?q=gher%c8%9ba+mic%c4%83+romania&amp;form=skydnc</v>
    <v>Learn more on Bing</v>
  </rv>
  <rv s="1">
    <fb>23.220424000000001</fb>
    <v>14</v>
  </rv>
  <rv s="1">
    <fb>3881</fb>
    <v>9</v>
  </rv>
  <rv s="6">
    <v>#VALUE!</v>
    <v>en-US</v>
    <v>adbf7581-741a-cf99-ccac-cb9dbc200844</v>
    <v>536870912</v>
    <v>1</v>
    <v>672</v>
    <v>12</v>
    <v>Gherța Mică</v>
    <v>5</v>
    <v>6</v>
    <v>Map</v>
    <v>7</v>
    <v>8</v>
    <v>512</v>
    <v>2768</v>
    <v>26</v>
    <v>Gherța Mică is a commune situated in Satu Mare County, Romania. It is composed of a single village, Gherța Mică. The commune is situated in the Țara Oașului ethnocultural and historical region in the northeastern part of Satu Mare County. It ...</v>
    <v>2769</v>
    <v>2770</v>
    <v>2772</v>
    <v>2773</v>
    <v>2774</v>
    <v>Gherța Mică</v>
    <v>2775</v>
    <v>7</v>
    <v>Gherța Mică</v>
    <v>mdp/vdpid/7048542936362909697</v>
  </rv>
  <rv s="0">
    <v>536870912</v>
    <v>Ciofrângeni</v>
    <v>df45925b-b627-54f1-74ce-99da761806cb</v>
    <v>en-US</v>
    <v>Map</v>
  </rv>
  <rv s="1">
    <fb>43.35</fb>
    <v>9</v>
  </rv>
  <rv s="2">
    <v>292</v>
    <v>7</v>
    <v>673</v>
    <v>7</v>
    <v>0</v>
    <v>Image of Ciofrângeni</v>
  </rv>
  <rv s="1">
    <fb>45.103318999999999</fb>
    <v>14</v>
  </rv>
  <rv s="0">
    <v>805306368</v>
    <v>Dorin-Florin Panțeru (Mayor)</v>
    <v>4776837e-55b2-4697-6910-87642066012c</v>
    <v>en-US</v>
    <v>Generic</v>
  </rv>
  <rv s="4">
    <v>234</v>
  </rv>
  <rv s="3">
    <v>https://www.bing.com/search?q=ciofr%c3%a2ngeni+romania&amp;form=skydnc</v>
    <v>Learn more on Bing</v>
  </rv>
  <rv s="1">
    <fb>24.549500999999999</fb>
    <v>14</v>
  </rv>
  <rv s="1">
    <fb>1980</fb>
    <v>9</v>
  </rv>
  <rv s="6">
    <v>#VALUE!</v>
    <v>en-US</v>
    <v>df45925b-b627-54f1-74ce-99da761806cb</v>
    <v>536870912</v>
    <v>1</v>
    <v>674</v>
    <v>12</v>
    <v>Ciofrângeni</v>
    <v>5</v>
    <v>6</v>
    <v>Map</v>
    <v>7</v>
    <v>8</v>
    <v>18</v>
    <v>2778</v>
    <v>26</v>
    <v>Ciofrângeni is a commune in Argeș County, Muntenia, Romania. It is composed of five villages: Burluși, Ciofrângeni, Lacurile, Piatra, and Schitu-Matei. The commune lies in the Wallachian Plain, on the banks of the Topolog River. It is located in ...</v>
    <v>2779</v>
    <v>2780</v>
    <v>2782</v>
    <v>2783</v>
    <v>2784</v>
    <v>Ciofrângeni</v>
    <v>2785</v>
    <v>7</v>
    <v>Ciofrângeni</v>
    <v>mdp/vdpid/7049785805358759937</v>
  </rv>
  <rv s="0">
    <v>536870912</v>
    <v>Sandra, Estonia</v>
    <v>715793de-0df5-68d7-f458-7f1c219a1d25</v>
    <v>en-US</v>
    <v>Map</v>
  </rv>
  <rv s="0">
    <v>536870912</v>
    <v>Viljandi County</v>
    <v>311e5af3-3de1-11b4-f8c4-a831bbb9981f</v>
    <v>en-US</v>
    <v>Map</v>
  </rv>
  <rv s="0">
    <v>536870912</v>
    <v>Suure-Jaani Parish</v>
    <v>073d6472-c2f9-980b-69a8-fa84956a1481</v>
    <v>en-US</v>
    <v>Map</v>
  </rv>
  <rv s="1">
    <fb>173.12</fb>
    <v>9</v>
  </rv>
  <rv s="0">
    <v>536870912</v>
    <v>Estonia</v>
    <v>f0376b26-dffc-a05d-34b7-ffeabc3bf31b</v>
    <v>en-US</v>
    <v>Map</v>
  </rv>
  <rv s="2">
    <v>293</v>
    <v>7</v>
    <v>675</v>
    <v>7</v>
    <v>0</v>
    <v>Image of Sandra, Estonia</v>
  </rv>
  <rv s="1">
    <fb>58.425833333333003</fb>
    <v>14</v>
  </rv>
  <rv s="3">
    <v>https://www.bing.com/search?q=sandra%2c+estonia&amp;form=skydnc</v>
    <v>Learn more on Bing</v>
  </rv>
  <rv s="1">
    <fb>25.150277777778001</fb>
    <v>14</v>
  </rv>
  <rv s="1">
    <fb>28</fb>
    <v>9</v>
  </rv>
  <rv s="20">
    <v>#VALUE!</v>
    <v>en-US</v>
    <v>715793de-0df5-68d7-f458-7f1c219a1d25</v>
    <v>536870912</v>
    <v>1</v>
    <v>676</v>
    <v>460</v>
    <v>Sandra, Estonia</v>
    <v>5</v>
    <v>6</v>
    <v>Map</v>
    <v>7</v>
    <v>677</v>
    <v>2788</v>
    <v>2789</v>
    <v>2790</v>
    <v>2791</v>
    <v>Sandra is a village in Põhja-Sakala Parish, Viljandi County, Estonia. It has a population of 28. Sandra is located in the Soomaa National Park. Due to large wetland areas being included in its boundaries, Sandra is the largest village by area in ...</v>
    <v>2792</v>
    <v>2793</v>
    <v>2794</v>
    <v>2795</v>
    <v>Sandra, Estonia</v>
    <v>2796</v>
    <v>Sandra, Estonia</v>
    <v>mdp/vdpid/7031454945454850049</v>
  </rv>
  <rv s="0">
    <v>536870912</v>
    <v>Berbești</v>
    <v>86766393-55a6-fb88-1ba3-c88b6d574a43</v>
    <v>en-US</v>
    <v>Map</v>
  </rv>
  <rv s="1">
    <fb>54.34</fb>
    <v>9</v>
  </rv>
  <rv s="2">
    <v>294</v>
    <v>7</v>
    <v>678</v>
    <v>7</v>
    <v>0</v>
    <v>Image of Berbești</v>
  </rv>
  <rv s="1">
    <fb>44.988183333332998</fb>
    <v>14</v>
  </rv>
  <rv s="0">
    <v>805306368</v>
    <v>Petre Glomnicu (Mayor)</v>
    <v>d9b0b34e-de73-1b8b-f378-0ab3c66eb832</v>
    <v>en-US</v>
    <v>Generic</v>
  </rv>
  <rv s="4">
    <v>235</v>
  </rv>
  <rv s="3">
    <v>https://www.bing.com/search?q=berbe%c8%99ti+romania&amp;form=skydnc</v>
    <v>Learn more on Bing</v>
  </rv>
  <rv s="1">
    <fb>23.868219444444001</fb>
    <v>14</v>
  </rv>
  <rv s="1">
    <fb>4231</fb>
    <v>9</v>
  </rv>
  <rv s="6">
    <v>#VALUE!</v>
    <v>en-US</v>
    <v>86766393-55a6-fb88-1ba3-c88b6d574a43</v>
    <v>536870912</v>
    <v>1</v>
    <v>679</v>
    <v>12</v>
    <v>Berbești</v>
    <v>5</v>
    <v>6</v>
    <v>Map</v>
    <v>7</v>
    <v>8</v>
    <v>495</v>
    <v>2799</v>
    <v>26</v>
    <v>Berbești is a town located in Vâlcea County, Romania, about 78 km south-west from the county seat, Râmnicu Vâlcea, in the historical region of Oltenia. It was granted town status by law in October 2003. As of the 2021 census, it has a population ...</v>
    <v>2800</v>
    <v>2801</v>
    <v>2803</v>
    <v>2804</v>
    <v>2805</v>
    <v>Berbești</v>
    <v>2806</v>
    <v>7</v>
    <v>Berbești</v>
    <v>mdp/vdpid/7241835098599849985</v>
  </rv>
  <rv s="0">
    <v>536870912</v>
    <v>Chisindia</v>
    <v>609c5de0-4515-21cd-7cde-2cc960205412</v>
    <v>en-US</v>
    <v>Map</v>
  </rv>
  <rv s="1">
    <fb>129.28</fb>
    <v>9</v>
  </rv>
  <rv s="2">
    <v>295</v>
    <v>7</v>
    <v>680</v>
    <v>7</v>
    <v>0</v>
    <v>Image of Chisindia</v>
  </rv>
  <rv s="1">
    <fb>46.236490000000003</fb>
    <v>14</v>
  </rv>
  <rv s="3">
    <v>https://www.bing.com/search?q=chisindia+romania&amp;form=skydnc</v>
    <v>Learn more on Bing</v>
  </rv>
  <rv s="1">
    <fb>22.119322</fb>
    <v>14</v>
  </rv>
  <rv s="1">
    <fb>1146</fb>
    <v>9</v>
  </rv>
  <rv s="9">
    <v>#VALUE!</v>
    <v>en-US</v>
    <v>609c5de0-4515-21cd-7cde-2cc960205412</v>
    <v>536870912</v>
    <v>1</v>
    <v>681</v>
    <v>70</v>
    <v>Chisindia</v>
    <v>5</v>
    <v>6</v>
    <v>Map</v>
    <v>7</v>
    <v>8</v>
    <v>120</v>
    <v>2809</v>
    <v>26</v>
    <v>Chisindia is a commune in Arad County, Romania.Chisindia lies in the southern part of the Sebiș Basin, at the foot of the Cuedului Hills, and it has a surface of 12928 ha. It is composed of three villages: Chisindia, Păiușeni and Văsoaia.</v>
    <v>2810</v>
    <v>2811</v>
    <v>2812</v>
    <v>2813</v>
    <v>Chisindia</v>
    <v>2814</v>
    <v>7</v>
    <v>Chisindia</v>
    <v>mdp/vdpid/7025523184644390913</v>
  </rv>
  <rv s="0">
    <v>536870912</v>
    <v>Șimian, Mehedinți</v>
    <v>f1f460bc-5936-3092-a045-f0eac224b911</v>
    <v>en-US</v>
    <v>Map</v>
  </rv>
  <rv s="1">
    <fb>65.489999999999995</fb>
    <v>9</v>
  </rv>
  <rv s="2">
    <v>296</v>
    <v>7</v>
    <v>682</v>
    <v>7</v>
    <v>0</v>
    <v>Image of Șimian, Mehedinți</v>
  </rv>
  <rv s="1">
    <fb>44.63232</fb>
    <v>14</v>
  </rv>
  <rv s="0">
    <v>805306368</v>
    <v>Constantin Trușcă (Mayor)</v>
    <v>865a9015-f83a-c8bf-dcba-0e553e989af8</v>
    <v>en-US</v>
    <v>Generic</v>
  </rv>
  <rv s="4">
    <v>236</v>
  </rv>
  <rv s="1">
    <fb>22.751512000000002</fb>
    <v>14</v>
  </rv>
  <rv s="1">
    <fb>10021</fb>
    <v>9</v>
  </rv>
  <rv s="19">
    <v>#VALUE!</v>
    <v>en-US</v>
    <v>f1f460bc-5936-3092-a045-f0eac224b911</v>
    <v>536870912</v>
    <v>1</v>
    <v>683</v>
    <v>358</v>
    <v>Șimian, Mehedinți</v>
    <v>194</v>
    <v>6</v>
    <v>Map</v>
    <v>7</v>
    <v>8</v>
    <v>98</v>
    <v>2817</v>
    <v>26</v>
    <v>Șimian is a commune located in Mehedinți County, Oltenia, Romania. It is composed of eight villages: Cerneți, Dedovița Nouă, Dedovița Veche, Dudașu, Erghevița, Poroina, Șimian, and Valea Copcii. This Mehedinți County location article is a stub. ...</v>
    <v>2818</v>
    <v>2819</v>
    <v>2821</v>
    <v>2822</v>
    <v>Șimian, Mehedinți</v>
    <v>2823</v>
    <v>7</v>
    <v>Șimian, Mehedinți</v>
    <v>mdp/vdpid/7241808118185721857</v>
  </rv>
  <rv s="0">
    <v>536870912</v>
    <v>Săpânța</v>
    <v>4d494c20-84a3-3813-0fc5-ab4d48f1466b</v>
    <v>en-US</v>
    <v>Map</v>
  </rv>
  <rv s="1">
    <fb>139.13999999999999</fb>
    <v>9</v>
  </rv>
  <rv s="2">
    <v>297</v>
    <v>7</v>
    <v>684</v>
    <v>7</v>
    <v>0</v>
    <v>Image of Săpânța</v>
  </rv>
  <rv s="1">
    <fb>47.919941999999999</fb>
    <v>14</v>
  </rv>
  <rv s="0">
    <v>805306368</v>
    <v>Gheorghe Stan (Mayor)</v>
    <v>db4ea016-51ce-8b82-b9c9-bee4c3e0460a</v>
    <v>en-US</v>
    <v>Generic</v>
  </rv>
  <rv s="4">
    <v>237</v>
  </rv>
  <rv s="3">
    <v>https://www.bing.com/search?q=s%c4%83p%c3%a2n%c8%9ba+romania&amp;form=skydnc</v>
    <v>Learn more on Bing</v>
  </rv>
  <rv s="1">
    <fb>23.670345000000001</fb>
    <v>14</v>
  </rv>
  <rv s="1">
    <fb>3031</fb>
    <v>9</v>
  </rv>
  <rv s="6">
    <v>#VALUE!</v>
    <v>en-US</v>
    <v>4d494c20-84a3-3813-0fc5-ab4d48f1466b</v>
    <v>536870912</v>
    <v>1</v>
    <v>685</v>
    <v>12</v>
    <v>Săpânța</v>
    <v>5</v>
    <v>6</v>
    <v>Map</v>
    <v>7</v>
    <v>8</v>
    <v>236</v>
    <v>2826</v>
    <v>26</v>
    <v>Săpânța is a commune of 3,365 inhabitants situated in Maramureș County, Romania, 15 kilometers northwest of Sighetu Marmației at the northern foothills of the Gutâi Mountains and at the confluence of the Săpânța and Tisza rivers, less than one ...</v>
    <v>2827</v>
    <v>2828</v>
    <v>2830</v>
    <v>2831</v>
    <v>2832</v>
    <v>Săpânța</v>
    <v>2833</v>
    <v>7</v>
    <v>Săpânța</v>
    <v>mdp/vdpid/7048551847346307073</v>
  </rv>
  <rv s="0">
    <v>536870912</v>
    <v>Jebel, Timiș</v>
    <v>5f30f209-8221-6645-c7b2-97dba4d7d123</v>
    <v>en-US</v>
    <v>Map</v>
  </rv>
  <rv s="1">
    <fb>78.41</fb>
    <v>9</v>
  </rv>
  <rv s="2">
    <v>298</v>
    <v>7</v>
    <v>686</v>
    <v>7</v>
    <v>0</v>
    <v>Image of Jebel, Timiș</v>
  </rv>
  <rv s="1">
    <fb>45.547351999999997</fb>
    <v>14</v>
  </rv>
  <rv s="0">
    <v>805306368</v>
    <v>Dan-Ciprian Vatriș (Mayor)</v>
    <v>786a6d49-54d9-0a4f-1ee5-630214c88290</v>
    <v>en-US</v>
    <v>Generic</v>
  </rv>
  <rv s="4">
    <v>238</v>
  </rv>
  <rv s="1">
    <fb>21.228462</fb>
    <v>14</v>
  </rv>
  <rv s="1">
    <fb>3781</fb>
    <v>9</v>
  </rv>
  <rv s="19">
    <v>#VALUE!</v>
    <v>en-US</v>
    <v>5f30f209-8221-6645-c7b2-97dba4d7d123</v>
    <v>536870912</v>
    <v>1</v>
    <v>687</v>
    <v>358</v>
    <v>Jebel, Timiș</v>
    <v>194</v>
    <v>6</v>
    <v>Map</v>
    <v>7</v>
    <v>8</v>
    <v>269</v>
    <v>2836</v>
    <v>26</v>
    <v>Jebel is a commune in Timiș County, Romania. It is composed of a single village, Jebel, and also included the village of Pădureni until 2004, when it was split off to form a separate commune. Jebel was first mentioned in papal tithes in 1334 ...</v>
    <v>2837</v>
    <v>2838</v>
    <v>2840</v>
    <v>2841</v>
    <v>Jebel, Timiș</v>
    <v>2842</v>
    <v>7</v>
    <v>Jebel, Timiș</v>
    <v>mdp/vdpid/7025547032064425985</v>
  </rv>
  <rv s="0">
    <v>536870912</v>
    <v>Vetiș</v>
    <v>be0f7558-0495-e1dc-c11d-f140189cf816</v>
    <v>en-US</v>
    <v>Map</v>
  </rv>
  <rv s="1">
    <fb>54.29</fb>
    <v>9</v>
  </rv>
  <rv s="2">
    <v>299</v>
    <v>7</v>
    <v>688</v>
    <v>7</v>
    <v>0</v>
    <v>Image of Vetiș</v>
  </rv>
  <rv s="1">
    <fb>47.771715</fb>
    <v>14</v>
  </rv>
  <rv s="0">
    <v>805306368</v>
    <v>Ionel-Daniel Codrea (Mayor)</v>
    <v>1042c090-4483-254a-41e7-3c157d50f3ca</v>
    <v>en-US</v>
    <v>Generic</v>
  </rv>
  <rv s="4">
    <v>239</v>
  </rv>
  <rv s="3">
    <v>https://www.bing.com/search?q=veti%c8%99+romania&amp;form=skydnc</v>
    <v>Learn more on Bing</v>
  </rv>
  <rv s="1">
    <fb>22.752355999999999</fb>
    <v>14</v>
  </rv>
  <rv s="1">
    <fb>5384</fb>
    <v>9</v>
  </rv>
  <rv s="6">
    <v>#VALUE!</v>
    <v>en-US</v>
    <v>be0f7558-0495-e1dc-c11d-f140189cf816</v>
    <v>536870912</v>
    <v>1</v>
    <v>689</v>
    <v>12</v>
    <v>Vetiș</v>
    <v>5</v>
    <v>6</v>
    <v>Map</v>
    <v>7</v>
    <v>8</v>
    <v>512</v>
    <v>2845</v>
    <v>26</v>
    <v>Vetiș is a commune of 4,475 inhabitants situated in Satu Mare County, Romania. It is composed of three villages: Decebal, Oar, and Vetiș. The commune is located in the western part of the county, 9 km from the county seat, Satu Mare, on the ...</v>
    <v>2846</v>
    <v>2847</v>
    <v>2849</v>
    <v>2850</v>
    <v>2851</v>
    <v>Vetiș</v>
    <v>2852</v>
    <v>7</v>
    <v>Vetiș</v>
    <v>mdp/vdpid/7049262188363513857</v>
  </rv>
  <rv s="0">
    <v>536870912</v>
    <v>Desești</v>
    <v>e0fb1c16-da45-81a9-3d27-a97c23af95d0</v>
    <v>en-US</v>
    <v>Map</v>
  </rv>
  <rv s="2">
    <v>300</v>
    <v>7</v>
    <v>690</v>
    <v>7</v>
    <v>0</v>
    <v>Image of Desești</v>
  </rv>
  <rv s="1">
    <fb>47.767079000000003</fb>
    <v>14</v>
  </rv>
  <rv s="0">
    <v>805306368</v>
    <v>Gheorghe Bohotici (Mayor)</v>
    <v>e7273aa5-5372-c5f7-e833-80b5eccc40e5</v>
    <v>en-US</v>
    <v>Generic</v>
  </rv>
  <rv s="4">
    <v>240</v>
  </rv>
  <rv s="3">
    <v>https://www.bing.com/search?q=dese%c8%99ti+romania&amp;form=skydnc</v>
    <v>Learn more on Bing</v>
  </rv>
  <rv s="1">
    <fb>23.795728</fb>
    <v>14</v>
  </rv>
  <rv s="1">
    <fb>2179</fb>
    <v>9</v>
  </rv>
  <rv s="11">
    <v>#VALUE!</v>
    <v>en-US</v>
    <v>e0fb1c16-da45-81a9-3d27-a97c23af95d0</v>
    <v>536870912</v>
    <v>1</v>
    <v>691</v>
    <v>103</v>
    <v>Desești</v>
    <v>5</v>
    <v>6</v>
    <v>Map</v>
    <v>7</v>
    <v>104</v>
    <v>236</v>
    <v>26</v>
    <v>Desești is a commune in Maramureș County, Maramureș, Romania. It is composed of three villages: Desești, Hărnicești, and Mara. The commune belongs to the Baia Mare metropolitan area. It is located in the central part of Maramureș County, about ...</v>
    <v>2855</v>
    <v>2856</v>
    <v>2858</v>
    <v>2859</v>
    <v>2860</v>
    <v>Desești</v>
    <v>2861</v>
    <v>7</v>
    <v>Desești</v>
    <v>mdp/vdpid/7049306387922288641</v>
  </rv>
</rvData>
</file>

<file path=xl/richData/rdrichvaluestructure.xml><?xml version="1.0" encoding="utf-8"?>
<rvStructures xmlns="http://schemas.microsoft.com/office/spreadsheetml/2017/richdata" count="2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der(s)"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Admin Division 2 (County/district/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9">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Latitude</v>
      <v t="s">Longitude</v>
      <v t="s">Time zone(s)</v>
      <v t="s">_Flags</v>
      <v t="s">VDPID/VSID</v>
      <v t="s">UniqueName</v>
      <v t="s">_DisplayString</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Admin Division 1 (State/province/other)</v>
      <v t="s">Country/region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spbArrays>
  <spbData count="692">
    <spb s="0">
      <v xml:space="preserve">Wikipedia	</v>
      <v xml:space="preserve">CC BY-SA 3.0	</v>
      <v xml:space="preserve">https://en.wikipedia.org/wiki/Sibiu_County	</v>
      <v xml:space="preserve">https://creativecommons.org/licenses/by-sa/3.0	</v>
    </spb>
    <spb s="0">
      <v xml:space="preserve">Wikipedia	</v>
      <v xml:space="preserve">CC-BY-SA	</v>
      <v xml:space="preserve">http://en.wikipedia.org/wiki/Sibiu_County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2021</v>
    </spb>
    <spb s="8">
      <v>3</v>
    </spb>
    <spb s="0">
      <v xml:space="preserve">Wikipedia	</v>
      <v xml:space="preserve">CC BY-SA 3.0	</v>
      <v xml:space="preserve">https://en.wikipedia.org/wiki/Sibiu	</v>
      <v xml:space="preserve">https://creativecommons.org/licenses/by-sa/3.0	</v>
    </spb>
    <spb s="9">
      <v>10</v>
      <v>10</v>
      <v>10</v>
      <v>10</v>
      <v>10</v>
      <v>10</v>
      <v>10</v>
      <v>10</v>
      <v>10</v>
    </spb>
    <spb s="2">
      <v>1</v>
      <v>Name</v>
      <v>LearnMoreOnLink</v>
    </spb>
    <spb s="7">
      <v>square km</v>
      <v>2011</v>
    </spb>
    <spb s="8">
      <v>4</v>
    </spb>
    <spb s="0">
      <v xml:space="preserve">Wikipedia	</v>
      <v xml:space="preserve">CC BY-SA 3.0	</v>
      <v xml:space="preserve">https://en.wikipedia.org/wiki/Arge%C8%99_County	</v>
      <v xml:space="preserve">https://creativecommons.org/licenses/by-sa/3.0	</v>
    </spb>
    <spb s="0">
      <v xml:space="preserve">Wikipedia	</v>
      <v xml:space="preserve">CC-BY-SA	</v>
      <v xml:space="preserve">http://en.wikipedia.org/wiki/Argeș_County	</v>
      <v xml:space="preserve">http://creativecommons.org/licenses/by-sa/3.0/	</v>
    </spb>
    <spb s="1">
      <v>15</v>
      <v>15</v>
      <v>15</v>
      <v>15</v>
      <v>15</v>
      <v>16</v>
      <v>15</v>
      <v>15</v>
      <v>15</v>
    </spb>
    <spb s="0">
      <v xml:space="preserve">Wikipedia	</v>
      <v xml:space="preserve">CC BY-SA 3.0	</v>
      <v xml:space="preserve">https://en.wikipedia.org/wiki/Pite%C8%99ti	</v>
      <v xml:space="preserve">https://creativecommons.org/licenses/by-sa/3.0	</v>
    </spb>
    <spb s="9">
      <v>18</v>
      <v>18</v>
      <v>18</v>
      <v>18</v>
      <v>18</v>
      <v>18</v>
      <v>18</v>
      <v>18</v>
      <v>18</v>
    </spb>
    <spb s="7">
      <v>square km</v>
      <v>2022</v>
    </spb>
    <spb s="0">
      <v xml:space="preserve">Wikipedia	</v>
      <v xml:space="preserve">CC BY-SA 3.0	</v>
      <v xml:space="preserve">https://en.wikipedia.org/wiki/Meri%C8%99ani	</v>
      <v xml:space="preserve">https://creativecommons.org/licenses/by-sa/3.0	</v>
    </spb>
    <spb s="9">
      <v>21</v>
      <v>21</v>
      <v>21</v>
      <v>21</v>
      <v>21</v>
      <v>21</v>
      <v>21</v>
      <v>21</v>
      <v>21</v>
    </spb>
    <spb s="0">
      <v xml:space="preserve">Wikipedia	</v>
      <v xml:space="preserve">CC BY-SA 3.0	</v>
      <v xml:space="preserve">https://en.wikipedia.org/wiki/Paleu	</v>
      <v xml:space="preserve">https://creativecommons.org/licenses/by-sa/3.0	</v>
    </spb>
    <spb s="10">
      <v>23</v>
      <v>23</v>
      <v>23</v>
      <v>23</v>
      <v>23</v>
      <v>23</v>
      <v>23</v>
      <v>23</v>
      <v>23</v>
      <v>23</v>
    </spb>
    <spb s="2">
      <v>2</v>
      <v>Name</v>
      <v>LearnMoreOnLink</v>
    </spb>
    <spb s="0">
      <v xml:space="preserve">Wikipedia	</v>
      <v xml:space="preserve">CC BY-SA 3.0	</v>
      <v xml:space="preserve">https://en.wikipedia.org/wiki/Bihor_County	</v>
      <v xml:space="preserve">https://creativecommons.org/licenses/by-sa/3.0	</v>
    </spb>
    <spb s="0">
      <v xml:space="preserve">Wikipedia	</v>
      <v xml:space="preserve">CC-BY-SA	</v>
      <v xml:space="preserve">http://en.wikipedia.org/wiki/Bihor_County	</v>
      <v xml:space="preserve">http://creativecommons.org/licenses/by-sa/3.0/	</v>
    </spb>
    <spb s="1">
      <v>26</v>
      <v>26</v>
      <v>26</v>
      <v>26</v>
      <v>26</v>
      <v>27</v>
      <v>26</v>
      <v>26</v>
      <v>26</v>
    </spb>
    <spb s="0">
      <v xml:space="preserve">Wikipedia	</v>
      <v xml:space="preserve">CC BY-SA 3.0	</v>
      <v xml:space="preserve">https://en.wikipedia.org/wiki/Oradea	</v>
      <v xml:space="preserve">https://creativecommons.org/licenses/by-sa/3.0	</v>
    </spb>
    <spb s="10">
      <v>29</v>
      <v>29</v>
      <v>29</v>
      <v>29</v>
      <v>29</v>
      <v>29</v>
      <v>29</v>
      <v>29</v>
      <v>29</v>
      <v>29</v>
    </spb>
    <spb s="2">
      <v>3</v>
      <v>Name</v>
      <v>LearnMoreOnLink</v>
    </spb>
    <spb s="0">
      <v xml:space="preserve">Wikipedia	</v>
      <v xml:space="preserve">CC BY-SA 3.0	</v>
      <v xml:space="preserve">https://en.wikipedia.org/wiki/Cristuru_Secuiesc	</v>
      <v xml:space="preserve">https://creativecommons.org/licenses/by-sa/3.0	</v>
    </spb>
    <spb s="9">
      <v>32</v>
      <v>32</v>
      <v>32</v>
      <v>32</v>
      <v>32</v>
      <v>32</v>
      <v>32</v>
      <v>32</v>
      <v>32</v>
    </spb>
    <spb s="0">
      <v xml:space="preserve">Wikipedia	</v>
      <v xml:space="preserve">CC BY-SA 3.0	</v>
      <v xml:space="preserve">https://en.wikipedia.org/wiki/Harghita_County	</v>
      <v xml:space="preserve">https://creativecommons.org/licenses/by-sa/3.0	</v>
    </spb>
    <spb s="0">
      <v xml:space="preserve">Wikipedia	</v>
      <v xml:space="preserve">CC-BY-SA	</v>
      <v xml:space="preserve">http://en.wikipedia.org/wiki/Harghita_County	</v>
      <v xml:space="preserve">http://creativecommons.org/licenses/by-sa/3.0/	</v>
    </spb>
    <spb s="1">
      <v>34</v>
      <v>34</v>
      <v>34</v>
      <v>34</v>
      <v>34</v>
      <v>35</v>
      <v>34</v>
      <v>34</v>
      <v>34</v>
    </spb>
    <spb s="0">
      <v xml:space="preserve">Wikipedia	</v>
      <v xml:space="preserve">CC BY-SA 3.0	</v>
      <v xml:space="preserve">https://en.wikipedia.org/wiki/Beiu%C8%99	</v>
      <v xml:space="preserve">https://creativecommons.org/licenses/by-sa/3.0	</v>
    </spb>
    <spb s="10">
      <v>37</v>
      <v>37</v>
      <v>37</v>
      <v>37</v>
      <v>37</v>
      <v>37</v>
      <v>37</v>
      <v>37</v>
      <v>37</v>
      <v>37</v>
    </spb>
    <spb s="0">
      <v xml:space="preserve">Wikipedia	</v>
      <v xml:space="preserve">CC BY-SA 3.0	</v>
      <v xml:space="preserve">https://en.wikipedia.org/wiki/Drobeta-Turnu_Severin	</v>
      <v xml:space="preserve">https://creativecommons.org/licenses/by-sa/3.0	</v>
    </spb>
    <spb s="9">
      <v>39</v>
      <v>39</v>
      <v>39</v>
      <v>39</v>
      <v>39</v>
      <v>39</v>
      <v>39</v>
      <v>39</v>
      <v>39</v>
    </spb>
    <spb s="0">
      <v xml:space="preserve">Wikipedia	</v>
      <v xml:space="preserve">CC BY-SA 3.0	</v>
      <v xml:space="preserve">https://en.wikipedia.org/wiki/Mehedin%C8%9Bi_County	</v>
      <v xml:space="preserve">https://creativecommons.org/licenses/by-sa/3.0	</v>
    </spb>
    <spb s="0">
      <v xml:space="preserve">Wikipedia	</v>
      <v xml:space="preserve">CC-BY-SA	</v>
      <v xml:space="preserve">http://en.wikipedia.org/wiki/Mehedinți_County	</v>
      <v xml:space="preserve">http://creativecommons.org/licenses/by-sa/3.0/	</v>
    </spb>
    <spb s="1">
      <v>41</v>
      <v>41</v>
      <v>41</v>
      <v>41</v>
      <v>41</v>
      <v>42</v>
      <v>41</v>
      <v>41</v>
      <v>41</v>
    </spb>
    <spb s="0">
      <v xml:space="preserve">Wikipedia	</v>
      <v xml:space="preserve">CC BY-SA 3.0	</v>
      <v xml:space="preserve">https://en.wikipedia.org/wiki/Alba_County	</v>
      <v xml:space="preserve">https://creativecommons.org/licenses/by-sa/3.0	</v>
    </spb>
    <spb s="0">
      <v xml:space="preserve">Wikipedia	</v>
      <v xml:space="preserve">CC-BY-SA	</v>
      <v xml:space="preserve">http://en.wikipedia.org/wiki/Alba_County	</v>
      <v xml:space="preserve">http://creativecommons.org/licenses/by-sa/3.0/	</v>
    </spb>
    <spb s="1">
      <v>44</v>
      <v>44</v>
      <v>44</v>
      <v>44</v>
      <v>44</v>
      <v>45</v>
      <v>44</v>
      <v>44</v>
      <v>44</v>
    </spb>
    <spb s="0">
      <v xml:space="preserve">Wikipedia	</v>
      <v xml:space="preserve">CC BY-SA 3.0	</v>
      <v xml:space="preserve">https://en.wikipedia.org/wiki/Arad_County	</v>
      <v xml:space="preserve">https://creativecommons.org/licenses/by-sa/3.0	</v>
    </spb>
    <spb s="0">
      <v xml:space="preserve">Wikipedia	</v>
      <v xml:space="preserve">CC-BY-SA	</v>
      <v xml:space="preserve">http://en.wikipedia.org/wiki/Arad_County	</v>
      <v xml:space="preserve">http://creativecommons.org/licenses/by-sa/3.0/	</v>
    </spb>
    <spb s="1">
      <v>47</v>
      <v>47</v>
      <v>47</v>
      <v>47</v>
      <v>47</v>
      <v>48</v>
      <v>47</v>
      <v>47</v>
      <v>47</v>
    </spb>
    <spb s="0">
      <v xml:space="preserve">Wikipedia	</v>
      <v xml:space="preserve">CC BY-SA 3.0	</v>
      <v xml:space="preserve">https://en.wikipedia.org/wiki/Arad,_Romania	</v>
      <v xml:space="preserve">https://creativecommons.org/licenses/by-sa/3.0	</v>
    </spb>
    <spb s="9">
      <v>50</v>
      <v>50</v>
      <v>50</v>
      <v>50</v>
      <v>50</v>
      <v>50</v>
      <v>50</v>
      <v>50</v>
      <v>50</v>
    </spb>
    <spb s="0">
      <v xml:space="preserve">Wikipedia	</v>
      <v xml:space="preserve">CC BY-SA 3.0	</v>
      <v xml:space="preserve">https://en.wikipedia.org/wiki/Curtici	</v>
      <v xml:space="preserve">https://creativecommons.org/licenses/by-sa/3.0	</v>
    </spb>
    <spb s="9">
      <v>52</v>
      <v>52</v>
      <v>52</v>
      <v>52</v>
      <v>52</v>
      <v>52</v>
      <v>52</v>
      <v>52</v>
      <v>52</v>
    </spb>
    <spb s="0">
      <v xml:space="preserve">Wikipedia	</v>
      <v xml:space="preserve">CC BY-SA 3.0	</v>
      <v xml:space="preserve">https://en.wikipedia.org/wiki/Poplaca	</v>
      <v xml:space="preserve">https://creativecommons.org/licenses/by-sa/3.0	</v>
    </spb>
    <spb s="9">
      <v>54</v>
      <v>54</v>
      <v>54</v>
      <v>54</v>
      <v>54</v>
      <v>54</v>
      <v>54</v>
      <v>54</v>
      <v>54</v>
    </spb>
    <spb s="0">
      <v xml:space="preserve">Wikipedia	</v>
      <v xml:space="preserve">CC BY-SA 3.0	</v>
      <v xml:space="preserve">https://en.wikipedia.org/wiki/Bran,_Bra%C8%99ov	</v>
      <v xml:space="preserve">https://creativecommons.org/licenses/by-sa/3.0	</v>
    </spb>
    <spb s="9">
      <v>56</v>
      <v>56</v>
      <v>56</v>
      <v>56</v>
      <v>56</v>
      <v>56</v>
      <v>56</v>
      <v>56</v>
      <v>56</v>
    </spb>
    <spb s="0">
      <v xml:space="preserve">Wikipedia	</v>
      <v xml:space="preserve">CC BY-SA 3.0	</v>
      <v xml:space="preserve">https://en.wikipedia.org/wiki/Bra%C8%99ov_County	</v>
      <v xml:space="preserve">https://creativecommons.org/licenses/by-sa/3.0	</v>
    </spb>
    <spb s="0">
      <v xml:space="preserve">Wikipedia	</v>
      <v xml:space="preserve">CC-BY-SA	</v>
      <v xml:space="preserve">http://en.wikipedia.org/wiki/Brașov_County	</v>
      <v xml:space="preserve">http://creativecommons.org/licenses/by-sa/3.0/	</v>
    </spb>
    <spb s="1">
      <v>58</v>
      <v>58</v>
      <v>58</v>
      <v>58</v>
      <v>58</v>
      <v>59</v>
      <v>58</v>
      <v>58</v>
      <v>58</v>
    </spb>
    <spb s="0">
      <v xml:space="preserve">Wikipedia	</v>
      <v xml:space="preserve">CC BY-SA 3.0	</v>
      <v xml:space="preserve">https://en.wikipedia.org/wiki/Bra%C8%99ov	</v>
      <v xml:space="preserve">https://creativecommons.org/licenses/by-sa/3.0	</v>
    </spb>
    <spb s="9">
      <v>61</v>
      <v>61</v>
      <v>61</v>
      <v>61</v>
      <v>61</v>
      <v>61</v>
      <v>61</v>
      <v>61</v>
      <v>61</v>
    </spb>
    <spb s="0">
      <v xml:space="preserve">Wikipedia	</v>
      <v xml:space="preserve">CC BY-SA 3.0	</v>
      <v xml:space="preserve">https://en.wikipedia.org/wiki/Bistri%C8%9Ba-N%C4%83s%C4%83ud_County	</v>
      <v xml:space="preserve">https://creativecommons.org/licenses/by-sa/3.0	</v>
    </spb>
    <spb s="0">
      <v xml:space="preserve">Wikipedia	</v>
      <v xml:space="preserve">CC-BY-SA	</v>
      <v xml:space="preserve">http://en.wikipedia.org/wiki/Bistrița-Năsăud_County	</v>
      <v xml:space="preserve">http://creativecommons.org/licenses/by-sa/3.0/	</v>
    </spb>
    <spb s="1">
      <v>63</v>
      <v>63</v>
      <v>63</v>
      <v>63</v>
      <v>63</v>
      <v>64</v>
      <v>63</v>
      <v>63</v>
      <v>63</v>
    </spb>
    <spb s="0">
      <v xml:space="preserve">Wikipedia	</v>
      <v xml:space="preserve">CC BY-SA 3.0	</v>
      <v xml:space="preserve">https://en.wikipedia.org/wiki/Bistri%C8%9Ba	</v>
      <v xml:space="preserve">https://creativecommons.org/licenses/by-sa/3.0	</v>
    </spb>
    <spb s="9">
      <v>66</v>
      <v>66</v>
      <v>66</v>
      <v>66</v>
      <v>66</v>
      <v>66</v>
      <v>66</v>
      <v>66</v>
      <v>66</v>
    </spb>
    <spb s="0">
      <v xml:space="preserve">Wikipedia	</v>
      <v xml:space="preserve">CC BY-SA 3.0	</v>
      <v xml:space="preserve">https://en.wikipedia.org/wiki/Poiana_Ilvei	</v>
      <v xml:space="preserve">https://creativecommons.org/licenses/by-sa/3.0	</v>
    </spb>
    <spb s="9">
      <v>68</v>
      <v>68</v>
      <v>68</v>
      <v>68</v>
      <v>68</v>
      <v>68</v>
      <v>68</v>
      <v>68</v>
      <v>68</v>
    </spb>
    <spb s="2">
      <v>4</v>
      <v>Name</v>
      <v>LearnMoreOnLink</v>
    </spb>
    <spb s="0">
      <v xml:space="preserve">Wikipedia	</v>
      <v xml:space="preserve">CC BY-SA 3.0	</v>
      <v xml:space="preserve">https://en.wikipedia.org/wiki/Bustuchin	</v>
      <v xml:space="preserve">https://creativecommons.org/licenses/by-sa/3.0	</v>
    </spb>
    <spb s="9">
      <v>71</v>
      <v>71</v>
      <v>71</v>
      <v>71</v>
      <v>71</v>
      <v>71</v>
      <v>71</v>
      <v>71</v>
      <v>71</v>
    </spb>
    <spb s="0">
      <v xml:space="preserve">Wikipedia	</v>
      <v xml:space="preserve">CC BY-SA 3.0	</v>
      <v xml:space="preserve">https://en.wikipedia.org/wiki/Gorj_County	</v>
      <v xml:space="preserve">https://creativecommons.org/licenses/by-sa/3.0	</v>
    </spb>
    <spb s="0">
      <v xml:space="preserve">Wikipedia	</v>
      <v xml:space="preserve">CC-BY-SA	</v>
      <v xml:space="preserve">http://en.wikipedia.org/wiki/Gorj_County	</v>
      <v xml:space="preserve">http://creativecommons.org/licenses/by-sa/3.0/	</v>
    </spb>
    <spb s="1">
      <v>73</v>
      <v>73</v>
      <v>73</v>
      <v>73</v>
      <v>73</v>
      <v>74</v>
      <v>73</v>
      <v>73</v>
      <v>73</v>
    </spb>
    <spb s="0">
      <v xml:space="preserve">Wikipedia	</v>
      <v xml:space="preserve">CC BY-SA 3.0	</v>
      <v xml:space="preserve">https://en.wikipedia.org/wiki/T%C3%A2rgu_Jiu	</v>
      <v xml:space="preserve">https://creativecommons.org/licenses/by-sa/3.0	</v>
    </spb>
    <spb s="9">
      <v>76</v>
      <v>76</v>
      <v>76</v>
      <v>76</v>
      <v>76</v>
      <v>76</v>
      <v>76</v>
      <v>76</v>
      <v>76</v>
    </spb>
    <spb s="0">
      <v xml:space="preserve">Wikipedia	</v>
      <v xml:space="preserve">CC BY-SA 3.0	</v>
      <v xml:space="preserve">https://en.wikipedia.org/wiki/Bor%C8%99a	</v>
      <v xml:space="preserve">https://creativecommons.org/licenses/by-sa/3.0	</v>
    </spb>
    <spb s="9">
      <v>78</v>
      <v>78</v>
      <v>78</v>
      <v>78</v>
      <v>78</v>
      <v>78</v>
      <v>78</v>
      <v>78</v>
      <v>78</v>
    </spb>
    <spb s="0">
      <v xml:space="preserve">Wikipedia	</v>
      <v xml:space="preserve">CC BY-SA 3.0	</v>
      <v xml:space="preserve">https://en.wikipedia.org/wiki/Maramure%C8%99_County	</v>
      <v xml:space="preserve">https://creativecommons.org/licenses/by-sa/3.0	</v>
    </spb>
    <spb s="0">
      <v xml:space="preserve">Wikipedia	</v>
      <v xml:space="preserve">CC-BY-SA	</v>
      <v xml:space="preserve">http://en.wikipedia.org/wiki/Maramureș_County	</v>
      <v xml:space="preserve">http://creativecommons.org/licenses/by-sa/3.0/	</v>
    </spb>
    <spb s="1">
      <v>80</v>
      <v>80</v>
      <v>80</v>
      <v>80</v>
      <v>80</v>
      <v>81</v>
      <v>80</v>
      <v>80</v>
      <v>80</v>
    </spb>
    <spb s="0">
      <v xml:space="preserve">Wikipedia	</v>
      <v xml:space="preserve">CC BY-SA 3.0	</v>
      <v xml:space="preserve">https://en.wikipedia.org/wiki/Baia_Mare	</v>
      <v xml:space="preserve">https://creativecommons.org/licenses/by-sa/3.0	</v>
    </spb>
    <spb s="9">
      <v>83</v>
      <v>83</v>
      <v>83</v>
      <v>83</v>
      <v>83</v>
      <v>83</v>
      <v>83</v>
      <v>83</v>
      <v>83</v>
    </spb>
    <spb s="0">
      <v xml:space="preserve">Wikipedia	</v>
      <v xml:space="preserve">CC BY-SA 3.0	</v>
      <v xml:space="preserve">https://en.wikipedia.org/wiki/Cara%C8%99-Severin_County	</v>
      <v xml:space="preserve">https://creativecommons.org/licenses/by-sa/3.0	</v>
    </spb>
    <spb s="0">
      <v xml:space="preserve">Wikipedia	</v>
      <v xml:space="preserve">CC-BY-SA	</v>
      <v xml:space="preserve">http://en.wikipedia.org/wiki/Caraș-Severin_County	</v>
      <v xml:space="preserve">http://creativecommons.org/licenses/by-sa/3.0/	</v>
    </spb>
    <spb s="1">
      <v>85</v>
      <v>85</v>
      <v>85</v>
      <v>85</v>
      <v>85</v>
      <v>86</v>
      <v>85</v>
      <v>85</v>
      <v>85</v>
    </spb>
    <spb s="0">
      <v xml:space="preserve">Wikipedia	</v>
      <v xml:space="preserve">CC BY-SA 3.0	</v>
      <v xml:space="preserve">https://en.wikipedia.org/wiki/Lugoj	</v>
      <v xml:space="preserve">https://creativecommons.org/licenses/by-sa/3.0	</v>
    </spb>
    <spb s="9">
      <v>88</v>
      <v>88</v>
      <v>88</v>
      <v>88</v>
      <v>88</v>
      <v>88</v>
      <v>88</v>
      <v>88</v>
      <v>88</v>
    </spb>
    <spb s="0">
      <v xml:space="preserve">Wikipedia	</v>
      <v xml:space="preserve">CC BY-SA 3.0	</v>
      <v xml:space="preserve">https://en.wikipedia.org/wiki/Re%C8%99i%C8%9Ba	</v>
      <v xml:space="preserve">https://creativecommons.org/licenses/by-sa/3.0	</v>
    </spb>
    <spb s="9">
      <v>90</v>
      <v>90</v>
      <v>90</v>
      <v>90</v>
      <v>90</v>
      <v>90</v>
      <v>90</v>
      <v>90</v>
      <v>90</v>
    </spb>
    <spb s="0">
      <v xml:space="preserve">Wikipedia	</v>
      <v xml:space="preserve">CC BY-SA 3.0	</v>
      <v xml:space="preserve">https://en.wikipedia.org/wiki/Timi%C8%99_County	</v>
      <v xml:space="preserve">https://creativecommons.org/licenses/by-sa/3.0	</v>
    </spb>
    <spb s="0">
      <v xml:space="preserve">Wikipedia	</v>
      <v xml:space="preserve">CC-BY-SA	</v>
      <v xml:space="preserve">http://en.wikipedia.org/wiki/Timiș_County	</v>
      <v xml:space="preserve">http://creativecommons.org/licenses/by-sa/3.0/	</v>
    </spb>
    <spb s="1">
      <v>92</v>
      <v>92</v>
      <v>92</v>
      <v>92</v>
      <v>92</v>
      <v>93</v>
      <v>92</v>
      <v>92</v>
      <v>92</v>
    </spb>
    <spb s="2">
      <v>5</v>
      <v>Name</v>
      <v>LearnMoreOnLink</v>
    </spb>
    <spb s="0">
      <v xml:space="preserve">Wikipedia	</v>
      <v xml:space="preserve">CC BY-SA 3.0	</v>
      <v xml:space="preserve">https://en.wikipedia.org/wiki/Timi%C8%99oara	</v>
      <v xml:space="preserve">https://creativecommons.org/licenses/by-sa/3.0	</v>
    </spb>
    <spb s="9">
      <v>96</v>
      <v>96</v>
      <v>96</v>
      <v>96</v>
      <v>96</v>
      <v>96</v>
      <v>96</v>
      <v>96</v>
      <v>96</v>
    </spb>
    <spb s="0">
      <v xml:space="preserve">Wikipedia	</v>
      <v xml:space="preserve">CC BY-SA 3.0	</v>
      <v xml:space="preserve">https://en.wikipedia.org/wiki/Covasna_County	</v>
      <v xml:space="preserve">https://creativecommons.org/licenses/by-sa/3.0	</v>
    </spb>
    <spb s="0">
      <v xml:space="preserve">Wikipedia	</v>
      <v xml:space="preserve">CC-BY-SA	</v>
      <v xml:space="preserve">http://en.wikipedia.org/wiki/Covasna_County	</v>
      <v xml:space="preserve">http://creativecommons.org/licenses/by-sa/3.0/	</v>
    </spb>
    <spb s="1">
      <v>98</v>
      <v>98</v>
      <v>98</v>
      <v>98</v>
      <v>98</v>
      <v>99</v>
      <v>98</v>
      <v>98</v>
      <v>98</v>
    </spb>
    <spb s="0">
      <v xml:space="preserve">Wikipedia	</v>
      <v xml:space="preserve">CC BY-SA 3.0	</v>
      <v xml:space="preserve">https://en.wikipedia.org/wiki/Sf%C3%A2ntu_Gheorghe	</v>
      <v xml:space="preserve">https://creativecommons.org/licenses/by-sa/3.0	</v>
    </spb>
    <spb s="11">
      <v>101</v>
      <v>101</v>
      <v>101</v>
      <v>101</v>
      <v>101</v>
      <v>101</v>
      <v>101</v>
      <v>101</v>
    </spb>
    <spb s="2">
      <v>6</v>
      <v>Name</v>
      <v>LearnMoreOnLink</v>
    </spb>
    <spb s="12">
      <v>2021</v>
    </spb>
    <spb s="0">
      <v xml:space="preserve">Wikipedia	</v>
      <v xml:space="preserve">CC BY-SA 3.0	</v>
      <v xml:space="preserve">https://en.wikipedia.org/wiki/Giroc	</v>
      <v xml:space="preserve">https://creativecommons.org/licenses/by-sa/3.0	</v>
    </spb>
    <spb s="9">
      <v>105</v>
      <v>105</v>
      <v>105</v>
      <v>105</v>
      <v>105</v>
      <v>105</v>
      <v>105</v>
      <v>105</v>
      <v>105</v>
    </spb>
    <spb s="0">
      <v xml:space="preserve">Wikipedia	</v>
      <v xml:space="preserve">CC BY-SA 3.0	</v>
      <v xml:space="preserve">https://en.wikipedia.org/wiki/Dolj_County	</v>
      <v xml:space="preserve">https://creativecommons.org/licenses/by-sa/3.0	</v>
    </spb>
    <spb s="0">
      <v xml:space="preserve">Wikipedia	</v>
      <v xml:space="preserve">CC-BY-SA	</v>
      <v xml:space="preserve">http://en.wikipedia.org/wiki/Dolj_County	</v>
      <v xml:space="preserve">http://creativecommons.org/licenses/by-sa/3.0/	</v>
    </spb>
    <spb s="1">
      <v>107</v>
      <v>107</v>
      <v>107</v>
      <v>107</v>
      <v>107</v>
      <v>108</v>
      <v>107</v>
      <v>107</v>
      <v>107</v>
    </spb>
    <spb s="0">
      <v xml:space="preserve">Wikipedia	</v>
      <v xml:space="preserve">CC BY-SA 3.0	</v>
      <v xml:space="preserve">https://en.wikipedia.org/wiki/Craiova	</v>
      <v xml:space="preserve">https://creativecommons.org/licenses/by-sa/3.0	</v>
    </spb>
    <spb s="9">
      <v>110</v>
      <v>110</v>
      <v>110</v>
      <v>110</v>
      <v>110</v>
      <v>110</v>
      <v>110</v>
      <v>110</v>
      <v>110</v>
    </spb>
    <spb s="0">
      <v xml:space="preserve">Wikipedia	</v>
      <v xml:space="preserve">CC BY-SA 3.0	</v>
      <v xml:space="preserve">https://en.wikipedia.org/wiki/V%C3%A2nju_Mare	</v>
      <v xml:space="preserve">https://creativecommons.org/licenses/by-sa/3.0	</v>
    </spb>
    <spb s="9">
      <v>112</v>
      <v>112</v>
      <v>112</v>
      <v>112</v>
      <v>112</v>
      <v>112</v>
      <v>112</v>
      <v>112</v>
      <v>112</v>
    </spb>
    <spb s="0">
      <v xml:space="preserve">Wikipedia	</v>
      <v xml:space="preserve">CC BY-SA 3.0	</v>
      <v xml:space="preserve">https://en.wikipedia.org/wiki/Slobozia	</v>
      <v xml:space="preserve">https://creativecommons.org/licenses/by-sa/3.0	</v>
    </spb>
    <spb s="9">
      <v>114</v>
      <v>114</v>
      <v>114</v>
      <v>114</v>
      <v>114</v>
      <v>114</v>
      <v>114</v>
      <v>114</v>
      <v>114</v>
    </spb>
    <spb s="0">
      <v xml:space="preserve">Wikipedia	</v>
      <v xml:space="preserve">CC BY-SA 3.0	</v>
      <v xml:space="preserve">https://en.wikipedia.org/wiki/Ialomi%C8%9Ba_County	</v>
      <v xml:space="preserve">https://creativecommons.org/licenses/by-sa/3.0	</v>
    </spb>
    <spb s="0">
      <v xml:space="preserve">Wikipedia	</v>
      <v xml:space="preserve">CC-BY-SA	</v>
      <v xml:space="preserve">http://en.wikipedia.org/wiki/Ialomița_County	</v>
      <v xml:space="preserve">http://creativecommons.org/licenses/by-sa/3.0/	</v>
    </spb>
    <spb s="1">
      <v>116</v>
      <v>116</v>
      <v>116</v>
      <v>116</v>
      <v>116</v>
      <v>117</v>
      <v>116</v>
      <v>116</v>
      <v>116</v>
    </spb>
    <spb s="2">
      <v>7</v>
      <v>Name</v>
      <v>LearnMoreOnLink</v>
    </spb>
    <spb s="0">
      <v xml:space="preserve">Wikipedia	</v>
      <v xml:space="preserve">CC BY-SA 3.0	</v>
      <v xml:space="preserve">https://en.wikipedia.org/wiki/C%C4%83l%C4%83ra%C8%99i	</v>
      <v xml:space="preserve">https://creativecommons.org/licenses/by-sa/3.0	</v>
    </spb>
    <spb s="9">
      <v>120</v>
      <v>120</v>
      <v>120</v>
      <v>120</v>
      <v>120</v>
      <v>120</v>
      <v>120</v>
      <v>120</v>
      <v>120</v>
    </spb>
    <spb s="0">
      <v xml:space="preserve">Wikipedia	</v>
      <v xml:space="preserve">CC BY-SA 3.0	</v>
      <v xml:space="preserve">https://en.wikipedia.org/wiki/Corl%C4%83%C8%9Bel	</v>
      <v xml:space="preserve">https://creativecommons.org/licenses/by-sa/3.0	</v>
    </spb>
    <spb s="9">
      <v>122</v>
      <v>122</v>
      <v>122</v>
      <v>122</v>
      <v>122</v>
      <v>122</v>
      <v>122</v>
      <v>122</v>
      <v>122</v>
    </spb>
    <spb s="0">
      <v xml:space="preserve">Wikipedia	</v>
      <v xml:space="preserve">CC BY-SA 3.0	</v>
      <v xml:space="preserve">https://en.wikipedia.org/wiki/Hunedoara_County	</v>
      <v xml:space="preserve">https://creativecommons.org/licenses/by-sa/3.0	</v>
    </spb>
    <spb s="0">
      <v xml:space="preserve">Wikipedia	</v>
      <v xml:space="preserve">CC-BY-SA	</v>
      <v xml:space="preserve">http://en.wikipedia.org/wiki/Hunedoara_County	</v>
      <v xml:space="preserve">http://creativecommons.org/licenses/by-sa/3.0/	</v>
    </spb>
    <spb s="1">
      <v>124</v>
      <v>124</v>
      <v>124</v>
      <v>124</v>
      <v>124</v>
      <v>125</v>
      <v>124</v>
      <v>124</v>
      <v>124</v>
    </spb>
    <spb s="0">
      <v xml:space="preserve">Wikipedia	</v>
      <v xml:space="preserve">CC BY-SA 3.0	</v>
      <v xml:space="preserve">https://en.wikipedia.org/wiki/Deva,_Romania	</v>
      <v xml:space="preserve">https://creativecommons.org/licenses/by-sa/3.0	</v>
    </spb>
    <spb s="9">
      <v>127</v>
      <v>127</v>
      <v>127</v>
      <v>127</v>
      <v>127</v>
      <v>127</v>
      <v>127</v>
      <v>127</v>
      <v>127</v>
    </spb>
    <spb s="0">
      <v xml:space="preserve">Wikipedia	</v>
      <v xml:space="preserve">CC BY-SA 3.0	</v>
      <v xml:space="preserve">https://en.wikipedia.org/wiki/S%C4%83rma%C8%99	</v>
      <v xml:space="preserve">https://creativecommons.org/licenses/by-sa/3.0	</v>
    </spb>
    <spb s="9">
      <v>129</v>
      <v>129</v>
      <v>129</v>
      <v>129</v>
      <v>129</v>
      <v>129</v>
      <v>129</v>
      <v>129</v>
      <v>129</v>
    </spb>
    <spb s="0">
      <v xml:space="preserve">Wikipedia	</v>
      <v xml:space="preserve">CC BY-SA 3.0	</v>
      <v xml:space="preserve">https://en.wikipedia.org/wiki/Ia%C8%99i_County	</v>
      <v xml:space="preserve">https://creativecommons.org/licenses/by-sa/3.0	</v>
    </spb>
    <spb s="0">
      <v xml:space="preserve">Wikipedia	</v>
      <v xml:space="preserve">CC-BY-SA	</v>
      <v xml:space="preserve">http://en.wikipedia.org/wiki/Iași_County	</v>
      <v xml:space="preserve">http://creativecommons.org/licenses/by-sa/3.0/	</v>
    </spb>
    <spb s="1">
      <v>131</v>
      <v>131</v>
      <v>131</v>
      <v>131</v>
      <v>131</v>
      <v>132</v>
      <v>131</v>
      <v>131</v>
      <v>131</v>
    </spb>
    <spb s="0">
      <v xml:space="preserve">Wikipedia	</v>
      <v xml:space="preserve">CC BY-SA 3.0	</v>
      <v xml:space="preserve">https://en.wikipedia.org/wiki/Ocna_Mure%C8%99	</v>
      <v xml:space="preserve">https://creativecommons.org/licenses/by-sa/3.0	</v>
    </spb>
    <spb s="9">
      <v>134</v>
      <v>134</v>
      <v>134</v>
      <v>134</v>
      <v>134</v>
      <v>134</v>
      <v>134</v>
      <v>134</v>
      <v>134</v>
    </spb>
    <spb s="0">
      <v xml:space="preserve">Wikipedia	</v>
      <v xml:space="preserve">CC BY-SA 3.0	</v>
      <v xml:space="preserve">https://en.wikipedia.org/wiki/Mure%C8%99_County	</v>
      <v xml:space="preserve">https://creativecommons.org/licenses/by-sa/3.0	</v>
    </spb>
    <spb s="0">
      <v xml:space="preserve">Wikipedia	</v>
      <v xml:space="preserve">CC-BY-SA	</v>
      <v xml:space="preserve">http://en.wikipedia.org/wiki/Mureș_County	</v>
      <v xml:space="preserve">http://creativecommons.org/licenses/by-sa/3.0/	</v>
    </spb>
    <spb s="1">
      <v>136</v>
      <v>136</v>
      <v>136</v>
      <v>136</v>
      <v>136</v>
      <v>137</v>
      <v>136</v>
      <v>136</v>
      <v>136</v>
    </spb>
    <spb s="0">
      <v xml:space="preserve">Wikipedia	</v>
      <v xml:space="preserve">CC BY-SA 3.0	</v>
      <v xml:space="preserve">https://en.wikipedia.org/wiki/T%C3%A2rgu_Mure%C8%99	</v>
      <v xml:space="preserve">https://creativecommons.org/licenses/by-sa/3.0	</v>
    </spb>
    <spb s="9">
      <v>139</v>
      <v>139</v>
      <v>139</v>
      <v>139</v>
      <v>139</v>
      <v>139</v>
      <v>139</v>
      <v>139</v>
      <v>139</v>
    </spb>
    <spb s="7">
      <v>square km</v>
      <v>2007</v>
    </spb>
    <spb s="0">
      <v xml:space="preserve">Wikipedia	</v>
      <v xml:space="preserve">CC BY-SA 3.0	</v>
      <v xml:space="preserve">https://en.wikipedia.org/wiki/Vin%C8%9Bu_de_Jos	</v>
      <v xml:space="preserve">https://creativecommons.org/licenses/by-sa/3.0	</v>
    </spb>
    <spb s="9">
      <v>142</v>
      <v>142</v>
      <v>142</v>
      <v>142</v>
      <v>142</v>
      <v>142</v>
      <v>142</v>
      <v>142</v>
      <v>142</v>
    </spb>
    <spb s="0">
      <v xml:space="preserve">Wikipedia	</v>
      <v xml:space="preserve">CC BY-SA 3.0	</v>
      <v xml:space="preserve">https://en.wikipedia.org/wiki/Olt_County	</v>
      <v xml:space="preserve">https://creativecommons.org/licenses/by-sa/3.0	</v>
    </spb>
    <spb s="0">
      <v xml:space="preserve">Wikipedia	</v>
      <v xml:space="preserve">CC-BY-SA	</v>
      <v xml:space="preserve">http://en.wikipedia.org/wiki/Olt_County	</v>
      <v xml:space="preserve">http://creativecommons.org/licenses/by-sa/3.0/	</v>
    </spb>
    <spb s="1">
      <v>144</v>
      <v>144</v>
      <v>144</v>
      <v>144</v>
      <v>144</v>
      <v>145</v>
      <v>144</v>
      <v>144</v>
      <v>144</v>
    </spb>
    <spb s="0">
      <v xml:space="preserve">Wikipedia	</v>
      <v xml:space="preserve">CC BY-SA 3.0	</v>
      <v xml:space="preserve">https://en.wikipedia.org/wiki/Slatina,_Romania	</v>
      <v xml:space="preserve">https://creativecommons.org/licenses/by-sa/3.0	</v>
    </spb>
    <spb s="9">
      <v>147</v>
      <v>147</v>
      <v>147</v>
      <v>147</v>
      <v>147</v>
      <v>147</v>
      <v>147</v>
      <v>147</v>
      <v>147</v>
    </spb>
    <spb s="0">
      <v xml:space="preserve">Wikipedia	</v>
      <v xml:space="preserve">CC BY-SA 3.0	</v>
      <v xml:space="preserve">https://en.wikipedia.org/wiki/Caracal,_Romania	</v>
      <v xml:space="preserve">https://creativecommons.org/licenses/by-sa/3.0	</v>
    </spb>
    <spb s="9">
      <v>149</v>
      <v>149</v>
      <v>149</v>
      <v>149</v>
      <v>149</v>
      <v>149</v>
      <v>149</v>
      <v>149</v>
      <v>149</v>
    </spb>
    <spb s="0">
      <v xml:space="preserve">Wikipedia	</v>
      <v xml:space="preserve">CC BY-SA 3.0	</v>
      <v xml:space="preserve">https://en.wikipedia.org/wiki/Poroina_Mare	</v>
      <v xml:space="preserve">https://creativecommons.org/licenses/by-sa/3.0	</v>
    </spb>
    <spb s="9">
      <v>151</v>
      <v>151</v>
      <v>151</v>
      <v>151</v>
      <v>151</v>
      <v>151</v>
      <v>151</v>
      <v>151</v>
      <v>151</v>
    </spb>
    <spb s="0">
      <v xml:space="preserve">Wikipedia	</v>
      <v xml:space="preserve">CC BY-SA 3.0	</v>
      <v xml:space="preserve">https://en.wikipedia.org/wiki/V%C3%A2lcea_County	</v>
      <v xml:space="preserve">https://creativecommons.org/licenses/by-sa/3.0	</v>
    </spb>
    <spb s="0">
      <v xml:space="preserve">Wikipedia	</v>
      <v xml:space="preserve">CC-BY-SA	</v>
      <v xml:space="preserve">http://en.wikipedia.org/wiki/Vâlcea_County	</v>
      <v xml:space="preserve">http://creativecommons.org/licenses/by-sa/3.0/	</v>
    </spb>
    <spb s="1">
      <v>153</v>
      <v>153</v>
      <v>153</v>
      <v>153</v>
      <v>153</v>
      <v>154</v>
      <v>153</v>
      <v>153</v>
      <v>153</v>
    </spb>
    <spb s="0">
      <v xml:space="preserve">Wikipedia	</v>
      <v xml:space="preserve">CC BY-SA 3.0	</v>
      <v xml:space="preserve">https://en.wikipedia.org/wiki/R%C3%A2mnicu_V%C3%A2lcea	</v>
      <v xml:space="preserve">https://creativecommons.org/licenses/by-sa/3.0	</v>
    </spb>
    <spb s="9">
      <v>156</v>
      <v>156</v>
      <v>156</v>
      <v>156</v>
      <v>156</v>
      <v>156</v>
      <v>156</v>
      <v>156</v>
      <v>156</v>
    </spb>
    <spb s="0">
      <v xml:space="preserve">Wikipedia	</v>
      <v xml:space="preserve">CC BY-SA 3.0	</v>
      <v xml:space="preserve">https://en.wikipedia.org/wiki/Satu_Mare_County	</v>
      <v xml:space="preserve">https://creativecommons.org/licenses/by-sa/3.0	</v>
    </spb>
    <spb s="0">
      <v xml:space="preserve">Wikipedia	</v>
      <v xml:space="preserve">CC-BY-SA	</v>
      <v xml:space="preserve">http://en.wikipedia.org/wiki/Satu_Mare_County	</v>
      <v xml:space="preserve">http://creativecommons.org/licenses/by-sa/3.0/	</v>
    </spb>
    <spb s="1">
      <v>158</v>
      <v>158</v>
      <v>158</v>
      <v>158</v>
      <v>158</v>
      <v>159</v>
      <v>158</v>
      <v>158</v>
      <v>158</v>
    </spb>
    <spb s="0">
      <v xml:space="preserve">Wikipedia	</v>
      <v xml:space="preserve">CC BY-SA 3.0	</v>
      <v xml:space="preserve">https://en.wikipedia.org/wiki/Satu_Mare	</v>
      <v xml:space="preserve">https://creativecommons.org/licenses/by-sa/3.0	</v>
    </spb>
    <spb s="9">
      <v>161</v>
      <v>161</v>
      <v>161</v>
      <v>161</v>
      <v>161</v>
      <v>161</v>
      <v>161</v>
      <v>161</v>
      <v>161</v>
    </spb>
    <spb s="0">
      <v xml:space="preserve">Wikipedia	</v>
      <v xml:space="preserve">CC BY-SA 3.0	</v>
      <v xml:space="preserve">https://en.wikipedia.org/wiki/Calafat	</v>
      <v xml:space="preserve">https://creativecommons.org/licenses/by-sa/3.0	</v>
    </spb>
    <spb s="9">
      <v>163</v>
      <v>163</v>
      <v>163</v>
      <v>163</v>
      <v>163</v>
      <v>163</v>
      <v>163</v>
      <v>163</v>
      <v>163</v>
    </spb>
    <spb s="0">
      <v xml:space="preserve">Wikipedia	</v>
      <v xml:space="preserve">CC BY-SA 3.0	</v>
      <v xml:space="preserve">https://en.wikipedia.org/wiki/S%C4%83laj_County	</v>
      <v xml:space="preserve">https://creativecommons.org/licenses/by-sa/3.0	</v>
    </spb>
    <spb s="0">
      <v xml:space="preserve">Wikipedia	</v>
      <v xml:space="preserve">CC-BY-SA	</v>
      <v xml:space="preserve">http://en.wikipedia.org/wiki/Sălaj_County	</v>
      <v xml:space="preserve">http://creativecommons.org/licenses/by-sa/3.0/	</v>
    </spb>
    <spb s="1">
      <v>165</v>
      <v>165</v>
      <v>165</v>
      <v>165</v>
      <v>165</v>
      <v>166</v>
      <v>165</v>
      <v>165</v>
      <v>165</v>
    </spb>
    <spb s="0">
      <v xml:space="preserve">Wikipedia	</v>
      <v xml:space="preserve">CC BY-SA 3.0	</v>
      <v xml:space="preserve">https://en.wikipedia.org/wiki/Zal%C4%83u	</v>
      <v xml:space="preserve">https://creativecommons.org/licenses/by-sa/3.0	</v>
    </spb>
    <spb s="10">
      <v>168</v>
      <v>168</v>
      <v>168</v>
      <v>168</v>
      <v>168</v>
      <v>168</v>
      <v>168</v>
      <v>168</v>
      <v>168</v>
      <v>168</v>
    </spb>
    <spb s="0">
      <v xml:space="preserve">Wikipedia	</v>
      <v xml:space="preserve">CC BY-SA 3.0	</v>
      <v xml:space="preserve">https://en.wikipedia.org/wiki/Vl%C4%83hi%C8%9Ba	</v>
      <v xml:space="preserve">https://creativecommons.org/licenses/by-sa/3.0	</v>
    </spb>
    <spb s="9">
      <v>170</v>
      <v>170</v>
      <v>170</v>
      <v>170</v>
      <v>170</v>
      <v>170</v>
      <v>170</v>
      <v>170</v>
      <v>170</v>
    </spb>
    <spb s="0">
      <v xml:space="preserve">Wikipedia	</v>
      <v xml:space="preserve">CC BY-SA 3.0	</v>
      <v xml:space="preserve">https://en.wikipedia.org/wiki/Dealu	</v>
      <v xml:space="preserve">https://creativecommons.org/licenses/by-sa/3.0	</v>
    </spb>
    <spb s="9">
      <v>172</v>
      <v>172</v>
      <v>172</v>
      <v>172</v>
      <v>172</v>
      <v>172</v>
      <v>172</v>
      <v>172</v>
      <v>172</v>
    </spb>
    <spb s="0">
      <v xml:space="preserve">Wikipedia	</v>
      <v xml:space="preserve">CC BY-SA 3.0	</v>
      <v xml:space="preserve">https://en.wikipedia.org/wiki/Suceava_County	</v>
      <v xml:space="preserve">https://creativecommons.org/licenses/by-sa/3.0	</v>
    </spb>
    <spb s="0">
      <v xml:space="preserve">Wikipedia	</v>
      <v xml:space="preserve">CC-BY-SA	</v>
      <v xml:space="preserve">http://en.wikipedia.org/wiki/Suceava_County	</v>
      <v xml:space="preserve">http://creativecommons.org/licenses/by-sa/3.0/	</v>
    </spb>
    <spb s="1">
      <v>174</v>
      <v>174</v>
      <v>174</v>
      <v>174</v>
      <v>174</v>
      <v>175</v>
      <v>174</v>
      <v>174</v>
      <v>174</v>
    </spb>
    <spb s="0">
      <v xml:space="preserve">Wikipedia	</v>
      <v xml:space="preserve">CC BY-SA 3.0	</v>
      <v xml:space="preserve">https://en.wikipedia.org/wiki/Teleorman_County	</v>
      <v xml:space="preserve">https://creativecommons.org/licenses/by-sa/3.0	</v>
    </spb>
    <spb s="0">
      <v xml:space="preserve">Wikipedia	</v>
      <v xml:space="preserve">CC-BY-SA	</v>
      <v xml:space="preserve">http://en.wikipedia.org/wiki/Teleorman_County	</v>
      <v xml:space="preserve">http://creativecommons.org/licenses/by-sa/3.0/	</v>
    </spb>
    <spb s="1">
      <v>177</v>
      <v>177</v>
      <v>177</v>
      <v>177</v>
      <v>177</v>
      <v>178</v>
      <v>177</v>
      <v>177</v>
      <v>177</v>
    </spb>
    <spb s="0">
      <v xml:space="preserve">Wikipedia	</v>
      <v xml:space="preserve">CC BY-SA 3.0	</v>
      <v xml:space="preserve">https://en.wikipedia.org/wiki/Alexandria,_Romania	</v>
      <v xml:space="preserve">https://creativecommons.org/licenses/by-sa/3.0	</v>
    </spb>
    <spb s="9">
      <v>180</v>
      <v>180</v>
      <v>180</v>
      <v>180</v>
      <v>180</v>
      <v>180</v>
      <v>180</v>
      <v>180</v>
      <v>180</v>
    </spb>
    <spb s="0">
      <v xml:space="preserve">Wikipedia	</v>
      <v xml:space="preserve">CC BY-SA 3.0	</v>
      <v xml:space="preserve">https://en.wikipedia.org/wiki/Gepiu	</v>
      <v xml:space="preserve">https://creativecommons.org/licenses/by-sa/3.0	</v>
    </spb>
    <spb s="10">
      <v>182</v>
      <v>182</v>
      <v>182</v>
      <v>182</v>
      <v>182</v>
      <v>182</v>
      <v>182</v>
      <v>182</v>
      <v>182</v>
      <v>182</v>
    </spb>
    <spb s="0">
      <v xml:space="preserve">Wikipedia	</v>
      <v xml:space="preserve">CC BY-SA 3.0	</v>
      <v xml:space="preserve">https://en.wikipedia.org/wiki/Biharia	</v>
      <v xml:space="preserve">https://creativecommons.org/licenses/by-sa/3.0	</v>
    </spb>
    <spb s="10">
      <v>184</v>
      <v>184</v>
      <v>184</v>
      <v>184</v>
      <v>184</v>
      <v>184</v>
      <v>184</v>
      <v>184</v>
      <v>184</v>
      <v>184</v>
    </spb>
    <spb s="0">
      <v xml:space="preserve">Wikipedia	</v>
      <v xml:space="preserve">CC BY-SA 3.0	</v>
      <v xml:space="preserve">https://en.wikipedia.org/wiki/Cluj_County	</v>
      <v xml:space="preserve">https://creativecommons.org/licenses/by-sa/3.0	</v>
    </spb>
    <spb s="0">
      <v xml:space="preserve">Wikipedia	</v>
      <v xml:space="preserve">CC-BY-SA	</v>
      <v xml:space="preserve">http://en.wikipedia.org/wiki/Cluj_County	</v>
      <v xml:space="preserve">http://creativecommons.org/licenses/by-sa/3.0/	</v>
    </spb>
    <spb s="1">
      <v>186</v>
      <v>186</v>
      <v>186</v>
      <v>186</v>
      <v>186</v>
      <v>187</v>
      <v>186</v>
      <v>186</v>
      <v>186</v>
    </spb>
    <spb s="0">
      <v xml:space="preserve">Wikipedia	</v>
      <v xml:space="preserve">CC BY-SA 3.0	</v>
      <v xml:space="preserve">https://en.wikipedia.org/wiki/Cluj-Napoca	</v>
      <v xml:space="preserve">https://creativecommons.org/licenses/by-sa/3.0	</v>
    </spb>
    <spb s="9">
      <v>189</v>
      <v>189</v>
      <v>189</v>
      <v>189</v>
      <v>189</v>
      <v>189</v>
      <v>189</v>
      <v>189</v>
      <v>189</v>
    </spb>
    <spb s="0">
      <v xml:space="preserve">Wikipedia	</v>
      <v xml:space="preserve">CC BY-SA 3.0	</v>
      <v xml:space="preserve">https://en.wikipedia.org/wiki/Bucov%C4%83%C8%9B,_Dolj	</v>
      <v xml:space="preserve">https://creativecommons.org/licenses/by-sa/3.0	</v>
    </spb>
    <spb s="9">
      <v>191</v>
      <v>191</v>
      <v>191</v>
      <v>191</v>
      <v>191</v>
      <v>191</v>
      <v>191</v>
      <v>191</v>
      <v>191</v>
    </spb>
    <spb s="13">
      <v>8</v>
      <v>Name</v>
    </spb>
    <spb s="14">
      <v>4</v>
      <v>4</v>
    </spb>
    <spb s="0">
      <v xml:space="preserve">Wikipedia	</v>
      <v xml:space="preserve">CC BY-SA 3.0	</v>
      <v xml:space="preserve">https://en.wikipedia.org/wiki/Giurgiu_County	</v>
      <v xml:space="preserve">https://creativecommons.org/licenses/by-sa/3.0	</v>
    </spb>
    <spb s="0">
      <v xml:space="preserve">Wikipedia	</v>
      <v xml:space="preserve">CC-BY-SA	</v>
      <v xml:space="preserve">http://en.wikipedia.org/wiki/Giurgiu_County	</v>
      <v xml:space="preserve">http://creativecommons.org/licenses/by-sa/3.0/	</v>
    </spb>
    <spb s="1">
      <v>195</v>
      <v>195</v>
      <v>195</v>
      <v>195</v>
      <v>195</v>
      <v>196</v>
      <v>195</v>
      <v>195</v>
      <v>195</v>
    </spb>
    <spb s="0">
      <v xml:space="preserve">Wikipedia	</v>
      <v xml:space="preserve">CC BY-SA 3.0	</v>
      <v xml:space="preserve">https://en.wikipedia.org/wiki/Giurgiu	</v>
      <v xml:space="preserve">https://creativecommons.org/licenses/by-sa/3.0	</v>
    </spb>
    <spb s="9">
      <v>198</v>
      <v>198</v>
      <v>198</v>
      <v>198</v>
      <v>198</v>
      <v>198</v>
      <v>198</v>
      <v>198</v>
      <v>198</v>
    </spb>
    <spb s="0">
      <v xml:space="preserve">Wikipedia	</v>
      <v xml:space="preserve">CC BY-SA 3.0	</v>
      <v xml:space="preserve">https://en.wikipedia.org/wiki/S%C3%A2nmihaiu_Rom%C3%A2n	</v>
      <v xml:space="preserve">https://creativecommons.org/licenses/by-sa/3.0	</v>
    </spb>
    <spb s="9">
      <v>200</v>
      <v>200</v>
      <v>200</v>
      <v>200</v>
      <v>200</v>
      <v>200</v>
      <v>200</v>
      <v>200</v>
      <v>200</v>
    </spb>
    <spb s="0">
      <v xml:space="preserve">Wikipedia	</v>
      <v xml:space="preserve">CC BY-SA 3.0	</v>
      <v xml:space="preserve">https://en.wikipedia.org/wiki/Livezeni	</v>
      <v xml:space="preserve">https://creativecommons.org/licenses/by-sa/3.0	</v>
    </spb>
    <spb s="9">
      <v>202</v>
      <v>202</v>
      <v>202</v>
      <v>202</v>
      <v>202</v>
      <v>202</v>
      <v>202</v>
      <v>202</v>
      <v>202</v>
    </spb>
    <spb s="0">
      <v xml:space="preserve">data.worldbank.org	</v>
      <v xml:space="preserve">	</v>
      <v xml:space="preserve">http://data.worldbank.org/indicator/FP.CPI.TOTL	</v>
      <v xml:space="preserve">	</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5">
      <v>204</v>
      <v>205</v>
      <v>206</v>
      <v>206</v>
      <v>207</v>
      <v>206</v>
      <v>206</v>
      <v>206</v>
      <v>208</v>
      <v>206</v>
      <v>206</v>
      <v>208</v>
      <v>206</v>
      <v>206</v>
      <v>209</v>
      <v>210</v>
      <v>205</v>
      <v>209</v>
      <v>211</v>
      <v>206</v>
      <v>209</v>
      <v>212</v>
      <v>213</v>
      <v>214</v>
      <v>209</v>
      <v>209</v>
      <v>206</v>
      <v>209</v>
      <v>215</v>
      <v>216</v>
      <v>217</v>
      <v>218</v>
      <v>209</v>
      <v>209</v>
      <v>209</v>
      <v>209</v>
      <v>209</v>
      <v>209</v>
      <v>209</v>
      <v>209</v>
      <v>209</v>
      <v>209</v>
      <v>209</v>
      <v>219</v>
    </spb>
    <spb s="2">
      <v>9</v>
      <v>Name</v>
      <v>LearnMoreOnLink</v>
    </spb>
    <spb s="16">
      <v>2012</v>
      <v>2007</v>
      <v>square km</v>
      <v>per thousand (2018)</v>
      <v>2025</v>
      <v>2012</v>
      <v>2018</v>
      <v>per liter (2014)</v>
      <v>2019</v>
      <v>years (2018)</v>
      <v>2007</v>
      <v>per thousand (2018)</v>
      <v>2019</v>
      <v>2017</v>
      <v>2016</v>
      <v>2019</v>
      <v>2016</v>
      <v>2016</v>
      <v>kilotons per year (2016)</v>
      <v>deaths per 100,000 (2017)</v>
      <v>kWh (2014)</v>
      <v>2014</v>
      <v>2004</v>
      <v>2004</v>
      <v>2004</v>
      <v>2004</v>
      <v>2004</v>
      <v>2012</v>
      <v>2004</v>
      <v>2004</v>
      <v>2013</v>
      <v>2016</v>
      <v>2019</v>
    </spb>
    <spb s="8">
      <v>5</v>
    </spb>
    <spb s="8">
      <v>6</v>
    </spb>
    <spb s="8">
      <v>7</v>
    </spb>
    <spb s="8">
      <v>8</v>
    </spb>
    <spb s="8">
      <v>9</v>
    </spb>
    <spb s="8">
      <v>10</v>
    </spb>
    <spb s="8">
      <v>11</v>
    </spb>
    <spb s="8">
      <v>12</v>
    </spb>
    <spb s="0">
      <v xml:space="preserve">Wikipedia	</v>
      <v xml:space="preserve">CC BY-SA 3.0	</v>
      <v xml:space="preserve">https://en.wikipedia.org/wiki/Giarmata	</v>
      <v xml:space="preserve">https://creativecommons.org/licenses/by-sa/3.0	</v>
    </spb>
    <spb s="9">
      <v>231</v>
      <v>231</v>
      <v>231</v>
      <v>231</v>
      <v>231</v>
      <v>231</v>
      <v>231</v>
      <v>231</v>
      <v>231</v>
    </spb>
    <spb s="0">
      <v xml:space="preserve">Wikipedia	</v>
      <v xml:space="preserve">CC BY-SA 3.0	</v>
      <v xml:space="preserve">https://en.wikipedia.org/wiki/Mo%C8%99ni%C8%9Ba_Nou%C4%83	</v>
      <v xml:space="preserve">https://creativecommons.org/licenses/by-sa/3.0	</v>
    </spb>
    <spb s="9">
      <v>233</v>
      <v>233</v>
      <v>233</v>
      <v>233</v>
      <v>233</v>
      <v>233</v>
      <v>233</v>
      <v>233</v>
      <v>233</v>
    </spb>
    <spb s="0">
      <v xml:space="preserve">Wikipedia	</v>
      <v xml:space="preserve">CC BY-SA 3.0	</v>
      <v xml:space="preserve">https://en.wikipedia.org/wiki/B%C3%A2lv%C4%83ne%C8%99ti	</v>
      <v xml:space="preserve">https://creativecommons.org/licenses/by-sa/3.0	</v>
    </spb>
    <spb s="9">
      <v>235</v>
      <v>235</v>
      <v>235</v>
      <v>235</v>
      <v>235</v>
      <v>235</v>
      <v>235</v>
      <v>235</v>
      <v>235</v>
    </spb>
    <spb s="0">
      <v xml:space="preserve">Wikipedia	</v>
      <v xml:space="preserve">CC BY-SA 3.0	</v>
      <v xml:space="preserve">https://en.wikipedia.org/wiki/Rob%C4%83ne%C8%99ti	</v>
      <v xml:space="preserve">https://creativecommons.org/licenses/by-sa/3.0	</v>
    </spb>
    <spb s="9">
      <v>237</v>
      <v>237</v>
      <v>237</v>
      <v>237</v>
      <v>237</v>
      <v>237</v>
      <v>237</v>
      <v>237</v>
      <v>237</v>
    </spb>
    <spb s="0">
      <v xml:space="preserve">Wikipedia	</v>
      <v xml:space="preserve">CC BY-SA 3.0	</v>
      <v xml:space="preserve">https://en.wikipedia.org/wiki/Seini	</v>
      <v xml:space="preserve">https://creativecommons.org/licenses/by-sa/3.0	</v>
    </spb>
    <spb s="9">
      <v>239</v>
      <v>239</v>
      <v>239</v>
      <v>239</v>
      <v>239</v>
      <v>239</v>
      <v>239</v>
      <v>239</v>
      <v>239</v>
    </spb>
    <spb s="0">
      <v xml:space="preserve">Wikipedia	</v>
      <v xml:space="preserve">CC BY-SA 3.0	</v>
      <v xml:space="preserve">https://en.wikipedia.org/wiki/Schitu,_Olt	</v>
      <v xml:space="preserve">https://creativecommons.org/licenses/by-sa/3.0	</v>
    </spb>
    <spb s="9">
      <v>241</v>
      <v>241</v>
      <v>241</v>
      <v>241</v>
      <v>241</v>
      <v>241</v>
      <v>241</v>
      <v>241</v>
      <v>241</v>
    </spb>
    <spb s="0">
      <v xml:space="preserve">Wikipedia	</v>
      <v xml:space="preserve">CC BY-SA 3.0	</v>
      <v xml:space="preserve">https://en.wikipedia.org/wiki/B%C4%83ile%C8%99ti	</v>
      <v xml:space="preserve">https://creativecommons.org/licenses/by-sa/3.0	</v>
    </spb>
    <spb s="9">
      <v>243</v>
      <v>243</v>
      <v>243</v>
      <v>243</v>
      <v>243</v>
      <v>243</v>
      <v>243</v>
      <v>243</v>
      <v>243</v>
    </spb>
    <spb s="0">
      <v xml:space="preserve">Wikipedia	</v>
      <v xml:space="preserve">CC BY-SA 3.0	</v>
      <v xml:space="preserve">https://en.wikipedia.org/wiki/D%C4%83neasa	</v>
      <v xml:space="preserve">https://creativecommons.org/licenses/by-sa/3.0	</v>
    </spb>
    <spb s="9">
      <v>245</v>
      <v>245</v>
      <v>245</v>
      <v>245</v>
      <v>245</v>
      <v>245</v>
      <v>245</v>
      <v>245</v>
      <v>245</v>
    </spb>
    <spb s="0">
      <v xml:space="preserve">Wikipedia	</v>
      <v xml:space="preserve">CC BY-SA 3.0	</v>
      <v xml:space="preserve">https://en.wikipedia.org/wiki/Ulmeni,_Maramure%C8%99	</v>
      <v xml:space="preserve">https://creativecommons.org/licenses/by-sa/3.0	</v>
    </spb>
    <spb s="11">
      <v>247</v>
      <v>247</v>
      <v>247</v>
      <v>247</v>
      <v>247</v>
      <v>247</v>
      <v>247</v>
      <v>247</v>
    </spb>
    <spb s="13">
      <v>10</v>
      <v>Name</v>
    </spb>
    <spb s="0">
      <v xml:space="preserve">Wikipedia	</v>
      <v xml:space="preserve">CC BY-SA 3.0	</v>
      <v xml:space="preserve">https://en.wikipedia.org/wiki/C%C3%A2mpulung	</v>
      <v xml:space="preserve">https://creativecommons.org/licenses/by-sa/3.0	</v>
    </spb>
    <spb s="10">
      <v>250</v>
      <v>250</v>
      <v>250</v>
      <v>250</v>
      <v>250</v>
      <v>250</v>
      <v>250</v>
      <v>250</v>
      <v>250</v>
      <v>250</v>
    </spb>
    <spb s="0">
      <v xml:space="preserve">Wikipedia	</v>
      <v xml:space="preserve">CC BY-SA 3.0	</v>
      <v xml:space="preserve">https://en.wikipedia.org/wiki/Corabia	</v>
      <v xml:space="preserve">https://creativecommons.org/licenses/by-sa/3.0	</v>
    </spb>
    <spb s="9">
      <v>252</v>
      <v>252</v>
      <v>252</v>
      <v>252</v>
      <v>252</v>
      <v>252</v>
      <v>252</v>
      <v>252</v>
      <v>252</v>
    </spb>
    <spb s="0">
      <v xml:space="preserve">Wikipedia	</v>
      <v xml:space="preserve">CC BY-SA 3.0	</v>
      <v xml:space="preserve">https://en.wikipedia.org/wiki/Mihai_Viteazu,_Cluj	</v>
      <v xml:space="preserve">https://creativecommons.org/licenses/by-sa/3.0	</v>
    </spb>
    <spb s="9">
      <v>254</v>
      <v>254</v>
      <v>254</v>
      <v>254</v>
      <v>254</v>
      <v>254</v>
      <v>254</v>
      <v>254</v>
      <v>254</v>
    </spb>
    <spb s="0">
      <v xml:space="preserve">Wikipedia	</v>
      <v xml:space="preserve">CC BY-SA 3.0	</v>
      <v xml:space="preserve">https://en.wikipedia.org/wiki/Turda	</v>
      <v xml:space="preserve">https://creativecommons.org/licenses/by-sa/3.0	</v>
    </spb>
    <spb s="9">
      <v>256</v>
      <v>256</v>
      <v>256</v>
      <v>256</v>
      <v>256</v>
      <v>256</v>
      <v>256</v>
      <v>256</v>
      <v>256</v>
    </spb>
    <spb s="0">
      <v xml:space="preserve">Wikipedia	</v>
      <v xml:space="preserve">CC BY-SA 3.0	</v>
      <v xml:space="preserve">https://en.wikipedia.org/wiki/Dumitra	</v>
      <v xml:space="preserve">https://creativecommons.org/licenses/by-sa/3.0	</v>
    </spb>
    <spb s="9">
      <v>258</v>
      <v>258</v>
      <v>258</v>
      <v>258</v>
      <v>258</v>
      <v>258</v>
      <v>258</v>
      <v>258</v>
      <v>258</v>
    </spb>
    <spb s="0">
      <v xml:space="preserve">Wikipedia	</v>
      <v xml:space="preserve">CC BY-SA 3.0	</v>
      <v xml:space="preserve">https://en.wikipedia.org/wiki/Sighetu_Marma%C8%9Biei	</v>
      <v xml:space="preserve">https://creativecommons.org/licenses/by-sa/3.0	</v>
    </spb>
    <spb s="10">
      <v>260</v>
      <v>260</v>
      <v>260</v>
      <v>260</v>
      <v>260</v>
      <v>260</v>
      <v>260</v>
      <v>260</v>
      <v>260</v>
      <v>260</v>
    </spb>
    <spb s="0">
      <v xml:space="preserve">Wikipedia	</v>
      <v xml:space="preserve">CC BY-SA 3.0	</v>
      <v xml:space="preserve">https://en.wikipedia.org/wiki/Lunca_Bradului	</v>
      <v xml:space="preserve">https://creativecommons.org/licenses/by-sa/3.0	</v>
    </spb>
    <spb s="9">
      <v>262</v>
      <v>262</v>
      <v>262</v>
      <v>262</v>
      <v>262</v>
      <v>262</v>
      <v>262</v>
      <v>262</v>
      <v>262</v>
    </spb>
    <spb s="0">
      <v xml:space="preserve">Wikipedia	</v>
      <v xml:space="preserve">CC BY-SA 3.0	</v>
      <v xml:space="preserve">https://en.wikipedia.org/wiki/%C8%98imian,_Bihor	</v>
      <v xml:space="preserve">https://creativecommons.org/licenses/by-sa/3.0	</v>
    </spb>
    <spb s="10">
      <v>264</v>
      <v>264</v>
      <v>264</v>
      <v>264</v>
      <v>264</v>
      <v>264</v>
      <v>264</v>
      <v>264</v>
      <v>264</v>
      <v>264</v>
    </spb>
    <spb s="13">
      <v>11</v>
      <v>Name</v>
    </spb>
    <spb s="0">
      <v xml:space="preserve">Wikipedia	</v>
      <v xml:space="preserve">CC BY-SA 3.0	</v>
      <v xml:space="preserve">https://en.wikipedia.org/wiki/Mese%C8%99enii_de_Jos	</v>
      <v xml:space="preserve">https://creativecommons.org/licenses/by-sa/3.0	</v>
    </spb>
    <spb s="10">
      <v>267</v>
      <v>267</v>
      <v>267</v>
      <v>267</v>
      <v>267</v>
      <v>267</v>
      <v>267</v>
      <v>267</v>
      <v>267</v>
      <v>267</v>
    </spb>
    <spb s="0">
      <v xml:space="preserve">Wikipedia	</v>
      <v xml:space="preserve">CC BY-SA 3.0	</v>
      <v xml:space="preserve">https://en.wikipedia.org/wiki/Ale%C8%99d	</v>
      <v xml:space="preserve">https://creativecommons.org/licenses/by-sa/3.0	</v>
    </spb>
    <spb s="10">
      <v>269</v>
      <v>269</v>
      <v>269</v>
      <v>269</v>
      <v>269</v>
      <v>269</v>
      <v>269</v>
      <v>269</v>
      <v>269</v>
      <v>269</v>
    </spb>
    <spb s="0">
      <v xml:space="preserve">Wikipedia	</v>
      <v xml:space="preserve">CC BY-SA 3.0	</v>
      <v xml:space="preserve">https://en.wikipedia.org/wiki/Bistri%C8%9Ba_B%C3%A2rg%C4%83ului	</v>
      <v xml:space="preserve">https://creativecommons.org/licenses/by-sa/3.0	</v>
    </spb>
    <spb s="9">
      <v>271</v>
      <v>271</v>
      <v>271</v>
      <v>271</v>
      <v>271</v>
      <v>271</v>
      <v>271</v>
      <v>271</v>
      <v>271</v>
    </spb>
    <spb s="0">
      <v xml:space="preserve">Wikipedia	</v>
      <v xml:space="preserve">CC BY-SA 3.0	</v>
      <v xml:space="preserve">https://en.wikipedia.org/wiki/Chi%C8%99laz	</v>
      <v xml:space="preserve">https://creativecommons.org/licenses/by-sa/3.0	</v>
    </spb>
    <spb s="10">
      <v>273</v>
      <v>273</v>
      <v>273</v>
      <v>273</v>
      <v>273</v>
      <v>273</v>
      <v>273</v>
      <v>273</v>
      <v>273</v>
      <v>273</v>
    </spb>
    <spb s="0">
      <v xml:space="preserve">Wikipedia	</v>
      <v xml:space="preserve">CC BY-SA 3.0	</v>
      <v xml:space="preserve">https://en.wikipedia.org/wiki/P%C4%83net	</v>
      <v xml:space="preserve">https://creativecommons.org/licenses/by-sa/3.0	</v>
    </spb>
    <spb s="9">
      <v>275</v>
      <v>275</v>
      <v>275</v>
      <v>275</v>
      <v>275</v>
      <v>275</v>
      <v>275</v>
      <v>275</v>
      <v>275</v>
    </spb>
    <spb s="0">
      <v xml:space="preserve">Wikipedia	</v>
      <v xml:space="preserve">CC BY-SA 3.0	</v>
      <v xml:space="preserve">https://en.wikipedia.org/wiki/C%C3%A2mpia_Turzii	</v>
      <v xml:space="preserve">https://creativecommons.org/licenses/by-sa/3.0	</v>
    </spb>
    <spb s="9">
      <v>277</v>
      <v>277</v>
      <v>277</v>
      <v>277</v>
      <v>277</v>
      <v>277</v>
      <v>277</v>
      <v>277</v>
      <v>277</v>
    </spb>
    <spb s="0">
      <v xml:space="preserve">Wikipedia	</v>
      <v xml:space="preserve">CC BY-SA 3.0	</v>
      <v xml:space="preserve">https://en.wikipedia.org/wiki/Mo%C8%99oaia	</v>
      <v xml:space="preserve">https://creativecommons.org/licenses/by-sa/3.0	</v>
    </spb>
    <spb s="9">
      <v>279</v>
      <v>279</v>
      <v>279</v>
      <v>279</v>
      <v>279</v>
      <v>279</v>
      <v>279</v>
      <v>279</v>
      <v>279</v>
    </spb>
    <spb s="0">
      <v xml:space="preserve">Wikipedia	</v>
      <v xml:space="preserve">CC BY-SA 3.0	</v>
      <v xml:space="preserve">https://en.wikipedia.org/wiki/Slobozia,_Arge%C8%99	</v>
      <v xml:space="preserve">https://creativecommons.org/licenses/by-sa/3.0	</v>
    </spb>
    <spb s="9">
      <v>281</v>
      <v>281</v>
      <v>281</v>
      <v>281</v>
      <v>281</v>
      <v>281</v>
      <v>281</v>
      <v>281</v>
      <v>281</v>
    </spb>
    <spb s="0">
      <v xml:space="preserve">Wikipedia	</v>
      <v xml:space="preserve">CC BY-SA 3.0	</v>
      <v xml:space="preserve">https://en.wikipedia.org/wiki/S%C3%A2nandrei	</v>
      <v xml:space="preserve">https://creativecommons.org/licenses/by-sa/3.0	</v>
    </spb>
    <spb s="9">
      <v>283</v>
      <v>283</v>
      <v>283</v>
      <v>283</v>
      <v>283</v>
      <v>283</v>
      <v>283</v>
      <v>283</v>
      <v>283</v>
    </spb>
    <spb s="0">
      <v xml:space="preserve">Wikipedia	</v>
      <v xml:space="preserve">CC BY-SA 3.0	</v>
      <v xml:space="preserve">https://en.wikipedia.org/wiki/S%C4%83c%C4%83laz	</v>
      <v xml:space="preserve">https://creativecommons.org/licenses/by-sa/3.0	</v>
    </spb>
    <spb s="9">
      <v>285</v>
      <v>285</v>
      <v>285</v>
      <v>285</v>
      <v>285</v>
      <v>285</v>
      <v>285</v>
      <v>285</v>
      <v>285</v>
    </spb>
    <spb s="0">
      <v xml:space="preserve">Wikipedia	</v>
      <v xml:space="preserve">CC BY-SA 3.0	</v>
      <v xml:space="preserve">https://en.wikipedia.org/wiki/Ghimbav	</v>
      <v xml:space="preserve">https://creativecommons.org/licenses/by-sa/3.0	</v>
    </spb>
    <spb s="9">
      <v>287</v>
      <v>287</v>
      <v>287</v>
      <v>287</v>
      <v>287</v>
      <v>287</v>
      <v>287</v>
      <v>287</v>
      <v>287</v>
    </spb>
    <spb s="0">
      <v xml:space="preserve">Wikipedia	</v>
      <v xml:space="preserve">CC BY-SA 3.0	</v>
      <v xml:space="preserve">https://en.wikipedia.org/wiki/Chi%C8%99ineu-Cri%C8%99	</v>
      <v xml:space="preserve">https://creativecommons.org/licenses/by-sa/3.0	</v>
    </spb>
    <spb s="9">
      <v>289</v>
      <v>289</v>
      <v>289</v>
      <v>289</v>
      <v>289</v>
      <v>289</v>
      <v>289</v>
      <v>289</v>
      <v>289</v>
    </spb>
    <spb s="0">
      <v xml:space="preserve">Wikipedia	</v>
      <v xml:space="preserve">CC BY-SA 3.0	</v>
      <v xml:space="preserve">https://en.wikipedia.org/wiki/N%C4%83s%C4%83ud	</v>
      <v xml:space="preserve">https://creativecommons.org/licenses/by-sa/3.0	</v>
    </spb>
    <spb s="9">
      <v>291</v>
      <v>291</v>
      <v>291</v>
      <v>291</v>
      <v>291</v>
      <v>291</v>
      <v>291</v>
      <v>291</v>
      <v>291</v>
    </spb>
    <spb s="0">
      <v xml:space="preserve">Wikipedia	</v>
      <v xml:space="preserve">CC BY-SA 3.0	</v>
      <v xml:space="preserve">https://en.wikipedia.org/wiki/Zam,_Hunedoara	</v>
      <v xml:space="preserve">https://creativecommons.org/licenses/by-sa/3.0	</v>
    </spb>
    <spb s="9">
      <v>293</v>
      <v>293</v>
      <v>293</v>
      <v>293</v>
      <v>293</v>
      <v>293</v>
      <v>293</v>
      <v>293</v>
      <v>293</v>
    </spb>
    <spb s="0">
      <v xml:space="preserve">Wikipedia	</v>
      <v xml:space="preserve">CC BY-SA 3.0	</v>
      <v xml:space="preserve">https://en.wikipedia.org/wiki/Ghiroda	</v>
      <v xml:space="preserve">https://creativecommons.org/licenses/by-sa/3.0	</v>
    </spb>
    <spb s="9">
      <v>295</v>
      <v>295</v>
      <v>295</v>
      <v>295</v>
      <v>295</v>
      <v>295</v>
      <v>295</v>
      <v>295</v>
      <v>295</v>
    </spb>
    <spb s="0">
      <v xml:space="preserve">Wikipedia	</v>
      <v xml:space="preserve">CC BY-SA 3.0	</v>
      <v xml:space="preserve">https://en.wikipedia.org/wiki/Crasna,_S%C4%83laj	</v>
      <v xml:space="preserve">https://creativecommons.org/licenses/by-sa/3.0	</v>
    </spb>
    <spb s="10">
      <v>297</v>
      <v>297</v>
      <v>297</v>
      <v>297</v>
      <v>297</v>
      <v>297</v>
      <v>297</v>
      <v>297</v>
      <v>297</v>
      <v>297</v>
    </spb>
    <spb s="13">
      <v>12</v>
      <v>Name</v>
    </spb>
    <spb s="0">
      <v xml:space="preserve">Wikipedia	</v>
      <v xml:space="preserve">CC BY-SA 3.0	</v>
      <v xml:space="preserve">https://en.wikipedia.org/wiki/Bughea_de_Sus	</v>
      <v xml:space="preserve">https://creativecommons.org/licenses/by-sa/3.0	</v>
    </spb>
    <spb s="9">
      <v>300</v>
      <v>300</v>
      <v>300</v>
      <v>300</v>
      <v>300</v>
      <v>300</v>
      <v>300</v>
      <v>300</v>
      <v>300</v>
    </spb>
    <spb s="0">
      <v xml:space="preserve">Wikipedia	</v>
      <v xml:space="preserve">CC BY-SA 3.0	</v>
      <v xml:space="preserve">https://en.wikipedia.org/wiki/Ac%C4%83%C8%9Bari	</v>
      <v xml:space="preserve">https://creativecommons.org/licenses/by-sa/3.0	</v>
    </spb>
    <spb s="9">
      <v>302</v>
      <v>302</v>
      <v>302</v>
      <v>302</v>
      <v>302</v>
      <v>302</v>
      <v>302</v>
      <v>302</v>
      <v>302</v>
    </spb>
    <spb s="0">
      <v xml:space="preserve">Wikipedia	</v>
      <v xml:space="preserve">CC BY-SA 3.0	</v>
      <v xml:space="preserve">https://en.wikipedia.org/wiki/%C8%98omcuta_Mare	</v>
      <v xml:space="preserve">https://creativecommons.org/licenses/by-sa/3.0	</v>
    </spb>
    <spb s="9">
      <v>304</v>
      <v>304</v>
      <v>304</v>
      <v>304</v>
      <v>304</v>
      <v>304</v>
      <v>304</v>
      <v>304</v>
      <v>304</v>
    </spb>
    <spb s="0">
      <v xml:space="preserve">Wikipedia	</v>
      <v xml:space="preserve">CC BY-SA 3.0	</v>
      <v xml:space="preserve">https://en.wikipedia.org/wiki/Livezi,_V%C3%A2lcea	</v>
      <v xml:space="preserve">https://creativecommons.org/licenses/by-sa/3.0	</v>
    </spb>
    <spb s="9">
      <v>306</v>
      <v>306</v>
      <v>306</v>
      <v>306</v>
      <v>306</v>
      <v>306</v>
      <v>306</v>
      <v>306</v>
      <v>306</v>
    </spb>
    <spb s="0">
      <v xml:space="preserve">Wikipedia	</v>
      <v xml:space="preserve">CC BY-SA 3.0	</v>
      <v xml:space="preserve">https://en.wikipedia.org/wiki/Ocna_%C8%98ugatag	</v>
      <v xml:space="preserve">https://creativecommons.org/licenses/by-sa/3.0	</v>
    </spb>
    <spb s="9">
      <v>308</v>
      <v>308</v>
      <v>308</v>
      <v>308</v>
      <v>308</v>
      <v>308</v>
      <v>308</v>
      <v>308</v>
      <v>308</v>
    </spb>
    <spb s="0">
      <v xml:space="preserve">Wikipedia	</v>
      <v xml:space="preserve">CC BY-SA 3.0	</v>
      <v xml:space="preserve">https://en.wikipedia.org/wiki/Rom%C3%A2na%C8%99i	</v>
      <v xml:space="preserve">https://creativecommons.org/licenses/by-sa/3.0	</v>
    </spb>
    <spb s="10">
      <v>310</v>
      <v>310</v>
      <v>310</v>
      <v>310</v>
      <v>310</v>
      <v>310</v>
      <v>310</v>
      <v>310</v>
      <v>310</v>
      <v>310</v>
    </spb>
    <spb s="0">
      <v xml:space="preserve">Wikipedia	</v>
      <v xml:space="preserve">CC BY-SA 3.0	</v>
      <v xml:space="preserve">https://en.wikipedia.org/wiki/Marghita	</v>
      <v xml:space="preserve">https://creativecommons.org/licenses/by-sa/3.0	</v>
    </spb>
    <spb s="10">
      <v>312</v>
      <v>312</v>
      <v>312</v>
      <v>312</v>
      <v>312</v>
      <v>312</v>
      <v>312</v>
      <v>312</v>
      <v>312</v>
      <v>312</v>
    </spb>
    <spb s="0">
      <v xml:space="preserve">Wikipedia	</v>
      <v xml:space="preserve">CC BY-SA 3.0	</v>
      <v xml:space="preserve">https://en.wikipedia.org/wiki/Aita_Mare	</v>
      <v xml:space="preserve">https://creativecommons.org/licenses/by-sa/3.0	</v>
    </spb>
    <spb s="9">
      <v>314</v>
      <v>314</v>
      <v>314</v>
      <v>314</v>
      <v>314</v>
      <v>314</v>
      <v>314</v>
      <v>314</v>
      <v>314</v>
    </spb>
    <spb s="0">
      <v xml:space="preserve">Wikipedia	</v>
      <v xml:space="preserve">CC BY-SA 3.0	</v>
      <v xml:space="preserve">https://en.wikipedia.org/wiki/Becicherecu_Mic	</v>
      <v xml:space="preserve">https://creativecommons.org/licenses/by-sa/3.0	</v>
    </spb>
    <spb s="9">
      <v>316</v>
      <v>316</v>
      <v>316</v>
      <v>316</v>
      <v>316</v>
      <v>316</v>
      <v>316</v>
      <v>316</v>
      <v>316</v>
    </spb>
    <spb s="0">
      <v xml:space="preserve">Wikipedia	</v>
      <v xml:space="preserve">CC BY-SA 3.0	</v>
      <v xml:space="preserve">https://en.wikipedia.org/wiki/Ghioroc	</v>
      <v xml:space="preserve">https://creativecommons.org/licenses/by-sa/3.0	</v>
    </spb>
    <spb s="9">
      <v>318</v>
      <v>318</v>
      <v>318</v>
      <v>318</v>
      <v>318</v>
      <v>318</v>
      <v>318</v>
      <v>318</v>
      <v>318</v>
    </spb>
    <spb s="0">
      <v xml:space="preserve">Wikipedia	</v>
      <v xml:space="preserve">CC BY-SA 3.0	</v>
      <v xml:space="preserve">https://en.wikipedia.org/wiki/Orle%C8%99ti	</v>
      <v xml:space="preserve">https://creativecommons.org/licenses/by-sa/3.0	</v>
    </spb>
    <spb s="9">
      <v>320</v>
      <v>320</v>
      <v>320</v>
      <v>320</v>
      <v>320</v>
      <v>320</v>
      <v>320</v>
      <v>320</v>
      <v>320</v>
    </spb>
    <spb s="0">
      <v xml:space="preserve">Wikipedia	</v>
      <v xml:space="preserve">CC BY-SA 3.0	</v>
      <v xml:space="preserve">https://en.wikipedia.org/wiki/Vladimirescu,_Arad	</v>
      <v xml:space="preserve">https://creativecommons.org/licenses/by-sa/3.0	</v>
    </spb>
    <spb s="9">
      <v>322</v>
      <v>322</v>
      <v>322</v>
      <v>322</v>
      <v>322</v>
      <v>322</v>
      <v>322</v>
      <v>322</v>
      <v>322</v>
    </spb>
    <spb s="0">
      <v xml:space="preserve">Wikipedia	</v>
      <v xml:space="preserve">CC BY-SA 3.0	</v>
      <v xml:space="preserve">https://en.wikipedia.org/wiki/S%C4%83lard	</v>
      <v xml:space="preserve">https://creativecommons.org/licenses/by-sa/3.0	</v>
    </spb>
    <spb s="10">
      <v>324</v>
      <v>324</v>
      <v>324</v>
      <v>324</v>
      <v>324</v>
      <v>324</v>
      <v>324</v>
      <v>324</v>
      <v>324</v>
      <v>324</v>
    </spb>
    <spb s="0">
      <v xml:space="preserve">Wikipedia	</v>
      <v xml:space="preserve">CC BY-SA 3.0	</v>
      <v xml:space="preserve">https://en.wikipedia.org/wiki/Sauvo	</v>
      <v xml:space="preserve">https://creativecommons.org/licenses/by-sa/3.0	</v>
    </spb>
    <spb s="10">
      <v>326</v>
      <v>326</v>
      <v>326</v>
      <v>326</v>
      <v>326</v>
      <v>326</v>
      <v>326</v>
      <v>326</v>
      <v>326</v>
      <v>326</v>
    </spb>
    <spb s="7">
      <v>square km</v>
      <v>2025</v>
    </spb>
    <spb s="0">
      <v xml:space="preserve">Wikipedia	</v>
      <v xml:space="preserve">CC BY-SA 3.0	</v>
      <v xml:space="preserve">https://en.wikipedia.org/wiki/Albe%C8%99tii_de_Arge%C8%99	</v>
      <v xml:space="preserve">https://creativecommons.org/licenses/by-sa/3.0	</v>
    </spb>
    <spb s="9">
      <v>329</v>
      <v>329</v>
      <v>329</v>
      <v>329</v>
      <v>329</v>
      <v>329</v>
      <v>329</v>
      <v>329</v>
      <v>329</v>
    </spb>
    <spb s="0">
      <v xml:space="preserve">Wikipedia	</v>
      <v xml:space="preserve">CC BY-SA 3.0	</v>
      <v xml:space="preserve">https://en.wikipedia.org/wiki/Reca%C8%99	</v>
      <v xml:space="preserve">https://creativecommons.org/licenses/by-sa/3.0	</v>
    </spb>
    <spb s="10">
      <v>331</v>
      <v>331</v>
      <v>331</v>
      <v>331</v>
      <v>331</v>
      <v>331</v>
      <v>331</v>
      <v>331</v>
      <v>331</v>
      <v>331</v>
    </spb>
    <spb s="0">
      <v xml:space="preserve">Wikipedia	</v>
      <v xml:space="preserve">CC BY-SA 3.0	</v>
      <v xml:space="preserve">https://en.wikipedia.org/wiki/Moieciu	</v>
      <v xml:space="preserve">https://creativecommons.org/licenses/by-sa/3.0	</v>
    </spb>
    <spb s="9">
      <v>333</v>
      <v>333</v>
      <v>333</v>
      <v>333</v>
      <v>333</v>
      <v>333</v>
      <v>333</v>
      <v>333</v>
      <v>333</v>
    </spb>
    <spb s="0">
      <v xml:space="preserve">Wikipedia	</v>
      <v xml:space="preserve">CC BY-SA 3.0	</v>
      <v xml:space="preserve">https://en.wikipedia.org/wiki/Pecica	</v>
      <v xml:space="preserve">https://creativecommons.org/licenses/by-sa/3.0	</v>
    </spb>
    <spb s="9">
      <v>335</v>
      <v>335</v>
      <v>335</v>
      <v>335</v>
      <v>335</v>
      <v>335</v>
      <v>335</v>
      <v>335</v>
      <v>335</v>
    </spb>
    <spb s="0">
      <v xml:space="preserve">Wikipedia	</v>
      <v xml:space="preserve">CC BY-SA 3.0	</v>
      <v xml:space="preserve">https://en.wikipedia.org/wiki/Tople%C8%9B	</v>
      <v xml:space="preserve">https://creativecommons.org/licenses/by-sa/3.0	</v>
    </spb>
    <spb s="9">
      <v>337</v>
      <v>337</v>
      <v>337</v>
      <v>337</v>
      <v>337</v>
      <v>337</v>
      <v>337</v>
      <v>337</v>
      <v>337</v>
    </spb>
    <spb s="0">
      <v xml:space="preserve">Wikipedia	</v>
      <v xml:space="preserve">CC BY-SA 3.0	</v>
      <v xml:space="preserve">https://en.wikipedia.org/wiki/Maravat	</v>
      <v xml:space="preserve">https://creativecommons.org/licenses/by-sa/3.0	</v>
    </spb>
    <spb s="9">
      <v>339</v>
      <v>339</v>
      <v>339</v>
      <v>339</v>
      <v>339</v>
      <v>339</v>
      <v>339</v>
      <v>339</v>
      <v>339</v>
    </spb>
    <spb s="2">
      <v>13</v>
      <v>Name</v>
      <v>LearnMoreOnLink</v>
    </spb>
    <spb s="17">
      <v>1</v>
    </spb>
    <spb s="7">
      <v>square km</v>
      <v>2023</v>
    </spb>
    <spb s="0">
      <v xml:space="preserve">Wikipedia	</v>
      <v xml:space="preserve">CC BY-SA 3.0	</v>
      <v xml:space="preserve">https://en.wikipedia.org/wiki/Media%C8%99	</v>
      <v xml:space="preserve">https://creativecommons.org/licenses/by-sa/3.0	</v>
    </spb>
    <spb s="9">
      <v>344</v>
      <v>344</v>
      <v>344</v>
      <v>344</v>
      <v>344</v>
      <v>344</v>
      <v>344</v>
      <v>344</v>
      <v>344</v>
    </spb>
    <spb s="0">
      <v xml:space="preserve">Wikipedia	</v>
      <v xml:space="preserve">CC BY-SA 3.0	</v>
      <v xml:space="preserve">https://en.wikipedia.org/wiki/%C8%98ag	</v>
      <v xml:space="preserve">https://creativecommons.org/licenses/by-sa/3.0	</v>
    </spb>
    <spb s="9">
      <v>346</v>
      <v>346</v>
      <v>346</v>
      <v>346</v>
      <v>346</v>
      <v>346</v>
      <v>346</v>
      <v>346</v>
      <v>346</v>
    </spb>
    <spb s="0">
      <v xml:space="preserve">Wikipedia	</v>
      <v xml:space="preserve">CC BY-SA 3.0	</v>
      <v xml:space="preserve">https://en.wikipedia.org/wiki/Segarcea	</v>
      <v xml:space="preserve">https://creativecommons.org/licenses/by-sa/3.0	</v>
    </spb>
    <spb s="9">
      <v>348</v>
      <v>348</v>
      <v>348</v>
      <v>348</v>
      <v>348</v>
      <v>348</v>
      <v>348</v>
      <v>348</v>
      <v>348</v>
    </spb>
    <spb s="0">
      <v xml:space="preserve">Wikipedia	</v>
      <v xml:space="preserve">CC BY-SA 3.0	</v>
      <v xml:space="preserve">https://en.wikipedia.org/wiki/Baia_Sprie	</v>
      <v xml:space="preserve">https://creativecommons.org/licenses/by-sa/3.0	</v>
    </spb>
    <spb s="9">
      <v>350</v>
      <v>350</v>
      <v>350</v>
      <v>350</v>
      <v>350</v>
      <v>350</v>
      <v>350</v>
      <v>350</v>
      <v>350</v>
    </spb>
    <spb s="0">
      <v xml:space="preserve">Wikipedia	</v>
      <v xml:space="preserve">CC BY-SA 3.0	</v>
      <v xml:space="preserve">https://en.wikipedia.org/wiki/Prigoria	</v>
      <v xml:space="preserve">https://creativecommons.org/licenses/by-sa/3.0	</v>
    </spb>
    <spb s="9">
      <v>352</v>
      <v>352</v>
      <v>352</v>
      <v>352</v>
      <v>352</v>
      <v>352</v>
      <v>352</v>
      <v>352</v>
      <v>352</v>
    </spb>
    <spb s="0">
      <v xml:space="preserve">Wikipedia	</v>
      <v xml:space="preserve">CC BY-SA 3.0	</v>
      <v xml:space="preserve">https://en.wikipedia.org/wiki/Cr%C4%83ciune%C8%99ti	</v>
      <v xml:space="preserve">https://creativecommons.org/licenses/by-sa/3.0	</v>
    </spb>
    <spb s="9">
      <v>354</v>
      <v>354</v>
      <v>354</v>
      <v>354</v>
      <v>354</v>
      <v>354</v>
      <v>354</v>
      <v>354</v>
      <v>354</v>
    </spb>
    <spb s="0">
      <v xml:space="preserve">Wikipedia	</v>
      <v xml:space="preserve">CC BY-SA 3.0	</v>
      <v xml:space="preserve">https://en.wikipedia.org/wiki/Mica,_Mure%C8%99	</v>
      <v xml:space="preserve">https://creativecommons.org/licenses/by-sa/3.0	</v>
    </spb>
    <spb s="9">
      <v>356</v>
      <v>356</v>
      <v>356</v>
      <v>356</v>
      <v>356</v>
      <v>356</v>
      <v>356</v>
      <v>356</v>
      <v>356</v>
    </spb>
    <spb s="13">
      <v>14</v>
      <v>Name</v>
    </spb>
    <spb s="0">
      <v xml:space="preserve">Wikipedia	</v>
      <v xml:space="preserve">CC BY-SA 3.0	</v>
      <v xml:space="preserve">https://en.wikipedia.org/wiki/Jimbolia	</v>
      <v xml:space="preserve">https://creativecommons.org/licenses/by-sa/3.0	</v>
    </spb>
    <spb s="9">
      <v>359</v>
      <v>359</v>
      <v>359</v>
      <v>359</v>
      <v>359</v>
      <v>359</v>
      <v>359</v>
      <v>359</v>
      <v>359</v>
    </spb>
    <spb s="0">
      <v xml:space="preserve">Wikipedia	</v>
      <v xml:space="preserve">CC BY-SA 3.0	</v>
      <v xml:space="preserve">https://en.wikipedia.org/wiki/%C8%98imleu_Silvaniei	</v>
      <v xml:space="preserve">https://creativecommons.org/licenses/by-sa/3.0	</v>
    </spb>
    <spb s="10">
      <v>361</v>
      <v>361</v>
      <v>361</v>
      <v>361</v>
      <v>361</v>
      <v>361</v>
      <v>361</v>
      <v>361</v>
      <v>361</v>
      <v>361</v>
    </spb>
    <spb s="0">
      <v xml:space="preserve">Wikipedia	</v>
      <v xml:space="preserve">CC BY-SA 3.0	</v>
      <v xml:space="preserve">https://en.wikipedia.org/wiki/B%C3%A2lteni	</v>
      <v xml:space="preserve">https://creativecommons.org/licenses/by-sa/3.0	</v>
    </spb>
    <spb s="9">
      <v>363</v>
      <v>363</v>
      <v>363</v>
      <v>363</v>
      <v>363</v>
      <v>363</v>
      <v>363</v>
      <v>363</v>
      <v>363</v>
    </spb>
    <spb s="0">
      <v xml:space="preserve">Wikipedia	</v>
      <v xml:space="preserve">CC BY-SA 3.0	</v>
      <v xml:space="preserve">https://en.wikipedia.org/wiki/Sovata	</v>
      <v xml:space="preserve">https://creativecommons.org/licenses/by-sa/3.0	</v>
    </spb>
    <spb s="11">
      <v>365</v>
      <v>365</v>
      <v>365</v>
      <v>365</v>
      <v>365</v>
      <v>365</v>
      <v>365</v>
      <v>365</v>
    </spb>
    <spb s="0">
      <v xml:space="preserve">Wikipedia	</v>
      <v xml:space="preserve">CC BY-SA 3.0	</v>
      <v xml:space="preserve">https://en.wikipedia.org/wiki/Cervenia	</v>
      <v xml:space="preserve">https://creativecommons.org/licenses/by-sa/3.0	</v>
    </spb>
    <spb s="9">
      <v>367</v>
      <v>367</v>
      <v>367</v>
      <v>367</v>
      <v>367</v>
      <v>367</v>
      <v>367</v>
      <v>367</v>
      <v>367</v>
    </spb>
    <spb s="0">
      <v xml:space="preserve">Wikipedia	</v>
      <v xml:space="preserve">CC BY-SA 3.0	</v>
      <v xml:space="preserve">https://en.wikipedia.org/wiki/Moisei	</v>
      <v xml:space="preserve">https://creativecommons.org/licenses/by-sa/3.0	</v>
    </spb>
    <spb s="9">
      <v>369</v>
      <v>369</v>
      <v>369</v>
      <v>369</v>
      <v>369</v>
      <v>369</v>
      <v>369</v>
      <v>369</v>
      <v>369</v>
    </spb>
    <spb s="0">
      <v xml:space="preserve">Wikipedia	</v>
      <v xml:space="preserve">CC BY-SA 3.0	</v>
      <v xml:space="preserve">https://en.wikipedia.org/wiki/Laslea	</v>
      <v xml:space="preserve">https://creativecommons.org/licenses/by-sa/3.0	</v>
    </spb>
    <spb s="9">
      <v>371</v>
      <v>371</v>
      <v>371</v>
      <v>371</v>
      <v>371</v>
      <v>371</v>
      <v>371</v>
      <v>371</v>
      <v>371</v>
    </spb>
    <spb s="0">
      <v xml:space="preserve">Wikipedia	</v>
      <v xml:space="preserve">CC BY-SA 3.0	</v>
      <v xml:space="preserve">https://en.wikipedia.org/wiki/T%C4%83lmaciu	</v>
      <v xml:space="preserve">https://creativecommons.org/licenses/by-sa/3.0	</v>
    </spb>
    <spb s="11">
      <v>373</v>
      <v>373</v>
      <v>373</v>
      <v>373</v>
      <v>373</v>
      <v>373</v>
      <v>373</v>
      <v>373</v>
    </spb>
    <spb s="0">
      <v xml:space="preserve">Wikipedia	</v>
      <v xml:space="preserve">CC BY-SA 3.0	</v>
      <v xml:space="preserve">https://en.wikipedia.org/wiki/Dobra,_Hunedoara	</v>
      <v xml:space="preserve">https://creativecommons.org/licenses/by-sa/3.0	</v>
    </spb>
    <spb s="9">
      <v>375</v>
      <v>375</v>
      <v>375</v>
      <v>375</v>
      <v>375</v>
      <v>375</v>
      <v>375</v>
      <v>375</v>
      <v>375</v>
    </spb>
    <spb s="0">
      <v xml:space="preserve">Wikipedia	</v>
      <v xml:space="preserve">CC BY-SA 3.0	</v>
      <v xml:space="preserve">https://en.wikipedia.org/wiki/Or%C8%9Bi%C8%99oara	</v>
      <v xml:space="preserve">https://creativecommons.org/licenses/by-sa/3.0	</v>
    </spb>
    <spb s="9">
      <v>377</v>
      <v>377</v>
      <v>377</v>
      <v>377</v>
      <v>377</v>
      <v>377</v>
      <v>377</v>
      <v>377</v>
      <v>377</v>
    </spb>
    <spb s="0">
      <v xml:space="preserve">Wikipedia	</v>
      <v xml:space="preserve">CC BY-SA 3.0	</v>
      <v xml:space="preserve">https://en.wikipedia.org/wiki/Poiana_Lacului	</v>
      <v xml:space="preserve">https://creativecommons.org/licenses/by-sa/3.0	</v>
    </spb>
    <spb s="11">
      <v>379</v>
      <v>379</v>
      <v>379</v>
      <v>379</v>
      <v>379</v>
      <v>379</v>
      <v>379</v>
      <v>379</v>
    </spb>
    <spb s="0">
      <v xml:space="preserve">Wikipedia	</v>
      <v xml:space="preserve">CC BY-SA 3.0	</v>
      <v xml:space="preserve">https://en.wikipedia.org/wiki/Bor%C8%99,_Bihor	</v>
      <v xml:space="preserve">https://creativecommons.org/licenses/by-sa/3.0	</v>
    </spb>
    <spb s="10">
      <v>381</v>
      <v>381</v>
      <v>381</v>
      <v>381</v>
      <v>381</v>
      <v>381</v>
      <v>381</v>
      <v>381</v>
      <v>381</v>
      <v>381</v>
    </spb>
    <spb s="0">
      <v xml:space="preserve">Wikipedia	</v>
      <v xml:space="preserve">CC BY-SA 3.0	</v>
      <v xml:space="preserve">https://en.wikipedia.org/wiki/Vulcan,_Bra%C8%99ov	</v>
      <v xml:space="preserve">https://creativecommons.org/licenses/by-sa/3.0	</v>
    </spb>
    <spb s="11">
      <v>383</v>
      <v>383</v>
      <v>383</v>
      <v>383</v>
      <v>383</v>
      <v>383</v>
      <v>383</v>
      <v>383</v>
    </spb>
    <spb s="0">
      <v xml:space="preserve">Wikipedia	</v>
      <v xml:space="preserve">CC BY-SA 3.0	</v>
      <v xml:space="preserve">https://en.wikipedia.org/wiki/Piatra-Olt	</v>
      <v xml:space="preserve">https://creativecommons.org/licenses/by-sa/3.0	</v>
    </spb>
    <spb s="9">
      <v>385</v>
      <v>385</v>
      <v>385</v>
      <v>385</v>
      <v>385</v>
      <v>385</v>
      <v>385</v>
      <v>385</v>
      <v>385</v>
    </spb>
    <spb s="0">
      <v xml:space="preserve">Wikipedia	</v>
      <v xml:space="preserve">CC BY-SA 3.0	</v>
      <v xml:space="preserve">https://en.wikipedia.org/wiki/S%C3%A2npetru	</v>
      <v xml:space="preserve">https://creativecommons.org/licenses/by-sa/3.0	</v>
    </spb>
    <spb s="9">
      <v>387</v>
      <v>387</v>
      <v>387</v>
      <v>387</v>
      <v>387</v>
      <v>387</v>
      <v>387</v>
      <v>387</v>
      <v>387</v>
    </spb>
    <spb s="0">
      <v xml:space="preserve">Wikipedia	</v>
      <v xml:space="preserve">CC BY-SA 3.0	</v>
      <v xml:space="preserve">https://en.wikipedia.org/wiki/Vadu_Cri%C8%99ului	</v>
      <v xml:space="preserve">https://creativecommons.org/licenses/by-sa/3.0	</v>
    </spb>
    <spb s="10">
      <v>389</v>
      <v>389</v>
      <v>389</v>
      <v>389</v>
      <v>389</v>
      <v>389</v>
      <v>389</v>
      <v>389</v>
      <v>389</v>
      <v>389</v>
    </spb>
    <spb s="0">
      <v xml:space="preserve">Wikipedia	</v>
      <v xml:space="preserve">CC BY-SA 3.0	</v>
      <v xml:space="preserve">https://en.wikipedia.org/wiki/Ardud	</v>
      <v xml:space="preserve">https://creativecommons.org/licenses/by-sa/3.0	</v>
    </spb>
    <spb s="9">
      <v>391</v>
      <v>391</v>
      <v>391</v>
      <v>391</v>
      <v>391</v>
      <v>391</v>
      <v>391</v>
      <v>391</v>
      <v>391</v>
    </spb>
    <spb s="0">
      <v xml:space="preserve">Wikipedia	</v>
      <v xml:space="preserve">CC BY-SA 3.0	</v>
      <v xml:space="preserve">https://en.wikipedia.org/wiki/Giri%C8%99u_de_Cri%C8%99	</v>
      <v xml:space="preserve">https://creativecommons.org/licenses/by-sa/3.0	</v>
    </spb>
    <spb s="10">
      <v>393</v>
      <v>393</v>
      <v>393</v>
      <v>393</v>
      <v>393</v>
      <v>393</v>
      <v>393</v>
      <v>393</v>
      <v>393</v>
      <v>393</v>
    </spb>
    <spb s="0">
      <v xml:space="preserve">Wikipedia	</v>
      <v xml:space="preserve">CC BY-SA 3.0	</v>
      <v xml:space="preserve">https://en.wikipedia.org/wiki/Vinga,_Arad	</v>
      <v xml:space="preserve">https://creativecommons.org/licenses/by-sa/3.0	</v>
    </spb>
    <spb s="9">
      <v>395</v>
      <v>395</v>
      <v>395</v>
      <v>395</v>
      <v>395</v>
      <v>395</v>
      <v>395</v>
      <v>395</v>
      <v>395</v>
    </spb>
    <spb s="0">
      <v xml:space="preserve">Wikipedia	</v>
      <v xml:space="preserve">CC BY-SA 3.0	</v>
      <v xml:space="preserve">https://en.wikipedia.org/wiki/Curtea_de_Arge%C8%99	</v>
      <v xml:space="preserve">https://creativecommons.org/licenses/by-sa/3.0	</v>
    </spb>
    <spb s="9">
      <v>397</v>
      <v>397</v>
      <v>397</v>
      <v>397</v>
      <v>397</v>
      <v>397</v>
      <v>397</v>
      <v>397</v>
      <v>397</v>
    </spb>
    <spb s="0">
      <v xml:space="preserve">Wikipedia	</v>
      <v xml:space="preserve">CC BY-SA 3.0	</v>
      <v xml:space="preserve">https://en.wikipedia.org/wiki/Joseni	</v>
      <v xml:space="preserve">https://creativecommons.org/licenses/by-sa/3.0	</v>
    </spb>
    <spb s="9">
      <v>399</v>
      <v>399</v>
      <v>399</v>
      <v>399</v>
      <v>399</v>
      <v>399</v>
      <v>399</v>
      <v>399</v>
      <v>399</v>
    </spb>
    <spb s="0">
      <v xml:space="preserve">Wikipedia	</v>
      <v xml:space="preserve">CC BY-SA 3.0	</v>
      <v xml:space="preserve">https://en.wikipedia.org/wiki/Satulung	</v>
      <v xml:space="preserve">https://creativecommons.org/licenses/by-sa/3.0	</v>
    </spb>
    <spb s="9">
      <v>401</v>
      <v>401</v>
      <v>401</v>
      <v>401</v>
      <v>401</v>
      <v>401</v>
      <v>401</v>
      <v>401</v>
      <v>401</v>
    </spb>
    <spb s="0">
      <v xml:space="preserve">Wikipedia	</v>
      <v xml:space="preserve">CC BY-SA 3.0	</v>
      <v xml:space="preserve">https://en.wikipedia.org/wiki/Merghindeal	</v>
      <v xml:space="preserve">https://creativecommons.org/licenses/by-sa/3.0	</v>
    </spb>
    <spb s="9">
      <v>403</v>
      <v>403</v>
      <v>403</v>
      <v>403</v>
      <v>403</v>
      <v>403</v>
      <v>403</v>
      <v>403</v>
      <v>403</v>
    </spb>
    <spb s="0">
      <v xml:space="preserve">Wikipedia	</v>
      <v xml:space="preserve">CC BY-SA 3.0	</v>
      <v xml:space="preserve">https://en.wikipedia.org/wiki/Potcoava	</v>
      <v xml:space="preserve">https://creativecommons.org/licenses/by-sa/3.0	</v>
    </spb>
    <spb s="9">
      <v>405</v>
      <v>405</v>
      <v>405</v>
      <v>405</v>
      <v>405</v>
      <v>405</v>
      <v>405</v>
      <v>405</v>
      <v>405</v>
    </spb>
    <spb s="0">
      <v xml:space="preserve">Wikipedia	</v>
      <v xml:space="preserve">CC BY-SA 3.0	</v>
      <v xml:space="preserve">https://en.wikipedia.org/wiki/C%C4%83lan	</v>
      <v xml:space="preserve">https://creativecommons.org/licenses/by-sa/3.0	</v>
    </spb>
    <spb s="9">
      <v>407</v>
      <v>407</v>
      <v>407</v>
      <v>407</v>
      <v>407</v>
      <v>407</v>
      <v>407</v>
      <v>407</v>
      <v>407</v>
    </spb>
    <spb s="0">
      <v xml:space="preserve">Wikipedia	</v>
      <v xml:space="preserve">CC BY-SA 3.0	</v>
      <v xml:space="preserve">https://en.wikipedia.org/wiki/Poieni,_Cluj	</v>
      <v xml:space="preserve">https://creativecommons.org/licenses/by-sa/3.0	</v>
    </spb>
    <spb s="9">
      <v>409</v>
      <v>409</v>
      <v>409</v>
      <v>409</v>
      <v>409</v>
      <v>409</v>
      <v>409</v>
      <v>409</v>
      <v>409</v>
    </spb>
    <spb s="0">
      <v xml:space="preserve">Wikipedia	</v>
      <v xml:space="preserve">CC BY-SA 3.0	</v>
      <v xml:space="preserve">https://en.wikipedia.org/wiki/Jucu	</v>
      <v xml:space="preserve">https://creativecommons.org/licenses/by-sa/3.0	</v>
    </spb>
    <spb s="9">
      <v>411</v>
      <v>411</v>
      <v>411</v>
      <v>411</v>
      <v>411</v>
      <v>411</v>
      <v>411</v>
      <v>411</v>
      <v>411</v>
    </spb>
    <spb s="0">
      <v xml:space="preserve">Wikipedia	</v>
      <v xml:space="preserve">CC BY-SA 3.0	</v>
      <v xml:space="preserve">https://en.wikipedia.org/wiki/Dr%C4%83g%C4%83%C8%99ani	</v>
      <v xml:space="preserve">https://creativecommons.org/licenses/by-sa/3.0	</v>
    </spb>
    <spb s="9">
      <v>413</v>
      <v>413</v>
      <v>413</v>
      <v>413</v>
      <v>413</v>
      <v>413</v>
      <v>413</v>
      <v>413</v>
      <v>413</v>
    </spb>
    <spb s="0">
      <v xml:space="preserve">Wikipedia	</v>
      <v xml:space="preserve">CC BY-SA 3.0	</v>
      <v xml:space="preserve">https://en.wikipedia.org/wiki/Oravi%C8%9Ba	</v>
      <v xml:space="preserve">https://creativecommons.org/licenses/by-sa/3.0	</v>
    </spb>
    <spb s="9">
      <v>415</v>
      <v>415</v>
      <v>415</v>
      <v>415</v>
      <v>415</v>
      <v>415</v>
      <v>415</v>
      <v>415</v>
      <v>415</v>
    </spb>
    <spb s="0">
      <v xml:space="preserve">Wikipedia	</v>
      <v xml:space="preserve">CC BY-SA 3.0	</v>
      <v xml:space="preserve">https://en.wikipedia.org/wiki/Rebri%C8%99oara	</v>
      <v xml:space="preserve">https://creativecommons.org/licenses/by-sa/3.0	</v>
    </spb>
    <spb s="9">
      <v>417</v>
      <v>417</v>
      <v>417</v>
      <v>417</v>
      <v>417</v>
      <v>417</v>
      <v>417</v>
      <v>417</v>
      <v>417</v>
    </spb>
    <spb s="0">
      <v xml:space="preserve">Wikipedia	</v>
      <v xml:space="preserve">CC-BY-SA	</v>
      <v xml:space="preserve">http://en.wikipedia.org/wiki/Odorheiu_Secuiesc	</v>
      <v xml:space="preserve">http://creativecommons.org/licenses/by-sa/3.0/	</v>
    </spb>
    <spb s="0">
      <v xml:space="preserve">Wikipedia	</v>
      <v xml:space="preserve">CC BY-SA 3.0	</v>
      <v xml:space="preserve">https://en.wikipedia.org/wiki/Odorheiu_Secuiesc	</v>
      <v xml:space="preserve">https://creativecommons.org/licenses/by-sa/3.0	</v>
    </spb>
    <spb s="9">
      <v>419</v>
      <v>420</v>
      <v>420</v>
      <v>420</v>
      <v>420</v>
      <v>420</v>
      <v>420</v>
      <v>420</v>
      <v>420</v>
    </spb>
    <spb s="0">
      <v xml:space="preserve">Wikipedia	</v>
      <v xml:space="preserve">CC BY-SA 3.0	</v>
      <v xml:space="preserve">https://en.wikipedia.org/wiki/%C8%9Ae%C8%9Bchea	</v>
      <v xml:space="preserve">https://creativecommons.org/licenses/by-sa/3.0	</v>
    </spb>
    <spb s="10">
      <v>422</v>
      <v>422</v>
      <v>422</v>
      <v>422</v>
      <v>422</v>
      <v>422</v>
      <v>422</v>
      <v>422</v>
      <v>422</v>
      <v>422</v>
    </spb>
    <spb s="0">
      <v xml:space="preserve">Wikipedia	</v>
      <v xml:space="preserve">CC BY-SA 3.0	</v>
      <v xml:space="preserve">https://en.wikipedia.org/wiki/Augustin,_Bra%C8%99ov	</v>
      <v xml:space="preserve">https://creativecommons.org/licenses/by-sa/3.0	</v>
    </spb>
    <spb s="9">
      <v>424</v>
      <v>424</v>
      <v>424</v>
      <v>424</v>
      <v>424</v>
      <v>424</v>
      <v>424</v>
      <v>424</v>
      <v>424</v>
    </spb>
    <spb s="0">
      <v xml:space="preserve">Wikipedia	</v>
      <v xml:space="preserve">CC BY-SA 3.0	</v>
      <v xml:space="preserve">https://en.wikipedia.org/wiki/Feliceni	</v>
      <v xml:space="preserve">https://creativecommons.org/licenses/by-sa/3.0	</v>
    </spb>
    <spb s="9">
      <v>426</v>
      <v>426</v>
      <v>426</v>
      <v>426</v>
      <v>426</v>
      <v>426</v>
      <v>426</v>
      <v>426</v>
      <v>426</v>
    </spb>
    <spb s="0">
      <v xml:space="preserve">Wikipedia	</v>
      <v xml:space="preserve">CC BY-SA 3.0	</v>
      <v xml:space="preserve">https://en.wikipedia.org/wiki/S%C3%A2ndominic	</v>
      <v xml:space="preserve">https://creativecommons.org/licenses/by-sa/3.0	</v>
    </spb>
    <spb s="9">
      <v>428</v>
      <v>428</v>
      <v>428</v>
      <v>428</v>
      <v>428</v>
      <v>428</v>
      <v>428</v>
      <v>428</v>
      <v>428</v>
    </spb>
    <spb s="0">
      <v xml:space="preserve">Wikipedia	</v>
      <v xml:space="preserve">CC BY-SA 3.0	</v>
      <v xml:space="preserve">https://en.wikipedia.org/wiki/%C8%98tei	</v>
      <v xml:space="preserve">https://creativecommons.org/licenses/by-sa/3.0	</v>
    </spb>
    <spb s="10">
      <v>430</v>
      <v>430</v>
      <v>430</v>
      <v>430</v>
      <v>430</v>
      <v>430</v>
      <v>430</v>
      <v>430</v>
      <v>430</v>
      <v>430</v>
    </spb>
    <spb s="0">
      <v xml:space="preserve">Wikipedia	</v>
      <v xml:space="preserve">CC BY-SA 3.0	</v>
      <v xml:space="preserve">https://en.wikipedia.org/wiki/Albota	</v>
      <v xml:space="preserve">https://creativecommons.org/licenses/by-sa/3.0	</v>
    </spb>
    <spb s="9">
      <v>432</v>
      <v>432</v>
      <v>432</v>
      <v>432</v>
      <v>432</v>
      <v>432</v>
      <v>432</v>
      <v>432</v>
      <v>432</v>
    </spb>
    <spb s="0">
      <v xml:space="preserve">Wikipedia	</v>
      <v xml:space="preserve">CC BY-SA 3.0	</v>
      <v xml:space="preserve">https://en.wikipedia.org/wiki/Cilieni	</v>
      <v xml:space="preserve">https://creativecommons.org/licenses/by-sa/3.0	</v>
    </spb>
    <spb s="9">
      <v>434</v>
      <v>434</v>
      <v>434</v>
      <v>434</v>
      <v>434</v>
      <v>434</v>
      <v>434</v>
      <v>434</v>
      <v>434</v>
    </spb>
    <spb s="0">
      <v xml:space="preserve">Wikipedia	</v>
      <v xml:space="preserve">CC BY-SA 3.0	</v>
      <v xml:space="preserve">https://en.wikipedia.org/wiki/Miercurea_Nirajului	</v>
      <v xml:space="preserve">https://creativecommons.org/licenses/by-sa/3.0	</v>
    </spb>
    <spb s="9">
      <v>436</v>
      <v>436</v>
      <v>436</v>
      <v>436</v>
      <v>436</v>
      <v>436</v>
      <v>436</v>
      <v>436</v>
      <v>436</v>
    </spb>
    <spb s="0">
      <v xml:space="preserve">Wikipedia	</v>
      <v xml:space="preserve">CC BY-SA 3.0	</v>
      <v xml:space="preserve">https://en.wikipedia.org/wiki/Boc%C8%99a	</v>
      <v xml:space="preserve">https://creativecommons.org/licenses/by-sa/3.0	</v>
    </spb>
    <spb s="9">
      <v>438</v>
      <v>438</v>
      <v>438</v>
      <v>438</v>
      <v>438</v>
      <v>438</v>
      <v>438</v>
      <v>438</v>
      <v>438</v>
    </spb>
    <spb s="0">
      <v xml:space="preserve">Wikipedia	</v>
      <v xml:space="preserve">CC BY-SA 3.0	</v>
      <v xml:space="preserve">https://en.wikipedia.org/wiki/Apahida	</v>
      <v xml:space="preserve">https://creativecommons.org/licenses/by-sa/3.0	</v>
    </spb>
    <spb s="9">
      <v>440</v>
      <v>440</v>
      <v>440</v>
      <v>440</v>
      <v>440</v>
      <v>440</v>
      <v>440</v>
      <v>440</v>
      <v>440</v>
    </spb>
    <spb s="0">
      <v xml:space="preserve">Wikipedia	</v>
      <v xml:space="preserve">CC BY-SA 3.0	</v>
      <v xml:space="preserve">https://en.wikipedia.org/wiki/Jibou	</v>
      <v xml:space="preserve">https://creativecommons.org/licenses/by-sa/3.0	</v>
    </spb>
    <spb s="10">
      <v>442</v>
      <v>442</v>
      <v>442</v>
      <v>442</v>
      <v>442</v>
      <v>442</v>
      <v>442</v>
      <v>442</v>
      <v>442</v>
      <v>442</v>
    </spb>
    <spb s="0">
      <v xml:space="preserve">Wikipedia	</v>
      <v xml:space="preserve">CC BY-SA 3.0	</v>
      <v xml:space="preserve">https://en.wikipedia.org/wiki/Flore%C8%99ti,_Cluj	</v>
      <v xml:space="preserve">https://creativecommons.org/licenses/by-sa/3.0	</v>
    </spb>
    <spb s="9">
      <v>444</v>
      <v>444</v>
      <v>444</v>
      <v>444</v>
      <v>444</v>
      <v>444</v>
      <v>444</v>
      <v>444</v>
      <v>444</v>
    </spb>
    <spb s="0">
      <v xml:space="preserve">Wikipedia	</v>
      <v xml:space="preserve">CC BY-SA 3.0	</v>
      <v xml:space="preserve">https://en.wikipedia.org/wiki/Stoina	</v>
      <v xml:space="preserve">https://creativecommons.org/licenses/by-sa/3.0	</v>
    </spb>
    <spb s="9">
      <v>446</v>
      <v>446</v>
      <v>446</v>
      <v>446</v>
      <v>446</v>
      <v>446</v>
      <v>446</v>
      <v>446</v>
      <v>446</v>
    </spb>
    <spb s="0">
      <v xml:space="preserve">Wikipedia	</v>
      <v xml:space="preserve">CC BY-SA 3.0	</v>
      <v xml:space="preserve">https://en.wikipedia.org/wiki/%C8%98ura_Mare	</v>
      <v xml:space="preserve">https://creativecommons.org/licenses/by-sa/3.0	</v>
    </spb>
    <spb s="9">
      <v>448</v>
      <v>448</v>
      <v>448</v>
      <v>448</v>
      <v>448</v>
      <v>448</v>
      <v>448</v>
      <v>448</v>
      <v>448</v>
    </spb>
    <spb s="0">
      <v xml:space="preserve">Wikipedia	</v>
      <v xml:space="preserve">CC BY-SA 3.0	</v>
      <v xml:space="preserve">https://en.wikipedia.org/wiki/Vi%C8%99eu_de_Sus	</v>
      <v xml:space="preserve">https://creativecommons.org/licenses/by-sa/3.0	</v>
    </spb>
    <spb s="9">
      <v>450</v>
      <v>450</v>
      <v>450</v>
      <v>450</v>
      <v>450</v>
      <v>450</v>
      <v>450</v>
      <v>450</v>
      <v>450</v>
    </spb>
    <spb s="0">
      <v xml:space="preserve">Wikipedia	</v>
      <v xml:space="preserve">CC BY-SA 3.0	</v>
      <v xml:space="preserve">https://en.wikipedia.org/wiki/Gro%C8%99i	</v>
      <v xml:space="preserve">https://creativecommons.org/licenses/by-sa/3.0	</v>
    </spb>
    <spb s="9">
      <v>452</v>
      <v>452</v>
      <v>452</v>
      <v>452</v>
      <v>452</v>
      <v>452</v>
      <v>452</v>
      <v>452</v>
      <v>452</v>
    </spb>
    <spb s="0">
      <v xml:space="preserve">Wikipedia	</v>
      <v xml:space="preserve">CC BY-SA 3.0	</v>
      <v xml:space="preserve">https://en.wikipedia.org/wiki/Bumbe%C8%99ti-Jiu	</v>
      <v xml:space="preserve">https://creativecommons.org/licenses/by-sa/3.0	</v>
    </spb>
    <spb s="9">
      <v>454</v>
      <v>454</v>
      <v>454</v>
      <v>454</v>
      <v>454</v>
      <v>454</v>
      <v>454</v>
      <v>454</v>
      <v>454</v>
    </spb>
    <spb s="0">
      <v xml:space="preserve">Wikipedia	</v>
      <v xml:space="preserve">CC BY-SA 3.0	</v>
      <v xml:space="preserve">https://en.wikipedia.org/wiki/Caransebe%C8%99	</v>
      <v xml:space="preserve">https://creativecommons.org/licenses/by-sa/3.0	</v>
    </spb>
    <spb s="9">
      <v>456</v>
      <v>456</v>
      <v>456</v>
      <v>456</v>
      <v>456</v>
      <v>456</v>
      <v>456</v>
      <v>456</v>
      <v>456</v>
    </spb>
    <spb s="0">
      <v xml:space="preserve">Wikipedia	</v>
      <v xml:space="preserve">CC BY-SA 3.0	</v>
      <v xml:space="preserve">https://en.wikipedia.org/wiki/Nojorid	</v>
      <v xml:space="preserve">https://creativecommons.org/licenses/by-sa/3.0	</v>
    </spb>
    <spb s="10">
      <v>458</v>
      <v>458</v>
      <v>458</v>
      <v>458</v>
      <v>458</v>
      <v>458</v>
      <v>458</v>
      <v>458</v>
      <v>458</v>
      <v>458</v>
    </spb>
    <spb s="2">
      <v>15</v>
      <v>Name</v>
      <v>LearnMoreOnLink</v>
    </spb>
    <spb s="0">
      <v xml:space="preserve">Wikipedia	</v>
      <v xml:space="preserve">CC BY-SA 3.0	</v>
      <v xml:space="preserve">https://en.wikipedia.org/wiki/F%C3%A2nt%C3%A2nele,_Arad	</v>
      <v xml:space="preserve">https://creativecommons.org/licenses/by-sa/3.0	</v>
    </spb>
    <spb s="9">
      <v>461</v>
      <v>461</v>
      <v>461</v>
      <v>461</v>
      <v>461</v>
      <v>461</v>
      <v>461</v>
      <v>461</v>
      <v>461</v>
    </spb>
    <spb s="0">
      <v xml:space="preserve">Wikipedia	</v>
      <v xml:space="preserve">CC BY-SA 3.0	</v>
      <v xml:space="preserve">https://en.wikipedia.org/wiki/F%C4%83g%C4%83ra%C8%99	</v>
      <v xml:space="preserve">https://creativecommons.org/licenses/by-sa/3.0	</v>
    </spb>
    <spb s="9">
      <v>463</v>
      <v>463</v>
      <v>463</v>
      <v>463</v>
      <v>463</v>
      <v>463</v>
      <v>463</v>
      <v>463</v>
      <v>463</v>
    </spb>
    <spb s="0">
      <v xml:space="preserve">Wikipedia	</v>
      <v xml:space="preserve">CC BY-SA 3.0	</v>
      <v xml:space="preserve">https://en.wikipedia.org/wiki/G%C4%83taia	</v>
      <v xml:space="preserve">https://creativecommons.org/licenses/by-sa/3.0	</v>
    </spb>
    <spb s="9">
      <v>465</v>
      <v>465</v>
      <v>465</v>
      <v>465</v>
      <v>465</v>
      <v>465</v>
      <v>465</v>
      <v>465</v>
      <v>465</v>
    </spb>
    <spb s="0">
      <v xml:space="preserve">Wikipedia	</v>
      <v xml:space="preserve">CC BY-SA 3.0	</v>
      <v xml:space="preserve">https://en.wikipedia.org/wiki/Baraolt	</v>
      <v xml:space="preserve">https://creativecommons.org/licenses/by-sa/3.0	</v>
    </spb>
    <spb s="9">
      <v>467</v>
      <v>467</v>
      <v>467</v>
      <v>467</v>
      <v>467</v>
      <v>467</v>
      <v>467</v>
      <v>467</v>
      <v>467</v>
    </spb>
    <spb s="0">
      <v xml:space="preserve">Wikipedia	</v>
      <v xml:space="preserve">CC BY-SA 3.0	</v>
      <v xml:space="preserve">https://en.wikipedia.org/wiki/Dej	</v>
      <v xml:space="preserve">https://creativecommons.org/licenses/by-sa/3.0	</v>
    </spb>
    <spb s="9">
      <v>469</v>
      <v>469</v>
      <v>469</v>
      <v>469</v>
      <v>469</v>
      <v>469</v>
      <v>469</v>
      <v>469</v>
      <v>469</v>
    </spb>
    <spb s="0">
      <v xml:space="preserve">Wikipedia	</v>
      <v xml:space="preserve">CC BY-SA 3.0	</v>
      <v xml:space="preserve">https://en.wikipedia.org/wiki/Motru	</v>
      <v xml:space="preserve">https://creativecommons.org/licenses/by-sa/3.0	</v>
    </spb>
    <spb s="9">
      <v>471</v>
      <v>471</v>
      <v>471</v>
      <v>471</v>
      <v>471</v>
      <v>471</v>
      <v>471</v>
      <v>471</v>
      <v>471</v>
    </spb>
    <spb s="0">
      <v xml:space="preserve">Wikipedia	</v>
      <v xml:space="preserve">CC BY-SA 3.0	</v>
      <v xml:space="preserve">https://en.wikipedia.org/wiki/Livezile,_Bistri%C8%9Ba-N%C4%83s%C4%83ud	</v>
      <v xml:space="preserve">https://creativecommons.org/licenses/by-sa/3.0	</v>
    </spb>
    <spb s="9">
      <v>473</v>
      <v>473</v>
      <v>473</v>
      <v>473</v>
      <v>473</v>
      <v>473</v>
      <v>473</v>
      <v>473</v>
      <v>473</v>
    </spb>
    <spb s="0">
      <v xml:space="preserve">Wikipedia	</v>
      <v xml:space="preserve">CC BY-SA 3.0	</v>
      <v xml:space="preserve">https://en.wikipedia.org/wiki/Logre%C8%99ti	</v>
      <v xml:space="preserve">https://creativecommons.org/licenses/by-sa/3.0	</v>
    </spb>
    <spb s="9">
      <v>475</v>
      <v>475</v>
      <v>475</v>
      <v>475</v>
      <v>475</v>
      <v>475</v>
      <v>475</v>
      <v>475</v>
      <v>475</v>
    </spb>
    <spb s="0">
      <v xml:space="preserve">Wikipedia	</v>
      <v xml:space="preserve">CC BY-SA 3.0	</v>
      <v xml:space="preserve">https://en.wikipedia.org/wiki/Dr%C4%83g%C4%83ne%C8%99ti-Olt	</v>
      <v xml:space="preserve">https://creativecommons.org/licenses/by-sa/3.0	</v>
    </spb>
    <spb s="9">
      <v>477</v>
      <v>477</v>
      <v>477</v>
      <v>477</v>
      <v>477</v>
      <v>477</v>
      <v>477</v>
      <v>477</v>
      <v>477</v>
    </spb>
    <spb s="0">
      <v xml:space="preserve">Wikipedia	</v>
      <v xml:space="preserve">CC BY-SA 3.0	</v>
      <v xml:space="preserve">https://en.wikipedia.org/wiki/Scornice%C8%99ti	</v>
      <v xml:space="preserve">https://creativecommons.org/licenses/by-sa/3.0	</v>
    </spb>
    <spb s="9">
      <v>479</v>
      <v>479</v>
      <v>479</v>
      <v>479</v>
      <v>479</v>
      <v>479</v>
      <v>479</v>
      <v>479</v>
      <v>479</v>
    </spb>
    <spb s="0">
      <v xml:space="preserve">Wikipedia	</v>
      <v xml:space="preserve">CC BY-SA 3.0	</v>
      <v xml:space="preserve">https://en.wikipedia.org/wiki/Ghindari	</v>
      <v xml:space="preserve">https://creativecommons.org/licenses/by-sa/3.0	</v>
    </spb>
    <spb s="9">
      <v>481</v>
      <v>481</v>
      <v>481</v>
      <v>481</v>
      <v>481</v>
      <v>481</v>
      <v>481</v>
      <v>481</v>
      <v>481</v>
    </spb>
    <spb s="0">
      <v xml:space="preserve">Wikipedia	</v>
      <v xml:space="preserve">CC BY-SA 3.0	</v>
      <v xml:space="preserve">https://en.wikipedia.org/wiki/Zimbor	</v>
      <v xml:space="preserve">https://creativecommons.org/licenses/by-sa/3.0	</v>
    </spb>
    <spb s="10">
      <v>483</v>
      <v>483</v>
      <v>483</v>
      <v>483</v>
      <v>483</v>
      <v>483</v>
      <v>483</v>
      <v>483</v>
      <v>483</v>
      <v>483</v>
    </spb>
    <spb s="0">
      <v xml:space="preserve">Wikipedia	</v>
      <v xml:space="preserve">CC BY-SA 3.0	</v>
      <v xml:space="preserve">https://en.wikipedia.org/wiki/Prejmer	</v>
      <v xml:space="preserve">https://creativecommons.org/licenses/by-sa/3.0	</v>
    </spb>
    <spb s="9">
      <v>485</v>
      <v>485</v>
      <v>485</v>
      <v>485</v>
      <v>485</v>
      <v>485</v>
      <v>485</v>
      <v>485</v>
      <v>485</v>
    </spb>
    <spb s="0">
      <v xml:space="preserve">Wikipedia	</v>
      <v xml:space="preserve">CC BY-SA 3.0	</v>
      <v xml:space="preserve">https://en.wikipedia.org/wiki/Gura_R%C3%A2ului	</v>
      <v xml:space="preserve">https://creativecommons.org/licenses/by-sa/3.0	</v>
    </spb>
    <spb s="9">
      <v>487</v>
      <v>487</v>
      <v>487</v>
      <v>487</v>
      <v>487</v>
      <v>487</v>
      <v>487</v>
      <v>487</v>
      <v>487</v>
    </spb>
    <spb s="0">
      <v xml:space="preserve">Wikipedia	</v>
      <v xml:space="preserve">CC BY-SA 3.0	</v>
      <v xml:space="preserve">https://en.wikipedia.org/wiki/Codlea	</v>
      <v xml:space="preserve">https://creativecommons.org/licenses/by-sa/3.0	</v>
    </spb>
    <spb s="9">
      <v>489</v>
      <v>489</v>
      <v>489</v>
      <v>489</v>
      <v>489</v>
      <v>489</v>
      <v>489</v>
      <v>489</v>
      <v>489</v>
    </spb>
    <spb s="0">
      <v xml:space="preserve">Wikipedia	</v>
      <v xml:space="preserve">CC BY-SA 3.0	</v>
      <v xml:space="preserve">https://en.wikipedia.org/wiki/Ieud	</v>
      <v xml:space="preserve">https://creativecommons.org/licenses/by-sa/3.0	</v>
    </spb>
    <spb s="9">
      <v>491</v>
      <v>491</v>
      <v>491</v>
      <v>491</v>
      <v>491</v>
      <v>491</v>
      <v>491</v>
      <v>491</v>
      <v>491</v>
    </spb>
    <spb s="0">
      <v xml:space="preserve">Wikipedia	</v>
      <v xml:space="preserve">CC BY-SA 3.0	</v>
      <v xml:space="preserve">https://en.wikipedia.org/wiki/Maieru	</v>
      <v xml:space="preserve">https://creativecommons.org/licenses/by-sa/3.0	</v>
    </spb>
    <spb s="9">
      <v>493</v>
      <v>493</v>
      <v>493</v>
      <v>493</v>
      <v>493</v>
      <v>493</v>
      <v>493</v>
      <v>493</v>
      <v>493</v>
    </spb>
    <spb s="0">
      <v xml:space="preserve">Wikipedia	</v>
      <v xml:space="preserve">CC BY-SA 3.0	</v>
      <v xml:space="preserve">https://en.wikipedia.org/wiki/Corbi	</v>
      <v xml:space="preserve">https://creativecommons.org/licenses/by-sa/3.0	</v>
    </spb>
    <spb s="9">
      <v>495</v>
      <v>495</v>
      <v>495</v>
      <v>495</v>
      <v>495</v>
      <v>495</v>
      <v>495</v>
      <v>495</v>
      <v>495</v>
    </spb>
    <spb s="0">
      <v xml:space="preserve">Wikipedia	</v>
      <v xml:space="preserve">CC BY-SA 3.0	</v>
      <v xml:space="preserve">https://en.wikipedia.org/wiki/Pruni%C8%99or	</v>
      <v xml:space="preserve">https://creativecommons.org/licenses/by-sa/3.0	</v>
    </spb>
    <spb s="9">
      <v>497</v>
      <v>497</v>
      <v>497</v>
      <v>497</v>
      <v>497</v>
      <v>497</v>
      <v>497</v>
      <v>497</v>
      <v>497</v>
    </spb>
    <spb s="0">
      <v xml:space="preserve">Wikipedia	</v>
      <v xml:space="preserve">CC BY-SA 3.0	</v>
      <v xml:space="preserve">https://en.wikipedia.org/wiki/Voloiac	</v>
      <v xml:space="preserve">https://creativecommons.org/licenses/by-sa/3.0	</v>
    </spb>
    <spb s="9">
      <v>499</v>
      <v>499</v>
      <v>499</v>
      <v>499</v>
      <v>499</v>
      <v>499</v>
      <v>499</v>
      <v>499</v>
      <v>499</v>
    </spb>
    <spb s="0">
      <v xml:space="preserve">Wikipedia	</v>
      <v xml:space="preserve">CC BY-SA 3.0	</v>
      <v xml:space="preserve">https://en.wikipedia.org/wiki/Lunge%C8%99ti	</v>
      <v xml:space="preserve">https://creativecommons.org/licenses/by-sa/3.0	</v>
    </spb>
    <spb s="9">
      <v>501</v>
      <v>501</v>
      <v>501</v>
      <v>501</v>
      <v>501</v>
      <v>501</v>
      <v>501</v>
      <v>501</v>
      <v>501</v>
    </spb>
    <spb s="0">
      <v xml:space="preserve">Wikipedia	</v>
      <v xml:space="preserve">CC BY-SA 3.0	</v>
      <v xml:space="preserve">https://en.wikipedia.org/wiki/Livezile,_Timi%C8%99	</v>
      <v xml:space="preserve">https://creativecommons.org/licenses/by-sa/3.0	</v>
    </spb>
    <spb s="9">
      <v>503</v>
      <v>503</v>
      <v>503</v>
      <v>503</v>
      <v>503</v>
      <v>503</v>
      <v>503</v>
      <v>503</v>
      <v>503</v>
    </spb>
    <spb s="0">
      <v xml:space="preserve">Wikipedia	</v>
      <v xml:space="preserve">CC BY-SA 3.0	</v>
      <v xml:space="preserve">https://en.wikipedia.org/wiki/Sebi%C8%99	</v>
      <v xml:space="preserve">https://creativecommons.org/licenses/by-sa/3.0	</v>
    </spb>
    <spb s="9">
      <v>505</v>
      <v>505</v>
      <v>505</v>
      <v>505</v>
      <v>505</v>
      <v>505</v>
      <v>505</v>
      <v>505</v>
      <v>505</v>
    </spb>
    <spb s="0">
      <v xml:space="preserve">Wikipedia	</v>
      <v xml:space="preserve">CC BY-SA 3.0	</v>
      <v xml:space="preserve">https://en.wikipedia.org/wiki/S%C4%83pata	</v>
      <v xml:space="preserve">https://creativecommons.org/licenses/by-sa/3.0	</v>
    </spb>
    <spb s="9">
      <v>507</v>
      <v>507</v>
      <v>507</v>
      <v>507</v>
      <v>507</v>
      <v>507</v>
      <v>507</v>
      <v>507</v>
      <v>507</v>
    </spb>
    <spb s="0">
      <v xml:space="preserve">Wikipedia	</v>
      <v xml:space="preserve">CC BY-SA 3.0	</v>
      <v xml:space="preserve">https://en.wikipedia.org/wiki/Cristian,_Bra%C8%99ov	</v>
      <v xml:space="preserve">https://creativecommons.org/licenses/by-sa/3.0	</v>
    </spb>
    <spb s="9">
      <v>509</v>
      <v>509</v>
      <v>509</v>
      <v>509</v>
      <v>509</v>
      <v>509</v>
      <v>509</v>
      <v>509</v>
      <v>509</v>
    </spb>
    <spb s="0">
      <v xml:space="preserve">Wikipedia	</v>
      <v xml:space="preserve">CC BY-SA 3.0	</v>
      <v xml:space="preserve">https://en.wikipedia.org/wiki/Breasta	</v>
      <v xml:space="preserve">https://creativecommons.org/licenses/by-sa/3.0	</v>
    </spb>
    <spb s="9">
      <v>511</v>
      <v>511</v>
      <v>511</v>
      <v>511</v>
      <v>511</v>
      <v>511</v>
      <v>511</v>
      <v>511</v>
      <v>511</v>
    </spb>
    <spb s="0">
      <v xml:space="preserve">Wikipedia	</v>
      <v xml:space="preserve">CC BY-SA 3.0	</v>
      <v xml:space="preserve">https://en.wikipedia.org/wiki/Carei	</v>
      <v xml:space="preserve">https://creativecommons.org/licenses/by-sa/3.0	</v>
    </spb>
    <spb s="9">
      <v>513</v>
      <v>513</v>
      <v>513</v>
      <v>513</v>
      <v>513</v>
      <v>513</v>
      <v>513</v>
      <v>513</v>
      <v>513</v>
    </spb>
    <spb s="0">
      <v xml:space="preserve">Wikipedia	</v>
      <v xml:space="preserve">CC BY-SA 3.0	</v>
      <v xml:space="preserve">https://en.wikipedia.org/wiki/Petro%C8%99ani	</v>
      <v xml:space="preserve">https://creativecommons.org/licenses/by-sa/3.0	</v>
    </spb>
    <spb s="9">
      <v>515</v>
      <v>515</v>
      <v>515</v>
      <v>515</v>
      <v>515</v>
      <v>515</v>
      <v>515</v>
      <v>515</v>
      <v>515</v>
    </spb>
    <spb s="0">
      <v xml:space="preserve">Wikipedia	</v>
      <v xml:space="preserve">CC BY-SA 3.0	</v>
      <v xml:space="preserve">https://en.wikipedia.org/wiki/Recea,_Arge%C8%99	</v>
      <v xml:space="preserve">https://creativecommons.org/licenses/by-sa/3.0	</v>
    </spb>
    <spb s="9">
      <v>517</v>
      <v>517</v>
      <v>517</v>
      <v>517</v>
      <v>517</v>
      <v>517</v>
      <v>517</v>
      <v>517</v>
      <v>517</v>
    </spb>
    <spb s="0">
      <v xml:space="preserve">Wikipedia	</v>
      <v xml:space="preserve">CC BY-SA 3.0	</v>
      <v xml:space="preserve">https://en.wikipedia.org/wiki/Remetea_Mare	</v>
      <v xml:space="preserve">https://creativecommons.org/licenses/by-sa/3.0	</v>
    </spb>
    <spb s="9">
      <v>519</v>
      <v>519</v>
      <v>519</v>
      <v>519</v>
      <v>519</v>
      <v>519</v>
      <v>519</v>
      <v>519</v>
      <v>519</v>
    </spb>
    <spb s="0">
      <v xml:space="preserve">Wikipedia	</v>
      <v xml:space="preserve">CC BY-SA 3.0	</v>
      <v xml:space="preserve">https://en.wikipedia.org/wiki/Odoreu	</v>
      <v xml:space="preserve">https://creativecommons.org/licenses/by-sa/3.0	</v>
    </spb>
    <spb s="9">
      <v>521</v>
      <v>521</v>
      <v>521</v>
      <v>521</v>
      <v>521</v>
      <v>521</v>
      <v>521</v>
      <v>521</v>
      <v>521</v>
    </spb>
    <spb s="0">
      <v xml:space="preserve">Wikipedia	</v>
      <v xml:space="preserve">CC BY-SA 3.0	</v>
      <v xml:space="preserve">https://en.wikipedia.org/wiki/Gu%C8%99teri%C8%9Ba	</v>
      <v xml:space="preserve">https://creativecommons.org/licenses/by-sa/3.0	</v>
    </spb>
    <spb s="18">
      <v>523</v>
      <v>523</v>
      <v>523</v>
      <v>523</v>
      <v>523</v>
      <v>523</v>
      <v>523</v>
      <v>523</v>
    </spb>
    <spb s="2">
      <v>16</v>
      <v>Name</v>
      <v>LearnMoreOnLink</v>
    </spb>
    <spb s="0">
      <v xml:space="preserve">Wikipedia	</v>
      <v xml:space="preserve">CC BY-SA 3.0	</v>
      <v xml:space="preserve">https://en.wikipedia.org/wiki/Satchinez	</v>
      <v xml:space="preserve">https://creativecommons.org/licenses/by-sa/3.0	</v>
    </spb>
    <spb s="9">
      <v>526</v>
      <v>526</v>
      <v>526</v>
      <v>526</v>
      <v>526</v>
      <v>526</v>
      <v>526</v>
      <v>526</v>
      <v>526</v>
    </spb>
    <spb s="0">
      <v xml:space="preserve">Wikipedia	</v>
      <v xml:space="preserve">CC BY-SA 3.0	</v>
      <v xml:space="preserve">https://en.wikipedia.org/wiki/Baia_de_Aram%C4%83	</v>
      <v xml:space="preserve">https://creativecommons.org/licenses/by-sa/3.0	</v>
    </spb>
    <spb s="9">
      <v>528</v>
      <v>528</v>
      <v>528</v>
      <v>528</v>
      <v>528</v>
      <v>528</v>
      <v>528</v>
      <v>528</v>
      <v>528</v>
    </spb>
    <spb s="0">
      <v xml:space="preserve">Wikipedia	</v>
      <v xml:space="preserve">CC BY-SA 3.0	</v>
      <v xml:space="preserve">https://en.wikipedia.org/wiki/B%C4%83l%C4%83u%C8%99eri	</v>
      <v xml:space="preserve">https://creativecommons.org/licenses/by-sa/3.0	</v>
    </spb>
    <spb s="9">
      <v>530</v>
      <v>530</v>
      <v>530</v>
      <v>530</v>
      <v>530</v>
      <v>530</v>
      <v>530</v>
      <v>530</v>
      <v>530</v>
    </spb>
    <spb s="0">
      <v xml:space="preserve">Wikipedia	</v>
      <v xml:space="preserve">CC BY-SA 3.0	</v>
      <v xml:space="preserve">https://en.wikipedia.org/wiki/B%C3%A2cle%C8%99	</v>
      <v xml:space="preserve">https://creativecommons.org/licenses/by-sa/3.0	</v>
    </spb>
    <spb s="9">
      <v>532</v>
      <v>532</v>
      <v>532</v>
      <v>532</v>
      <v>532</v>
      <v>532</v>
      <v>532</v>
      <v>532</v>
      <v>532</v>
    </spb>
    <spb s="0">
      <v xml:space="preserve">Wikipedia	</v>
      <v xml:space="preserve">CC BY-SA 3.0	</v>
      <v xml:space="preserve">https://en.wikipedia.org/wiki/I%C8%99alni%C8%9Ba	</v>
      <v xml:space="preserve">https://creativecommons.org/licenses/by-sa/3.0	</v>
    </spb>
    <spb s="9">
      <v>534</v>
      <v>534</v>
      <v>534</v>
      <v>534</v>
      <v>534</v>
      <v>534</v>
      <v>534</v>
      <v>534</v>
      <v>534</v>
    </spb>
    <spb s="0">
      <v xml:space="preserve">Wikipedia	</v>
      <v xml:space="preserve">CC BY-SA 3.0	</v>
      <v xml:space="preserve">https://en.wikipedia.org/wiki/Negre%C8%99ti-Oa%C8%99	</v>
      <v xml:space="preserve">https://creativecommons.org/licenses/by-sa/3.0	</v>
    </spb>
    <spb s="9">
      <v>536</v>
      <v>536</v>
      <v>536</v>
      <v>536</v>
      <v>536</v>
      <v>536</v>
      <v>536</v>
      <v>536</v>
      <v>536</v>
    </spb>
    <spb s="0">
      <v xml:space="preserve">Wikipedia	</v>
      <v xml:space="preserve">CC BY-SA 3.0	</v>
      <v xml:space="preserve">https://en.wikipedia.org/wiki/Rupea	</v>
      <v xml:space="preserve">https://creativecommons.org/licenses/by-sa/3.0	</v>
    </spb>
    <spb s="9">
      <v>538</v>
      <v>538</v>
      <v>538</v>
      <v>538</v>
      <v>538</v>
      <v>538</v>
      <v>538</v>
      <v>538</v>
      <v>538</v>
    </spb>
    <spb s="0">
      <v xml:space="preserve">Wikipedia	</v>
      <v xml:space="preserve">CC BY-SA 3.0	</v>
      <v xml:space="preserve">https://en.wikipedia.org/wiki/Creaca	</v>
      <v xml:space="preserve">https://creativecommons.org/licenses/by-sa/3.0	</v>
    </spb>
    <spb s="10">
      <v>540</v>
      <v>540</v>
      <v>540</v>
      <v>540</v>
      <v>540</v>
      <v>540</v>
      <v>540</v>
      <v>540</v>
      <v>540</v>
      <v>540</v>
    </spb>
    <spb s="0">
      <v xml:space="preserve">Wikipedia	</v>
      <v xml:space="preserve">CC BY-SA 3.0	</v>
      <v xml:space="preserve">https://en.wikipedia.org/wiki/Arefu	</v>
      <v xml:space="preserve">https://creativecommons.org/licenses/by-sa/3.0	</v>
    </spb>
    <spb s="9">
      <v>542</v>
      <v>542</v>
      <v>542</v>
      <v>542</v>
      <v>542</v>
      <v>542</v>
      <v>542</v>
      <v>542</v>
      <v>542</v>
    </spb>
    <spb s="0">
      <v xml:space="preserve">Wikipedia	</v>
      <v xml:space="preserve">CC BY-SA 3.0	</v>
      <v xml:space="preserve">https://en.wikipedia.org/wiki/Fundata	</v>
      <v xml:space="preserve">https://creativecommons.org/licenses/by-sa/3.0	</v>
    </spb>
    <spb s="9">
      <v>544</v>
      <v>544</v>
      <v>544</v>
      <v>544</v>
      <v>544</v>
      <v>544</v>
      <v>544</v>
      <v>544</v>
      <v>544</v>
    </spb>
    <spb s="0">
      <v xml:space="preserve">Wikipedia	</v>
      <v xml:space="preserve">CC BY-SA 3.0	</v>
      <v xml:space="preserve">https://en.wikipedia.org/wiki/Buzia%C8%99	</v>
      <v xml:space="preserve">https://creativecommons.org/licenses/by-sa/3.0	</v>
    </spb>
    <spb s="9">
      <v>546</v>
      <v>546</v>
      <v>546</v>
      <v>546</v>
      <v>546</v>
      <v>546</v>
      <v>546</v>
      <v>546</v>
      <v>546</v>
    </spb>
    <spb s="0">
      <v xml:space="preserve">Wikipedia	</v>
      <v xml:space="preserve">CC BY-SA 3.0	</v>
      <v xml:space="preserve">https://en.wikipedia.org/wiki/C%C4%83teasca	</v>
      <v xml:space="preserve">https://creativecommons.org/licenses/by-sa/3.0	</v>
    </spb>
    <spb s="9">
      <v>548</v>
      <v>548</v>
      <v>548</v>
      <v>548</v>
      <v>548</v>
      <v>548</v>
      <v>548</v>
      <v>548</v>
      <v>548</v>
    </spb>
    <spb s="0">
      <v xml:space="preserve">Wikipedia	</v>
      <v xml:space="preserve">CC BY-SA 3.0	</v>
      <v xml:space="preserve">https://en.wikipedia.org/wiki/Ernei	</v>
      <v xml:space="preserve">https://creativecommons.org/licenses/by-sa/3.0	</v>
    </spb>
    <spb s="9">
      <v>550</v>
      <v>550</v>
      <v>550</v>
      <v>550</v>
      <v>550</v>
      <v>550</v>
      <v>550</v>
      <v>550</v>
      <v>550</v>
    </spb>
    <spb s="0">
      <v xml:space="preserve">Wikipedia	</v>
      <v xml:space="preserve">CC BY-SA 3.0	</v>
      <v xml:space="preserve">https://en.wikipedia.org/wiki/S%C3%A2ncraiu_de_Mure%C8%99	</v>
      <v xml:space="preserve">https://creativecommons.org/licenses/by-sa/3.0	</v>
    </spb>
    <spb s="9">
      <v>552</v>
      <v>552</v>
      <v>552</v>
      <v>552</v>
      <v>552</v>
      <v>552</v>
      <v>552</v>
      <v>552</v>
      <v>552</v>
    </spb>
    <spb s="0">
      <v xml:space="preserve">Wikipedia	</v>
      <v xml:space="preserve">CC BY-SA 3.0	</v>
      <v xml:space="preserve">https://en.wikipedia.org/wiki/C%C3%A2r%C8%9Ba,_Sibiu	</v>
      <v xml:space="preserve">https://creativecommons.org/licenses/by-sa/3.0	</v>
    </spb>
    <spb s="9">
      <v>554</v>
      <v>554</v>
      <v>554</v>
      <v>554</v>
      <v>554</v>
      <v>554</v>
      <v>554</v>
      <v>554</v>
      <v>554</v>
    </spb>
    <spb s="0">
      <v xml:space="preserve">Wikipedia	</v>
      <v xml:space="preserve">CC BY-SA 3.0	</v>
      <v xml:space="preserve">https://en.wikipedia.org/wiki/Sighi%C8%99oara	</v>
      <v xml:space="preserve">https://creativecommons.org/licenses/by-sa/3.0	</v>
    </spb>
    <spb s="11">
      <v>556</v>
      <v>556</v>
      <v>556</v>
      <v>556</v>
      <v>556</v>
      <v>556</v>
      <v>556</v>
      <v>556</v>
    </spb>
    <spb s="0">
      <v xml:space="preserve">Wikipedia	</v>
      <v xml:space="preserve">CC BY-SA 3.0	</v>
      <v xml:space="preserve">https://en.wikipedia.org/wiki/Sita_Buz%C4%83ului	</v>
      <v xml:space="preserve">https://creativecommons.org/licenses/by-sa/3.0	</v>
    </spb>
    <spb s="9">
      <v>558</v>
      <v>558</v>
      <v>558</v>
      <v>558</v>
      <v>558</v>
      <v>558</v>
      <v>558</v>
      <v>558</v>
      <v>558</v>
    </spb>
    <spb s="0">
      <v xml:space="preserve">Wikipedia	</v>
      <v xml:space="preserve">CC BY-SA 3.0	</v>
      <v xml:space="preserve">https://en.wikipedia.org/wiki/Izvoru_B%C3%A2rzii	</v>
      <v xml:space="preserve">https://creativecommons.org/licenses/by-sa/3.0	</v>
    </spb>
    <spb s="11">
      <v>560</v>
      <v>560</v>
      <v>560</v>
      <v>560</v>
      <v>560</v>
      <v>560</v>
      <v>560</v>
      <v>560</v>
    </spb>
    <spb s="2">
      <v>17</v>
      <v>Name</v>
      <v>LearnMoreOnLink</v>
    </spb>
    <spb s="0">
      <v xml:space="preserve">Wikipedia	</v>
      <v xml:space="preserve">CC BY-SA 3.0	</v>
      <v xml:space="preserve">https://en.wikipedia.org/wiki/B%C4%83lile%C8%99ti	</v>
      <v xml:space="preserve">https://creativecommons.org/licenses/by-sa/3.0	</v>
    </spb>
    <spb s="9">
      <v>563</v>
      <v>563</v>
      <v>563</v>
      <v>563</v>
      <v>563</v>
      <v>563</v>
      <v>563</v>
      <v>563</v>
      <v>563</v>
    </spb>
    <spb s="0">
      <v xml:space="preserve">Wikipedia	</v>
      <v xml:space="preserve">CC BY-SA 3.0	</v>
      <v xml:space="preserve">https://en.wikipedia.org/wiki/C%C3%A2r%C8%9Ba,_Harghita	</v>
      <v xml:space="preserve">https://creativecommons.org/licenses/by-sa/3.0	</v>
    </spb>
    <spb s="9">
      <v>565</v>
      <v>565</v>
      <v>565</v>
      <v>565</v>
      <v>565</v>
      <v>565</v>
      <v>565</v>
      <v>565</v>
      <v>565</v>
    </spb>
    <spb s="0">
      <v xml:space="preserve">Wikipedia	</v>
      <v xml:space="preserve">CC BY-SA 3.0	</v>
      <v xml:space="preserve">https://en.wikipedia.org/wiki/Mioveni	</v>
      <v xml:space="preserve">https://creativecommons.org/licenses/by-sa/3.0	</v>
    </spb>
    <spb s="9">
      <v>567</v>
      <v>567</v>
      <v>567</v>
      <v>567</v>
      <v>567</v>
      <v>567</v>
      <v>567</v>
      <v>567</v>
      <v>567</v>
    </spb>
    <spb s="0">
      <v xml:space="preserve">Wikipedia	</v>
      <v xml:space="preserve">CC BY-SA 3.0	</v>
      <v xml:space="preserve">https://en.wikipedia.org/wiki/Ilva_Mic%C4%83	</v>
      <v xml:space="preserve">https://creativecommons.org/licenses/by-sa/3.0	</v>
    </spb>
    <spb s="9">
      <v>569</v>
      <v>569</v>
      <v>569</v>
      <v>569</v>
      <v>569</v>
      <v>569</v>
      <v>569</v>
      <v>569</v>
      <v>569</v>
    </spb>
    <spb s="0">
      <v xml:space="preserve">Wikipedia	</v>
      <v xml:space="preserve">CC BY-SA 3.0	</v>
      <v xml:space="preserve">https://en.wikipedia.org/wiki/Dob%C3%A2rl%C4%83u	</v>
      <v xml:space="preserve">https://creativecommons.org/licenses/by-sa/3.0	</v>
    </spb>
    <spb s="9">
      <v>571</v>
      <v>571</v>
      <v>571</v>
      <v>571</v>
      <v>571</v>
      <v>571</v>
      <v>571</v>
      <v>571</v>
      <v>571</v>
    </spb>
    <spb s="0">
      <v xml:space="preserve">Wikipedia	</v>
      <v xml:space="preserve">CC BY-SA 3.0	</v>
      <v xml:space="preserve">https://en.wikipedia.org/wiki/Rona_de_Jos	</v>
      <v xml:space="preserve">https://creativecommons.org/licenses/by-sa/3.0	</v>
    </spb>
    <spb s="9">
      <v>573</v>
      <v>573</v>
      <v>573</v>
      <v>573</v>
      <v>573</v>
      <v>573</v>
      <v>573</v>
      <v>573</v>
      <v>573</v>
    </spb>
    <spb s="0">
      <v xml:space="preserve">Wikipedia	</v>
      <v xml:space="preserve">CC BY-SA 3.0	</v>
      <v xml:space="preserve">https://en.wikipedia.org/wiki/Saco%C8%99u_Turcesc	</v>
      <v xml:space="preserve">https://creativecommons.org/licenses/by-sa/3.0	</v>
    </spb>
    <spb s="9">
      <v>575</v>
      <v>575</v>
      <v>575</v>
      <v>575</v>
      <v>575</v>
      <v>575</v>
      <v>575</v>
      <v>575</v>
      <v>575</v>
    </spb>
    <spb s="0">
      <v xml:space="preserve">Wikipedia	</v>
      <v xml:space="preserve">CC BY-SA 3.0	</v>
      <v xml:space="preserve">https://en.wikipedia.org/wiki/Lipova,_Arad	</v>
      <v xml:space="preserve">https://creativecommons.org/licenses/by-sa/3.0	</v>
    </spb>
    <spb s="9">
      <v>577</v>
      <v>577</v>
      <v>577</v>
      <v>577</v>
      <v>577</v>
      <v>577</v>
      <v>577</v>
      <v>577</v>
      <v>577</v>
    </spb>
    <spb s="0">
      <v xml:space="preserve">Wikipedia	</v>
      <v xml:space="preserve">CC BY-SA 3.0	</v>
      <v xml:space="preserve">https://en.wikipedia.org/wiki/C%C3%A2mpulung_la_Tisa	</v>
      <v xml:space="preserve">https://creativecommons.org/licenses/by-sa/3.0	</v>
    </spb>
    <spb s="9">
      <v>579</v>
      <v>579</v>
      <v>579</v>
      <v>579</v>
      <v>579</v>
      <v>579</v>
      <v>579</v>
      <v>579</v>
      <v>579</v>
    </spb>
    <spb s="0">
      <v xml:space="preserve">Wikipedia	</v>
      <v xml:space="preserve">CC BY-SA 3.0	</v>
      <v xml:space="preserve">https://en.wikipedia.org/wiki/Bogdan_Vod%C4%83	</v>
      <v xml:space="preserve">https://creativecommons.org/licenses/by-sa/3.0	</v>
    </spb>
    <spb s="9">
      <v>581</v>
      <v>581</v>
      <v>581</v>
      <v>581</v>
      <v>581</v>
      <v>581</v>
      <v>581</v>
      <v>581</v>
      <v>581</v>
    </spb>
    <spb s="0">
      <v xml:space="preserve">Wikipedia	</v>
      <v xml:space="preserve">CC BY-SA 3.0	</v>
      <v xml:space="preserve">https://en.wikipedia.org/wiki/H%C4%83lchiu	</v>
      <v xml:space="preserve">https://creativecommons.org/licenses/by-sa/3.0	</v>
    </spb>
    <spb s="9">
      <v>583</v>
      <v>583</v>
      <v>583</v>
      <v>583</v>
      <v>583</v>
      <v>583</v>
      <v>583</v>
      <v>583</v>
      <v>583</v>
    </spb>
    <spb s="0">
      <v xml:space="preserve">Wikipedia	</v>
      <v xml:space="preserve">CC BY-SA 3.0	</v>
      <v xml:space="preserve">https://en.wikipedia.org/wiki/Saschiz	</v>
      <v xml:space="preserve">https://creativecommons.org/licenses/by-sa/3.0	</v>
    </spb>
    <spb s="9">
      <v>585</v>
      <v>585</v>
      <v>585</v>
      <v>585</v>
      <v>585</v>
      <v>585</v>
      <v>585</v>
      <v>585</v>
      <v>585</v>
    </spb>
    <spb s="0">
      <v xml:space="preserve">Wikipedia	</v>
      <v xml:space="preserve">CC BY-SA 3.0	</v>
      <v xml:space="preserve">https://en.wikipedia.org/wiki/Valea_M%C4%83rului	</v>
      <v xml:space="preserve">https://creativecommons.org/licenses/by-sa/3.0	</v>
    </spb>
    <spb s="9">
      <v>587</v>
      <v>587</v>
      <v>587</v>
      <v>587</v>
      <v>587</v>
      <v>587</v>
      <v>587</v>
      <v>587</v>
      <v>587</v>
    </spb>
    <spb s="0">
      <v xml:space="preserve">Wikipedia	</v>
      <v xml:space="preserve">CC BY-SA 3.0	</v>
      <v xml:space="preserve">https://en.wikipedia.org/wiki/Zimandu_Nou	</v>
      <v xml:space="preserve">https://creativecommons.org/licenses/by-sa/3.0	</v>
    </spb>
    <spb s="9">
      <v>589</v>
      <v>589</v>
      <v>589</v>
      <v>589</v>
      <v>589</v>
      <v>589</v>
      <v>589</v>
      <v>589</v>
      <v>589</v>
    </spb>
    <spb s="0">
      <v xml:space="preserve">Wikipedia	</v>
      <v xml:space="preserve">CC BY-SA 3.0	</v>
      <v xml:space="preserve">https://en.wikipedia.org/wiki/Z%C4%83rne%C8%99ti	</v>
      <v xml:space="preserve">https://creativecommons.org/licenses/by-sa/3.0	</v>
    </spb>
    <spb s="9">
      <v>591</v>
      <v>591</v>
      <v>591</v>
      <v>591</v>
      <v>591</v>
      <v>591</v>
      <v>591</v>
      <v>591</v>
      <v>591</v>
    </spb>
    <spb s="0">
      <v xml:space="preserve">Wikipedia	</v>
      <v xml:space="preserve">CC BY-SA 3.0	</v>
      <v xml:space="preserve">https://en.wikipedia.org/wiki/Ciacova	</v>
      <v xml:space="preserve">https://creativecommons.org/licenses/by-sa/3.0	</v>
    </spb>
    <spb s="9">
      <v>593</v>
      <v>593</v>
      <v>593</v>
      <v>593</v>
      <v>593</v>
      <v>593</v>
      <v>593</v>
      <v>593</v>
      <v>593</v>
    </spb>
    <spb s="0">
      <v xml:space="preserve">Wikipedia	</v>
      <v xml:space="preserve">CC BY-SA 3.0	</v>
      <v xml:space="preserve">https://en.wikipedia.org/wiki/Apele_Vii	</v>
      <v xml:space="preserve">https://creativecommons.org/licenses/by-sa/3.0	</v>
    </spb>
    <spb s="9">
      <v>595</v>
      <v>595</v>
      <v>595</v>
      <v>595</v>
      <v>595</v>
      <v>595</v>
      <v>595</v>
      <v>595</v>
      <v>595</v>
    </spb>
    <spb s="0">
      <v xml:space="preserve">Wikipedia	</v>
      <v xml:space="preserve">CC BY-SA 3.0	</v>
      <v xml:space="preserve">https://en.wikipedia.org/wiki/Bal%C8%99	</v>
      <v xml:space="preserve">https://creativecommons.org/licenses/by-sa/3.0	</v>
    </spb>
    <spb s="9">
      <v>597</v>
      <v>597</v>
      <v>597</v>
      <v>597</v>
      <v>597</v>
      <v>597</v>
      <v>597</v>
      <v>597</v>
      <v>597</v>
    </spb>
    <spb s="0">
      <v xml:space="preserve">Wikipedia	</v>
      <v xml:space="preserve">CC BY-SA 3.0	</v>
      <v xml:space="preserve">https://en.wikipedia.org/wiki/Ive%C8%99ti,_Gala%C8%9Bi	</v>
      <v xml:space="preserve">https://creativecommons.org/licenses/by-sa/3.0	</v>
    </spb>
    <spb s="9">
      <v>599</v>
      <v>599</v>
      <v>599</v>
      <v>599</v>
      <v>599</v>
      <v>599</v>
      <v>599</v>
      <v>599</v>
      <v>599</v>
    </spb>
    <spb s="0">
      <v xml:space="preserve">Wikipedia	</v>
      <v xml:space="preserve">CC BY-SA 3.0	</v>
      <v xml:space="preserve">https://en.wikipedia.org/wiki/Ha%C8%9Beg	</v>
      <v xml:space="preserve">https://creativecommons.org/licenses/by-sa/3.0	</v>
    </spb>
    <spb s="9">
      <v>601</v>
      <v>601</v>
      <v>601</v>
      <v>601</v>
      <v>601</v>
      <v>601</v>
      <v>601</v>
      <v>601</v>
      <v>601</v>
    </spb>
    <spb s="0">
      <v xml:space="preserve">Wikipedia	</v>
      <v xml:space="preserve">CC BY-SA 3.0	</v>
      <v xml:space="preserve">https://en.wikipedia.org/wiki/Alm%C4%83j	</v>
      <v xml:space="preserve">https://creativecommons.org/licenses/by-sa/3.0	</v>
    </spb>
    <spb s="9">
      <v>603</v>
      <v>603</v>
      <v>603</v>
      <v>603</v>
      <v>603</v>
      <v>603</v>
      <v>603</v>
      <v>603</v>
      <v>603</v>
    </spb>
    <spb s="0">
      <v xml:space="preserve">Wikipedia	</v>
      <v xml:space="preserve">CC BY-SA 3.0	</v>
      <v xml:space="preserve">https://en.wikipedia.org/wiki/Treznea	</v>
      <v xml:space="preserve">https://creativecommons.org/licenses/by-sa/3.0	</v>
    </spb>
    <spb s="10">
      <v>605</v>
      <v>605</v>
      <v>605</v>
      <v>605</v>
      <v>605</v>
      <v>605</v>
      <v>605</v>
      <v>605</v>
      <v>605</v>
      <v>605</v>
    </spb>
    <spb s="0">
      <v xml:space="preserve">Wikipedia	</v>
      <v xml:space="preserve">CC BY-SA 3.0	</v>
      <v xml:space="preserve">https://en.wikipedia.org/wiki/T%C4%83u%C8%9Bii-M%C4%83gher%C4%83u%C8%99	</v>
      <v xml:space="preserve">https://creativecommons.org/licenses/by-sa/3.0	</v>
    </spb>
    <spb s="11">
      <v>607</v>
      <v>607</v>
      <v>607</v>
      <v>607</v>
      <v>607</v>
      <v>607</v>
      <v>607</v>
      <v>607</v>
    </spb>
    <spb s="0">
      <v xml:space="preserve">Wikipedia	</v>
      <v xml:space="preserve">CC BY-SA 3.0	</v>
      <v xml:space="preserve">https://en.wikipedia.org/wiki/S%C3%A2ngeorgiu_de_P%C4%83dure	</v>
      <v xml:space="preserve">https://creativecommons.org/licenses/by-sa/3.0	</v>
    </spb>
    <spb s="9">
      <v>609</v>
      <v>609</v>
      <v>609</v>
      <v>609</v>
      <v>609</v>
      <v>609</v>
      <v>609</v>
      <v>609</v>
      <v>609</v>
    </spb>
    <spb s="0">
      <v xml:space="preserve">Wikipedia	</v>
      <v xml:space="preserve">CC BY-SA 3.0	</v>
      <v xml:space="preserve">https://en.wikipedia.org/wiki/Margina	</v>
      <v xml:space="preserve">https://creativecommons.org/licenses/by-sa/3.0	</v>
    </spb>
    <spb s="9">
      <v>611</v>
      <v>611</v>
      <v>611</v>
      <v>611</v>
      <v>611</v>
      <v>611</v>
      <v>611</v>
      <v>611</v>
      <v>611</v>
    </spb>
    <spb s="0">
      <v xml:space="preserve">Wikipedia	</v>
      <v xml:space="preserve">CC BY-SA 3.0	</v>
      <v xml:space="preserve">https://en.wikipedia.org/wiki/Dannet	</v>
      <v xml:space="preserve">https://creativecommons.org/licenses/by-sa/3.0	</v>
    </spb>
    <spb s="19">
      <v>613</v>
      <v>613</v>
      <v>613</v>
      <v>613</v>
      <v>613</v>
      <v>613</v>
      <v>613</v>
      <v>613</v>
      <v>613</v>
    </spb>
    <spb s="2">
      <v>18</v>
      <v>Name</v>
      <v>LearnMoreOnLink</v>
    </spb>
    <spb s="12">
      <v>2012</v>
    </spb>
    <spb s="0">
      <v xml:space="preserve">Wikipedia	</v>
      <v xml:space="preserve">CC BY-SA 3.0	</v>
      <v xml:space="preserve">https://en.wikipedia.org/wiki/Budacu_de_Jos	</v>
      <v xml:space="preserve">https://creativecommons.org/licenses/by-sa/3.0	</v>
    </spb>
    <spb s="9">
      <v>617</v>
      <v>617</v>
      <v>617</v>
      <v>617</v>
      <v>617</v>
      <v>617</v>
      <v>617</v>
      <v>617</v>
      <v>617</v>
    </spb>
    <spb s="0">
      <v xml:space="preserve">Wikipedia	</v>
      <v xml:space="preserve">CC BY-SA 3.0	</v>
      <v xml:space="preserve">https://en.wikipedia.org/wiki/Ro%C8%99iorii_de_Vede	</v>
      <v xml:space="preserve">https://creativecommons.org/licenses/by-sa/3.0	</v>
    </spb>
    <spb s="9">
      <v>619</v>
      <v>619</v>
      <v>619</v>
      <v>619</v>
      <v>619</v>
      <v>619</v>
      <v>619</v>
      <v>619</v>
      <v>619</v>
    </spb>
    <spb s="0">
      <v xml:space="preserve">Wikipedia	</v>
      <v xml:space="preserve">CC BY-SA 3.0	</v>
      <v xml:space="preserve">https://en.wikipedia.org/wiki/Negreni,_Cluj	</v>
      <v xml:space="preserve">https://creativecommons.org/licenses/by-sa/3.0	</v>
    </spb>
    <spb s="9">
      <v>621</v>
      <v>621</v>
      <v>621</v>
      <v>621</v>
      <v>621</v>
      <v>621</v>
      <v>621</v>
      <v>621</v>
      <v>621</v>
    </spb>
    <spb s="0">
      <v xml:space="preserve">Wikipedia	</v>
      <v xml:space="preserve">CC BY-SA 3.0	</v>
      <v xml:space="preserve">https://en.wikipedia.org/wiki/Bascov	</v>
      <v xml:space="preserve">https://creativecommons.org/licenses/by-sa/3.0	</v>
    </spb>
    <spb s="9">
      <v>623</v>
      <v>623</v>
      <v>623</v>
      <v>623</v>
      <v>623</v>
      <v>623</v>
      <v>623</v>
      <v>623</v>
      <v>623</v>
    </spb>
    <spb s="0">
      <v xml:space="preserve">Wikipedia	</v>
      <v xml:space="preserve">CC BY-SA 3.0	</v>
      <v xml:space="preserve">https://en.wikipedia.org/wiki/S%C4%83li%C8%99te	</v>
      <v xml:space="preserve">https://creativecommons.org/licenses/by-sa/3.0	</v>
    </spb>
    <spb s="9">
      <v>625</v>
      <v>625</v>
      <v>625</v>
      <v>625</v>
      <v>625</v>
      <v>625</v>
      <v>625</v>
      <v>625</v>
      <v>625</v>
    </spb>
    <spb s="0">
      <v xml:space="preserve">Wikipedia	</v>
      <v xml:space="preserve">CC BY-SA 3.0	</v>
      <v xml:space="preserve">https://en.wikipedia.org/wiki/Agnita	</v>
      <v xml:space="preserve">https://creativecommons.org/licenses/by-sa/3.0	</v>
    </spb>
    <spb s="9">
      <v>627</v>
      <v>627</v>
      <v>627</v>
      <v>627</v>
      <v>627</v>
      <v>627</v>
      <v>627</v>
      <v>627</v>
      <v>627</v>
    </spb>
    <spb s="0">
      <v xml:space="preserve">Wikipedia	</v>
      <v xml:space="preserve">CC BY-SA 3.0	</v>
      <v xml:space="preserve">https://en.wikipedia.org/wiki/Pomi	</v>
      <v xml:space="preserve">https://creativecommons.org/licenses/by-sa/3.0	</v>
    </spb>
    <spb s="9">
      <v>629</v>
      <v>629</v>
      <v>629</v>
      <v>629</v>
      <v>629</v>
      <v>629</v>
      <v>629</v>
      <v>629</v>
      <v>629</v>
    </spb>
    <spb s="0">
      <v xml:space="preserve">Wikipedia	</v>
      <v xml:space="preserve">CC BY-SA 3.0	</v>
      <v xml:space="preserve">https://en.wikipedia.org/wiki/Huedin	</v>
      <v xml:space="preserve">https://creativecommons.org/licenses/by-sa/3.0	</v>
    </spb>
    <spb s="9">
      <v>631</v>
      <v>631</v>
      <v>631</v>
      <v>631</v>
      <v>631</v>
      <v>631</v>
      <v>631</v>
      <v>631</v>
      <v>631</v>
    </spb>
    <spb s="0">
      <v xml:space="preserve">Wikipedia	</v>
      <v xml:space="preserve">CC BY-SA 3.0	</v>
      <v xml:space="preserve">https://en.wikipedia.org/wiki/Mih%C4%83e%C8%99ti,_Arge%C8%99	</v>
      <v xml:space="preserve">https://creativecommons.org/licenses/by-sa/3.0	</v>
    </spb>
    <spb s="9">
      <v>633</v>
      <v>633</v>
      <v>633</v>
      <v>633</v>
      <v>633</v>
      <v>633</v>
      <v>633</v>
      <v>633</v>
      <v>633</v>
    </spb>
    <spb s="0">
      <v xml:space="preserve">Wikipedia	</v>
      <v xml:space="preserve">CC BY-SA 3.0	</v>
      <v xml:space="preserve">https://en.wikipedia.org/wiki/Ilva_Mare	</v>
      <v xml:space="preserve">https://creativecommons.org/licenses/by-sa/3.0	</v>
    </spb>
    <spb s="9">
      <v>635</v>
      <v>635</v>
      <v>635</v>
      <v>635</v>
      <v>635</v>
      <v>635</v>
      <v>635</v>
      <v>635</v>
      <v>635</v>
    </spb>
    <spb s="0">
      <v xml:space="preserve">Wikipedia	</v>
      <v xml:space="preserve">CC BY-SA 3.0	</v>
      <v xml:space="preserve">https://en.wikipedia.org/wiki/F%C4%83get	</v>
      <v xml:space="preserve">https://creativecommons.org/licenses/by-sa/3.0	</v>
    </spb>
    <spb s="9">
      <v>637</v>
      <v>637</v>
      <v>637</v>
      <v>637</v>
      <v>637</v>
      <v>637</v>
      <v>637</v>
      <v>637</v>
      <v>637</v>
    </spb>
    <spb s="0">
      <v xml:space="preserve">Wikipedia	</v>
      <v xml:space="preserve">CC BY-SA 3.0	</v>
      <v xml:space="preserve">https://en.wikipedia.org/wiki/Ruc%C4%83r	</v>
      <v xml:space="preserve">https://creativecommons.org/licenses/by-sa/3.0	</v>
    </spb>
    <spb s="9">
      <v>639</v>
      <v>639</v>
      <v>639</v>
      <v>639</v>
      <v>639</v>
      <v>639</v>
      <v>639</v>
      <v>639</v>
      <v>639</v>
    </spb>
    <spb s="0">
      <v xml:space="preserve">Wikipedia	</v>
      <v xml:space="preserve">CC BY-SA 3.0	</v>
      <v xml:space="preserve">https://en.wikipedia.org/wiki/Brastav%C4%83%C8%9Bu	</v>
      <v xml:space="preserve">https://creativecommons.org/licenses/by-sa/3.0	</v>
    </spb>
    <spb s="9">
      <v>641</v>
      <v>641</v>
      <v>641</v>
      <v>641</v>
      <v>641</v>
      <v>641</v>
      <v>641</v>
      <v>641</v>
      <v>641</v>
    </spb>
    <spb s="0">
      <v xml:space="preserve">Wikipedia	</v>
      <v xml:space="preserve">CC BY-SA 3.0	</v>
      <v xml:space="preserve">https://en.wikipedia.org/wiki/S%C3%A2mb%C4%83ta_de_Sus	</v>
      <v xml:space="preserve">https://creativecommons.org/licenses/by-sa/3.0	</v>
    </spb>
    <spb s="9">
      <v>643</v>
      <v>643</v>
      <v>643</v>
      <v>643</v>
      <v>643</v>
      <v>643</v>
      <v>643</v>
      <v>643</v>
      <v>643</v>
    </spb>
    <spb s="0">
      <v xml:space="preserve">Wikipedia	</v>
      <v xml:space="preserve">CC BY-SA 3.0	</v>
      <v xml:space="preserve">https://en.wikipedia.org/wiki/Bob%C3%A2lna	</v>
      <v xml:space="preserve">https://creativecommons.org/licenses/by-sa/3.0	</v>
    </spb>
    <spb s="9">
      <v>645</v>
      <v>645</v>
      <v>645</v>
      <v>645</v>
      <v>645</v>
      <v>645</v>
      <v>645</v>
      <v>645</v>
      <v>645</v>
    </spb>
    <spb s="0">
      <v xml:space="preserve">Wikipedia	</v>
      <v xml:space="preserve">CC BY-SA 3.0	</v>
      <v xml:space="preserve">https://en.wikipedia.org/wiki/Strehaia	</v>
      <v xml:space="preserve">https://creativecommons.org/licenses/by-sa/3.0	</v>
    </spb>
    <spb s="9">
      <v>647</v>
      <v>647</v>
      <v>647</v>
      <v>647</v>
      <v>647</v>
      <v>647</v>
      <v>647</v>
      <v>647</v>
      <v>647</v>
    </spb>
    <spb s="0">
      <v xml:space="preserve">Wikipedia	</v>
      <v xml:space="preserve">CC BY-SA 3.0	</v>
      <v xml:space="preserve">https://en.wikipedia.org/wiki/Rozavlea	</v>
      <v xml:space="preserve">https://creativecommons.org/licenses/by-sa/3.0	</v>
    </spb>
    <spb s="9">
      <v>649</v>
      <v>649</v>
      <v>649</v>
      <v>649</v>
      <v>649</v>
      <v>649</v>
      <v>649</v>
      <v>649</v>
      <v>649</v>
    </spb>
    <spb s="0">
      <v xml:space="preserve">Wikipedia	</v>
      <v xml:space="preserve">CC BY-SA 3.0	</v>
      <v xml:space="preserve">https://en.wikipedia.org/wiki/D%C4%83rm%C4%83ne%C8%99ti	</v>
      <v xml:space="preserve">https://creativecommons.org/licenses/by-sa/3.0	</v>
    </spb>
    <spb s="10">
      <v>651</v>
      <v>651</v>
      <v>651</v>
      <v>651</v>
      <v>651</v>
      <v>651</v>
      <v>651</v>
      <v>651</v>
      <v>651</v>
      <v>651</v>
    </spb>
    <spb s="0">
      <v xml:space="preserve">Wikipedia	</v>
      <v xml:space="preserve">CC BY-SA 3.0	</v>
      <v xml:space="preserve">https://en.wikipedia.org/wiki/S%C3%BAtor	</v>
      <v xml:space="preserve">https://creativecommons.org/licenses/by-sa/3.0	</v>
    </spb>
    <spb s="10">
      <v>653</v>
      <v>653</v>
      <v>653</v>
      <v>653</v>
      <v>653</v>
      <v>653</v>
      <v>653</v>
      <v>653</v>
      <v>653</v>
      <v>653</v>
    </spb>
    <spb s="0">
      <v xml:space="preserve">Wikipedia	</v>
      <v xml:space="preserve">CC BY-SA 3.0	</v>
      <v xml:space="preserve">https://en.wikipedia.org/wiki/M%C4%83ri%C8%99elu	</v>
      <v xml:space="preserve">https://creativecommons.org/licenses/by-sa/3.0	</v>
    </spb>
    <spb s="9">
      <v>655</v>
      <v>655</v>
      <v>655</v>
      <v>655</v>
      <v>655</v>
      <v>655</v>
      <v>655</v>
      <v>655</v>
      <v>655</v>
    </spb>
    <spb s="0">
      <v xml:space="preserve">Wikipedia	</v>
      <v xml:space="preserve">CC BY-SA 3.0	</v>
      <v xml:space="preserve">https://en.wikipedia.org/wiki/Bon%C8%9Bida	</v>
      <v xml:space="preserve">https://creativecommons.org/licenses/by-sa/3.0	</v>
    </spb>
    <spb s="9">
      <v>657</v>
      <v>657</v>
      <v>657</v>
      <v>657</v>
      <v>657</v>
      <v>657</v>
      <v>657</v>
      <v>657</v>
      <v>657</v>
    </spb>
    <spb s="0">
      <v xml:space="preserve">Wikipedia	</v>
      <v xml:space="preserve">CC BY-SA 3.0	</v>
      <v xml:space="preserve">https://en.wikipedia.org/wiki/%C8%98imnicu_de_Sus	</v>
      <v xml:space="preserve">https://creativecommons.org/licenses/by-sa/3.0	</v>
    </spb>
    <spb s="9">
      <v>659</v>
      <v>659</v>
      <v>659</v>
      <v>659</v>
      <v>659</v>
      <v>659</v>
      <v>659</v>
      <v>659</v>
      <v>659</v>
    </spb>
    <spb s="0">
      <v xml:space="preserve">Wikipedia	</v>
      <v xml:space="preserve">CC BY-SA 3.0	</v>
      <v xml:space="preserve">https://en.wikipedia.org/wiki/Hoghiz	</v>
      <v xml:space="preserve">https://creativecommons.org/licenses/by-sa/3.0	</v>
    </spb>
    <spb s="9">
      <v>661</v>
      <v>661</v>
      <v>661</v>
      <v>661</v>
      <v>661</v>
      <v>661</v>
      <v>661</v>
      <v>661</v>
      <v>661</v>
    </spb>
    <spb s="0">
      <v xml:space="preserve">Wikipedia	</v>
      <v xml:space="preserve">CC BY-SA 3.0	</v>
      <v xml:space="preserve">https://en.wikipedia.org/wiki/Periam	</v>
      <v xml:space="preserve">https://creativecommons.org/licenses/by-sa/3.0	</v>
    </spb>
    <spb s="9">
      <v>663</v>
      <v>663</v>
      <v>663</v>
      <v>663</v>
      <v>663</v>
      <v>663</v>
      <v>663</v>
      <v>663</v>
      <v>663</v>
    </spb>
    <spb s="0">
      <v xml:space="preserve">Wikipedia	</v>
      <v xml:space="preserve">CC BY-SA 3.0	</v>
      <v xml:space="preserve">https://en.wikipedia.org/wiki/V%C3%A2n%C4%83tori,_Mure%C8%99	</v>
      <v xml:space="preserve">https://creativecommons.org/licenses/by-sa/3.0	</v>
    </spb>
    <spb s="9">
      <v>665</v>
      <v>665</v>
      <v>665</v>
      <v>665</v>
      <v>665</v>
      <v>665</v>
      <v>665</v>
      <v>665</v>
      <v>665</v>
    </spb>
    <spb s="0">
      <v xml:space="preserve">Wikipedia	</v>
      <v xml:space="preserve">CC BY-SA 3.0	</v>
      <v xml:space="preserve">https://en.wikipedia.org/wiki/Cincu	</v>
      <v xml:space="preserve">https://creativecommons.org/licenses/by-sa/3.0	</v>
    </spb>
    <spb s="9">
      <v>667</v>
      <v>667</v>
      <v>667</v>
      <v>667</v>
      <v>667</v>
      <v>667</v>
      <v>667</v>
      <v>667</v>
      <v>667</v>
    </spb>
    <spb s="0">
      <v xml:space="preserve">Wikipedia	</v>
      <v xml:space="preserve">CC BY-SA 3.0	</v>
      <v xml:space="preserve">https://en.wikipedia.org/wiki/Or%C4%83%C8%99tie	</v>
      <v xml:space="preserve">https://creativecommons.org/licenses/by-sa/3.0	</v>
    </spb>
    <spb s="9">
      <v>669</v>
      <v>669</v>
      <v>669</v>
      <v>669</v>
      <v>669</v>
      <v>669</v>
      <v>669</v>
      <v>669</v>
      <v>669</v>
    </spb>
    <spb s="0">
      <v xml:space="preserve">Wikipedia	</v>
      <v xml:space="preserve">CC BY-SA 3.0	</v>
      <v xml:space="preserve">https://en.wikipedia.org/wiki/Gher%C8%9Ba_Mic%C4%83	</v>
      <v xml:space="preserve">https://creativecommons.org/licenses/by-sa/3.0	</v>
    </spb>
    <spb s="9">
      <v>671</v>
      <v>671</v>
      <v>671</v>
      <v>671</v>
      <v>671</v>
      <v>671</v>
      <v>671</v>
      <v>671</v>
      <v>671</v>
    </spb>
    <spb s="0">
      <v xml:space="preserve">Wikipedia	</v>
      <v xml:space="preserve">CC BY-SA 3.0	</v>
      <v xml:space="preserve">https://en.wikipedia.org/wiki/Ciofr%C3%A2ngeni	</v>
      <v xml:space="preserve">https://creativecommons.org/licenses/by-sa/3.0	</v>
    </spb>
    <spb s="9">
      <v>673</v>
      <v>673</v>
      <v>673</v>
      <v>673</v>
      <v>673</v>
      <v>673</v>
      <v>673</v>
      <v>673</v>
      <v>673</v>
    </spb>
    <spb s="0">
      <v xml:space="preserve">Wikipedia	</v>
      <v xml:space="preserve">CC BY-SA 3.0	</v>
      <v xml:space="preserve">https://en.wikipedia.org/wiki/Sandra,_Estonia	</v>
      <v xml:space="preserve">https://creativecommons.org/licenses/by-sa/3.0	</v>
    </spb>
    <spb s="10">
      <v>675</v>
      <v>675</v>
      <v>675</v>
      <v>675</v>
      <v>675</v>
      <v>675</v>
      <v>675</v>
      <v>675</v>
      <v>675</v>
      <v>675</v>
    </spb>
    <spb s="7">
      <v>square km</v>
      <v>2009</v>
    </spb>
    <spb s="0">
      <v xml:space="preserve">Wikipedia	</v>
      <v xml:space="preserve">CC BY-SA 3.0	</v>
      <v xml:space="preserve">https://en.wikipedia.org/wiki/Berbe%C8%99ti	</v>
      <v xml:space="preserve">https://creativecommons.org/licenses/by-sa/3.0	</v>
    </spb>
    <spb s="9">
      <v>678</v>
      <v>678</v>
      <v>678</v>
      <v>678</v>
      <v>678</v>
      <v>678</v>
      <v>678</v>
      <v>678</v>
      <v>678</v>
    </spb>
    <spb s="0">
      <v xml:space="preserve">Wikipedia	</v>
      <v xml:space="preserve">CC BY-SA 3.0	</v>
      <v xml:space="preserve">https://en.wikipedia.org/wiki/Chisindia	</v>
      <v xml:space="preserve">https://creativecommons.org/licenses/by-sa/3.0	</v>
    </spb>
    <spb s="9">
      <v>680</v>
      <v>680</v>
      <v>680</v>
      <v>680</v>
      <v>680</v>
      <v>680</v>
      <v>680</v>
      <v>680</v>
      <v>680</v>
    </spb>
    <spb s="0">
      <v xml:space="preserve">Wikipedia	</v>
      <v xml:space="preserve">CC BY-SA 3.0	</v>
      <v xml:space="preserve">https://en.wikipedia.org/wiki/%C8%98imian,_Mehedin%C8%9Bi	</v>
      <v xml:space="preserve">https://creativecommons.org/licenses/by-sa/3.0	</v>
    </spb>
    <spb s="9">
      <v>682</v>
      <v>682</v>
      <v>682</v>
      <v>682</v>
      <v>682</v>
      <v>682</v>
      <v>682</v>
      <v>682</v>
      <v>682</v>
    </spb>
    <spb s="0">
      <v xml:space="preserve">Wikipedia	</v>
      <v xml:space="preserve">CC BY-SA 3.0	</v>
      <v xml:space="preserve">https://en.wikipedia.org/wiki/S%C4%83p%C3%A2n%C8%9Ba	</v>
      <v xml:space="preserve">https://creativecommons.org/licenses/by-sa/3.0	</v>
    </spb>
    <spb s="9">
      <v>684</v>
      <v>684</v>
      <v>684</v>
      <v>684</v>
      <v>684</v>
      <v>684</v>
      <v>684</v>
      <v>684</v>
      <v>684</v>
    </spb>
    <spb s="0">
      <v xml:space="preserve">Wikipedia	</v>
      <v xml:space="preserve">CC BY-SA 3.0	</v>
      <v xml:space="preserve">https://en.wikipedia.org/wiki/Jebel,_Timi%C8%99	</v>
      <v xml:space="preserve">https://creativecommons.org/licenses/by-sa/3.0	</v>
    </spb>
    <spb s="9">
      <v>686</v>
      <v>686</v>
      <v>686</v>
      <v>686</v>
      <v>686</v>
      <v>686</v>
      <v>686</v>
      <v>686</v>
      <v>686</v>
    </spb>
    <spb s="0">
      <v xml:space="preserve">Wikipedia	</v>
      <v xml:space="preserve">CC BY-SA 3.0	</v>
      <v xml:space="preserve">https://en.wikipedia.org/wiki/Veti%C8%99	</v>
      <v xml:space="preserve">https://creativecommons.org/licenses/by-sa/3.0	</v>
    </spb>
    <spb s="9">
      <v>688</v>
      <v>688</v>
      <v>688</v>
      <v>688</v>
      <v>688</v>
      <v>688</v>
      <v>688</v>
      <v>688</v>
      <v>688</v>
    </spb>
    <spb s="0">
      <v xml:space="preserve">Wikipedia	</v>
      <v xml:space="preserve">CC BY-SA 3.0	</v>
      <v xml:space="preserve">https://en.wikipedia.org/wiki/Dese%C8%99ti	</v>
      <v xml:space="preserve">https://creativecommons.org/licenses/by-sa/3.0	</v>
    </spb>
    <spb s="11">
      <v>690</v>
      <v>690</v>
      <v>690</v>
      <v>690</v>
      <v>690</v>
      <v>690</v>
      <v>690</v>
      <v>690</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k n="Admin Division 2 (County/district/other)" t="spb"/>
  </s>
  <s>
    <k n="Name" t="spb"/>
    <k n="Latitude" t="spb"/>
    <k n="Longitude" t="spb"/>
    <k n="Population" t="spb"/>
    <k n="UniqueName" t="spb"/>
    <k n="Description" t="spb"/>
    <k n="Country/region" t="spb"/>
    <k n="Admin Division 1 (State/province/other)" t="spb"/>
  </s>
  <s>
    <k n="Population" t="s"/>
  </s>
  <s>
    <k n="^Order" t="spba"/>
    <k n="TitleProperty" t="s"/>
  </s>
  <s>
    <k n="UniqueName" t="spb"/>
    <k n="VDPID/VSID"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i"/>
  </s>
  <s>
    <k n="Name" t="spb"/>
    <k n="Latitude" t="spb"/>
    <k n="Longitude" t="spb"/>
    <k n="UniqueName" t="spb"/>
    <k n="Description" t="spb"/>
    <k n="Country/region" t="spb"/>
    <k n="Admin Division 1 (State/province/other)" t="spb"/>
    <k n="Admin Division 2 (County/district/other)" t="spb"/>
  </s>
  <s>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3">
      <rpv i="2">0.0%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B6FF13-542A-4681-8797-D689ACACB9A3}" name="Table2" displayName="Table2" ref="A1:AJ181" totalsRowShown="0" headerRowDxfId="111" dataDxfId="110">
  <autoFilter ref="A1:AJ181" xr:uid="{F3B6FF13-542A-4681-8797-D689ACACB9A3}"/>
  <sortState xmlns:xlrd2="http://schemas.microsoft.com/office/spreadsheetml/2017/richdata2" ref="A2:AJ181">
    <sortCondition ref="I1:I181"/>
  </sortState>
  <tableColumns count="36">
    <tableColumn id="1" xr3:uid="{E637FE78-2356-4636-8248-37AE7FF11DE4}" name="Crt" dataDxfId="109">
      <calculatedColumnFormula>IF(ROW(A2)=2,1,A1+1)</calculatedColumnFormula>
    </tableColumn>
    <tableColumn id="2" xr3:uid="{F363FB8E-E5BE-47BB-8036-21E71259F270}" name="Responsabil" dataDxfId="108"/>
    <tableColumn id="3" xr3:uid="{C13CA21C-8EC7-451B-A966-09F965B7F516}" name="SITE" dataDxfId="107"/>
    <tableColumn id="4" xr3:uid="{2609EEDD-B7F7-4A7E-A450-97EA596CD668}" name="TRONSON FO" dataDxfId="106"/>
    <tableColumn id="33" xr3:uid="{EBEE2E82-33E1-447C-AE3B-07152E88C0CF}" name="Volumetrie" dataDxfId="105"/>
    <tableColumn id="5" xr3:uid="{5949BA1B-C5D3-46F9-BD9A-2152467C775B}" name="Descriere PBM" dataDxfId="104"/>
    <tableColumn id="6" xr3:uid="{514F6A3F-8BA6-4CFE-9579-9A31A5523603}" name="status" dataDxfId="103"/>
    <tableColumn id="7" xr3:uid="{E1630D91-935B-4D0F-AE7D-E32E490C585E}" name="Domeniu PBM" dataDxfId="102"/>
    <tableColumn id="8" xr3:uid="{C2C5DB26-CA1C-493A-A5B8-87DD3D714047}" name="Ticket ID" dataDxfId="101"/>
    <tableColumn id="9" xr3:uid="{AFDA3284-B8D9-46EB-8048-F19F528E0CBB}" name="coment" dataDxfId="100"/>
    <tableColumn id="36" xr3:uid="{25BFD6D4-B57B-4C4C-AC56-B8F8E923BAC5}" name="Column2" dataDxfId="99"/>
    <tableColumn id="34" xr3:uid="{9397E421-F2D0-447F-A839-D0061092E85F}" name="NICM" dataDxfId="98"/>
    <tableColumn id="35" xr3:uid="{50965B0E-3003-421E-9EC1-743E70522AE4}" name="Column1" dataDxfId="97"/>
    <tableColumn id="10" xr3:uid="{A09ECAB1-4CF1-42F9-84BE-9474FA8E695D}" name="Finalizare raport" dataDxfId="96"/>
    <tableColumn id="11" xr3:uid="{6F15B251-54A3-4F3D-B56A-72EA83405929}" name="SLA PBM" dataDxfId="95"/>
    <tableColumn id="12" xr3:uid="{9EBEDE82-82B7-4FD2-87E0-DECA1B9D5BC3}" name="Data  si  ora solicitare interventie" dataDxfId="94"/>
    <tableColumn id="13" xr3:uid="{CD05DF7C-AAEA-4B68-ADBA-CB80827DFC46}" name="Echipa " dataDxfId="93"/>
    <tableColumn id="32" xr3:uid="{54A1005B-C8C5-4AAB-95A3-A3EF95A3EEED}" name="Prelucrat OPS" dataDxfId="92"/>
    <tableColumn id="14" xr3:uid="{126B2975-4B43-4244-9FCB-3A947CF3BF8B}" name="STOKY" dataDxfId="91"/>
    <tableColumn id="15" xr3:uid="{F57A414E-78C1-4426-AAEC-20EE004F89EB}" name="ETA" dataDxfId="90"/>
    <tableColumn id="16" xr3:uid="{3B7B5F8A-BCD2-45AA-8315-F1B1B0F27690}" name="data si ora masuratori OTDR" dataDxfId="89"/>
    <tableColumn id="17" xr3:uid="{47BA3C1F-16A3-4717-B340-0CFEDD7A0D42}" name="data si ora prlecare echipa" dataDxfId="88"/>
    <tableColumn id="18" xr3:uid="{B8AF593D-FE82-4B78-AEF5-57C8D55E3ABA}" name="data si ora ajungere in zona incidentului" dataDxfId="87"/>
    <tableColumn id="19" xr3:uid="{A48EF673-7C75-4B73-8427-84E286093A05}" name="data si ora localizare incident" dataDxfId="86"/>
    <tableColumn id="20" xr3:uid="{02426AAD-3035-4D63-A0A7-FD2A95983BB1}" name="data si ora finalizare incident incident" dataDxfId="85"/>
    <tableColumn id="21" xr3:uid="{49B2827F-A341-4F00-B824-B0BAC422A5E5}" name="data si ora confirmare functionalitate servii Orange" dataDxfId="84"/>
    <tableColumn id="22" xr3:uid="{0A51190E-50A5-487F-9DEB-2E468F73DA07}" name="data si ora confirmare functionalitate servii clienti" dataDxfId="83"/>
    <tableColumn id="23" xr3:uid="{1A7839F1-4086-4A4E-8E84-C946339D43AA}" name="cauza incident" dataDxfId="82"/>
    <tableColumn id="24" xr3:uid="{5B924B3D-2CA7-4413-A314-C146412EB538}" name="descriere incident" dataDxfId="81"/>
    <tableColumn id="25" xr3:uid="{0A3FF3DD-8740-4E48-AB0D-6E294E93BB7F}" name="descriere remediere" dataDxfId="80"/>
    <tableColumn id="26" xr3:uid="{74878A87-31AD-493B-B5B5-08A84DC0797D}" name="coordonate incident" dataDxfId="79"/>
    <tableColumn id="27" xr3:uid="{5395DDC0-1304-452B-B8F4-9BDF6EB85C6D}" name="PBM in SLA" dataDxfId="78"/>
    <tableColumn id="28" xr3:uid="{C35F6919-A87A-4102-B4B9-A10C65AB99AF}" name="Necesar update NICM" dataDxfId="77"/>
    <tableColumn id="29" xr3:uid="{E99F2BF9-595C-44DE-ACE4-F044752CC528}" name="link raport" dataDxfId="76"/>
    <tableColumn id="30" xr3:uid="{692EE1FE-E373-4062-9028-291137B310B7}" name="Column3" dataDxfId="75"/>
    <tableColumn id="31" xr3:uid="{DE201488-8F2E-4A4A-A669-AC9845F5C426}" name="Column4" dataDxfId="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5BC835-C72A-44FC-9552-DE041847DDC7}" name="Table3" displayName="Table3" ref="A1:I64" totalsRowShown="0" headerRowDxfId="63" dataDxfId="62">
  <autoFilter ref="A1:I64" xr:uid="{E45BC835-C72A-44FC-9552-DE041847DDC7}"/>
  <tableColumns count="9">
    <tableColumn id="1" xr3:uid="{F7C5AA88-1E16-4CD5-804B-BEB0B668DFC6}" name="Crt." dataDxfId="61"/>
    <tableColumn id="2" xr3:uid="{4DF28C11-68AB-4FBA-AC8B-6560A0C38D15}" name="Nr tichet" dataDxfId="60"/>
    <tableColumn id="3" xr3:uid="{4E380B49-B9AB-458A-AB35-3E9C443ACC68}" name="DATA" dataDxfId="59"/>
    <tableColumn id="4" xr3:uid="{8D4D21FF-98E0-4A46-8A07-D8B07BFCEE44}" name="Coordonator" dataDxfId="58"/>
    <tableColumn id="5" xr3:uid="{047229D8-55B3-4E01-B2B8-16CB2B5056FA}" name="Status QAF" dataDxfId="57"/>
    <tableColumn id="6" xr3:uid="{0749DFB4-021B-4202-991C-250BE19E987B}" name="Echipa" dataDxfId="56"/>
    <tableColumn id="7" xr3:uid="{F3ABF4FD-95F3-4734-8E3F-F18C64E827B3}" name="OPS" dataDxfId="55"/>
    <tableColumn id="8" xr3:uid="{59A8CBEA-5509-48BD-B12F-169F2FE24863}" name="OBSERVATII" dataDxfId="54"/>
    <tableColumn id="9" xr3:uid="{82FB21B2-720F-4B3D-A9F2-5AC841FA7A08}" name="INCARCAT SERVER"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02DAC-0239-4798-B57F-899817AE3283}" name="Table1" displayName="Table1" ref="A1:AE1918" totalsRowShown="0" headerRowDxfId="17" tableBorderDxfId="16">
  <autoFilter ref="A1:AE1918" xr:uid="{75202DAC-0239-4798-B57F-899817AE3283}">
    <filterColumn colId="6">
      <filters>
        <filter val="Marin"/>
        <filter val="(NonBlanks)"/>
      </filters>
    </filterColumn>
  </autoFilter>
  <tableColumns count="31">
    <tableColumn id="1" xr3:uid="{E8734904-4568-49F2-ABD6-03CC66DCB79B}" name="s" dataDxfId="15">
      <calculatedColumnFormula>ROW() - ROW(Table1[[#Headers],[s]])</calculatedColumnFormula>
    </tableColumn>
    <tableColumn id="2" xr3:uid="{77202188-768A-4CDB-AAEC-090F2DE864C6}" name="Tronson FO"/>
    <tableColumn id="3" xr3:uid="{D3344693-D0DE-4280-B28D-B766F58A9001}" name="Volumetrie" dataDxfId="14"/>
    <tableColumn id="4" xr3:uid="{8AD718CA-DD78-440C-8595-A1E0AC8055BC}" name="Ticket ID" dataDxfId="13"/>
    <tableColumn id="5" xr3:uid="{1B9D42EF-245C-4BCB-94C0-2C722F6CACAE}" name="Localitate"/>
    <tableColumn id="6" xr3:uid="{9F7C68F1-820E-4FC2-A8F0-6356BBEF2A49}" name="Judet"/>
    <tableColumn id="7" xr3:uid="{5875505D-9CD8-4F59-A095-E6C529338717}" name="Responsabil" dataDxfId="12"/>
    <tableColumn id="9" xr3:uid="{0340F166-C506-4591-8B0F-7941DA83FC40}" name="Topologie tonson"/>
    <tableColumn id="8" xr3:uid="{04DA58C0-1B90-4496-AD0A-B7AAA8F860EF}" name="Status report" dataDxfId="11"/>
    <tableColumn id="10" xr3:uid="{D6FC2DD4-8A38-4190-A61A-01B549F493F3}" name="SLA tichet" dataDxfId="10"/>
    <tableColumn id="11" xr3:uid="{0E858AB6-4A31-4C90-9C97-95E8F4DB20FA}" name="Solutie finalizare tichet" dataDxfId="9"/>
    <tableColumn id="12" xr3:uid="{187A817D-714B-4379-A2C2-01EE526D6E72}" name="Data  si  ora solicitare interventie" dataDxfId="8"/>
    <tableColumn id="13" xr3:uid="{A9CFE422-CD42-4833-B9DC-EEB863DC7D34}" name="Echipa initiala" dataDxfId="7"/>
    <tableColumn id="14" xr3:uid="{BE0E81AC-63FA-4E9C-B6E6-5E26CEC9C7D3}" name="Echipa finalizare" dataDxfId="6"/>
    <tableColumn id="15" xr3:uid="{0A201240-F859-4DD5-B651-5CDAE4354038}" name="Data si ora sosire in zona incidentului" dataDxfId="5"/>
    <tableColumn id="16" xr3:uid="{6A76D10A-100F-4F15-B0B9-67091BF534D3}" name="Data si ora localizare incident"/>
    <tableColumn id="17" xr3:uid="{9A437CE8-3DF1-4052-A25B-CD27421A1429}" name="Data si ora finalizare incident" dataDxfId="4"/>
    <tableColumn id="18" xr3:uid="{C017244E-4CF2-42F4-BA4D-5EF241F728CB}" name="Capacitate cablu"/>
    <tableColumn id="19" xr3:uid="{90B85764-D04F-491D-BCB0-132266625228}" name="Cauza incident" dataDxfId="3"/>
    <tableColumn id="20" xr3:uid="{58DC471F-D82C-493B-92D8-C4E7D0466965}" name="Autor incident" dataDxfId="2"/>
    <tableColumn id="21" xr3:uid="{D3F1641B-5927-4360-8F15-CA637343EED6}" name="Descriere incident"/>
    <tableColumn id="22" xr3:uid="{FA11BB42-E6FB-4D6A-B63A-25E08BE93B5A}" name="Descriere remediere" dataDxfId="1"/>
    <tableColumn id="23" xr3:uid="{DC0B0FC7-FB89-4C16-A873-4664D0850479}" name="Coordonate incident"/>
    <tableColumn id="24" xr3:uid="{B9F6B650-B77B-4210-B683-6E1B46BD19A8}" name="Alte detalii"/>
    <tableColumn id="25" xr3:uid="{28679451-75CF-473D-9532-D00158ECB865}" name="Incident in SLA"/>
    <tableColumn id="26" xr3:uid="{4D5A29BB-3D42-44CB-9B87-295F876212E9}" name="Necesar update NICM"/>
    <tableColumn id="27" xr3:uid="{6D9E5CA5-27BD-45EA-AF7D-37052555B903}" name="Conciliere"/>
    <tableColumn id="28" xr3:uid="{A1287EDF-9177-4CA7-92AA-F711C3906ECB}" name="Operat stoky"/>
    <tableColumn id="29" xr3:uid="{7FC3D1FB-9D6A-4D37-8E1C-3A166B1059F2}" name="OPS"/>
    <tableColumn id="30" xr3:uid="{807D5AB0-336A-4913-82F9-916104C88CFE}" name="OBS PROCONECT"/>
    <tableColumn id="31" xr3:uid="{45EAC997-1DDB-4A2A-9C67-903FD017D3D5}" name="Imag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6AA99E-717B-4437-8DF4-BAD2AE9893AF}" name="Table5" displayName="Table5" ref="A1:I99" totalsRowShown="0" headerRowDxfId="0">
  <autoFilter ref="A1:I99" xr:uid="{CA6AA99E-717B-4437-8DF4-BAD2AE9893AF}"/>
  <tableColumns count="9">
    <tableColumn id="1" xr3:uid="{FE59A7B3-6C0B-4A67-BC60-118DE65C97E1}" name="No"/>
    <tableColumn id="2" xr3:uid="{3E1A665C-9081-4692-9AB3-F9B45656AD0E}" name="Tichet ID"/>
    <tableColumn id="3" xr3:uid="{8A2CED95-E821-4AB9-A6CD-045E91B4E090}" name="SW ID"/>
    <tableColumn id="4" xr3:uid="{C6C01107-B509-4D24-9EF9-14E9C72CBEA4}" name="Tronsaon /Site"/>
    <tableColumn id="5" xr3:uid="{FED6A78F-E9AE-44CA-B953-D145F1CFCFEC}" name="Data"/>
    <tableColumn id="6" xr3:uid="{8EACA708-926D-4791-A1D1-9439594560C7}" name="Interval orar"/>
    <tableColumn id="7" xr3:uid="{6E50F8D4-483C-4853-A65D-23839D859106}" name="Echipa executie SW"/>
    <tableColumn id="8" xr3:uid="{AE069D84-9067-4B44-8235-F25E067AE284}" name="Descriere lucrare"/>
    <tableColumn id="9" xr3:uid="{1DFBB89C-9830-4A66-B793-107453A6CA82}" name="Finalizare S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73846-BB9A-42C7-B948-8BFD91F5B4ED}">
  <dimension ref="A1:AJ181"/>
  <sheetViews>
    <sheetView topLeftCell="A59" workbookViewId="0">
      <selection activeCell="I76" sqref="I76"/>
    </sheetView>
  </sheetViews>
  <sheetFormatPr defaultColWidth="8.85546875" defaultRowHeight="15" customHeight="1"/>
  <cols>
    <col min="1" max="1" width="5.42578125" style="5" bestFit="1" customWidth="1"/>
    <col min="2" max="2" width="17" style="5" customWidth="1"/>
    <col min="3" max="3" width="9.28515625" style="5" customWidth="1"/>
    <col min="4" max="4" width="13.28515625" customWidth="1"/>
    <col min="5" max="6" width="9.28515625" customWidth="1"/>
    <col min="7" max="7" width="12.42578125" customWidth="1"/>
    <col min="8" max="8" width="9.28515625" customWidth="1"/>
    <col min="9" max="9" width="15.28515625" style="433" customWidth="1"/>
    <col min="10" max="11" width="19.7109375" customWidth="1"/>
    <col min="12" max="13" width="9.28515625" customWidth="1"/>
    <col min="14" max="14" width="25.140625" customWidth="1"/>
    <col min="15" max="15" width="10.140625" customWidth="1"/>
    <col min="16" max="16" width="20.85546875" customWidth="1"/>
    <col min="17" max="17" width="17.85546875" customWidth="1"/>
    <col min="18" max="18" width="19" customWidth="1"/>
    <col min="19" max="19" width="12.7109375" customWidth="1"/>
    <col min="20" max="24" width="10.140625" customWidth="1"/>
    <col min="25" max="25" width="15.140625" customWidth="1"/>
    <col min="26" max="34" width="10.140625" customWidth="1"/>
    <col min="35" max="36" width="12" customWidth="1"/>
  </cols>
  <sheetData>
    <row r="1" spans="1:36" ht="42" customHeight="1">
      <c r="A1" s="8" t="s">
        <v>0</v>
      </c>
      <c r="B1" s="8" t="s">
        <v>1</v>
      </c>
      <c r="C1" s="8" t="s">
        <v>2</v>
      </c>
      <c r="D1" s="8" t="s">
        <v>3</v>
      </c>
      <c r="E1" s="8" t="s">
        <v>4</v>
      </c>
      <c r="F1" s="8" t="s">
        <v>5</v>
      </c>
      <c r="G1" s="8" t="s">
        <v>6</v>
      </c>
      <c r="H1" s="8" t="s">
        <v>7</v>
      </c>
      <c r="I1" s="429"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t="s">
        <v>34</v>
      </c>
      <c r="AJ1" t="s">
        <v>35</v>
      </c>
    </row>
    <row r="2" spans="1:36" ht="15" customHeight="1">
      <c r="A2" s="9">
        <f>IF(ROW(A2)=2,1,#REF!+1)</f>
        <v>1</v>
      </c>
      <c r="B2" s="9" t="s">
        <v>36</v>
      </c>
      <c r="C2" s="9"/>
      <c r="D2" s="9"/>
      <c r="E2" s="15">
        <v>46023</v>
      </c>
      <c r="F2" s="9"/>
      <c r="G2" s="9" t="s">
        <v>37</v>
      </c>
      <c r="H2" s="9"/>
      <c r="I2" s="430">
        <v>58799</v>
      </c>
      <c r="J2" s="9"/>
      <c r="K2" s="9"/>
      <c r="L2" s="28" t="s">
        <v>38</v>
      </c>
      <c r="M2" s="9"/>
      <c r="N2" s="9"/>
      <c r="O2" s="9"/>
      <c r="P2" s="9"/>
      <c r="Q2" s="9" t="s">
        <v>39</v>
      </c>
      <c r="R2" s="9"/>
      <c r="S2" s="9"/>
      <c r="T2" s="9"/>
      <c r="U2" s="9"/>
      <c r="V2" s="9"/>
      <c r="W2" s="9"/>
      <c r="X2" s="9"/>
      <c r="Y2" s="10">
        <v>46034</v>
      </c>
      <c r="Z2" s="9"/>
      <c r="AA2" s="9"/>
      <c r="AB2" s="9"/>
      <c r="AC2" s="9"/>
      <c r="AD2" s="9"/>
      <c r="AE2" s="9"/>
      <c r="AF2" s="9"/>
      <c r="AG2" s="9"/>
      <c r="AH2" s="9"/>
    </row>
    <row r="3" spans="1:36" ht="15" customHeight="1">
      <c r="A3" s="9">
        <f>IF(ROW(A3)=2,1,A2+1)</f>
        <v>2</v>
      </c>
      <c r="B3" s="9" t="s">
        <v>40</v>
      </c>
      <c r="C3" s="9"/>
      <c r="D3" s="9"/>
      <c r="E3" s="15">
        <v>46023</v>
      </c>
      <c r="F3" s="9"/>
      <c r="G3" s="9" t="s">
        <v>37</v>
      </c>
      <c r="H3" s="9"/>
      <c r="I3" s="430">
        <v>58680</v>
      </c>
      <c r="J3" s="9"/>
      <c r="K3" s="9"/>
      <c r="L3" s="28" t="s">
        <v>38</v>
      </c>
      <c r="M3" s="9"/>
      <c r="N3" s="9"/>
      <c r="O3" s="9"/>
      <c r="P3" s="9"/>
      <c r="Q3" s="28" t="s">
        <v>41</v>
      </c>
      <c r="R3" s="9"/>
      <c r="S3" s="9"/>
      <c r="T3" s="9"/>
      <c r="U3" s="9"/>
      <c r="V3" s="9"/>
      <c r="W3" s="9"/>
      <c r="X3" s="9"/>
      <c r="Y3" s="10">
        <v>46031</v>
      </c>
      <c r="Z3" s="9"/>
      <c r="AA3" s="9"/>
      <c r="AB3" s="9"/>
      <c r="AC3" s="9"/>
      <c r="AD3" s="9"/>
      <c r="AE3" s="9"/>
      <c r="AF3" s="9"/>
      <c r="AG3" s="9"/>
      <c r="AH3" s="9"/>
    </row>
    <row r="4" spans="1:36" ht="15" customHeight="1">
      <c r="A4" s="9">
        <f>IF(ROW(A4)=2,1,A3+1)</f>
        <v>3</v>
      </c>
      <c r="B4" s="9" t="s">
        <v>42</v>
      </c>
      <c r="C4" s="9"/>
      <c r="D4" s="9"/>
      <c r="E4" s="15">
        <v>46023</v>
      </c>
      <c r="F4" s="9"/>
      <c r="G4" s="9" t="s">
        <v>43</v>
      </c>
      <c r="H4" s="9"/>
      <c r="I4" s="430">
        <v>58319</v>
      </c>
      <c r="J4" s="9"/>
      <c r="K4" s="9"/>
      <c r="L4" s="9" t="s">
        <v>38</v>
      </c>
      <c r="M4" s="9"/>
      <c r="N4" s="9"/>
      <c r="O4" s="9"/>
      <c r="P4" s="9"/>
      <c r="Q4" s="9" t="s">
        <v>44</v>
      </c>
      <c r="R4" s="9"/>
      <c r="S4" s="9"/>
      <c r="T4" s="9"/>
      <c r="U4" s="9"/>
      <c r="V4" s="9"/>
      <c r="W4" s="9"/>
      <c r="X4" s="9"/>
      <c r="Y4" s="10">
        <v>46034</v>
      </c>
      <c r="Z4" s="9"/>
      <c r="AA4" s="9"/>
      <c r="AB4" s="9"/>
      <c r="AC4" s="9"/>
      <c r="AD4" s="9"/>
      <c r="AE4" s="9"/>
      <c r="AF4" s="9"/>
      <c r="AG4" s="9"/>
      <c r="AH4" s="9"/>
    </row>
    <row r="5" spans="1:36" ht="15" customHeight="1">
      <c r="A5" s="9">
        <f>IF(ROW(A5)=2,1,A4+1)</f>
        <v>4</v>
      </c>
      <c r="B5" s="9" t="s">
        <v>42</v>
      </c>
      <c r="C5" s="9"/>
      <c r="D5" s="9"/>
      <c r="E5" s="15">
        <v>46023</v>
      </c>
      <c r="F5" s="9"/>
      <c r="G5" s="9" t="s">
        <v>43</v>
      </c>
      <c r="H5" s="9"/>
      <c r="I5" s="430">
        <v>58778</v>
      </c>
      <c r="J5" s="9"/>
      <c r="K5" s="9"/>
      <c r="L5" s="9" t="s">
        <v>38</v>
      </c>
      <c r="M5" s="9"/>
      <c r="N5" s="9"/>
      <c r="O5" s="9"/>
      <c r="P5" s="9"/>
      <c r="Q5" s="9" t="s">
        <v>45</v>
      </c>
      <c r="R5" s="9"/>
      <c r="S5" s="9"/>
      <c r="T5" s="9"/>
      <c r="U5" s="9"/>
      <c r="V5" s="9"/>
      <c r="W5" s="9"/>
      <c r="X5" s="9"/>
      <c r="Y5" s="10"/>
      <c r="Z5" s="9"/>
      <c r="AA5" s="9"/>
      <c r="AB5" s="9"/>
      <c r="AC5" s="9"/>
      <c r="AD5" s="9"/>
      <c r="AE5" s="9"/>
      <c r="AF5" s="9"/>
      <c r="AG5" s="9"/>
      <c r="AH5" s="9"/>
    </row>
    <row r="6" spans="1:36" ht="15" customHeight="1">
      <c r="A6" s="9">
        <f>IF(ROW(A6)=2,1,A5+1)</f>
        <v>5</v>
      </c>
      <c r="B6" s="9" t="s">
        <v>40</v>
      </c>
      <c r="C6" s="9"/>
      <c r="D6" s="9"/>
      <c r="E6" s="15">
        <v>46023</v>
      </c>
      <c r="F6" s="9"/>
      <c r="G6" s="9" t="s">
        <v>37</v>
      </c>
      <c r="H6" s="9"/>
      <c r="I6" s="430">
        <v>59039</v>
      </c>
      <c r="J6" s="9"/>
      <c r="K6" s="9"/>
      <c r="L6" s="9" t="s">
        <v>38</v>
      </c>
      <c r="M6" s="9"/>
      <c r="N6" s="9"/>
      <c r="O6" s="9"/>
      <c r="P6" s="9"/>
      <c r="Q6" s="9" t="s">
        <v>46</v>
      </c>
      <c r="R6" s="9"/>
      <c r="S6" s="9"/>
      <c r="T6" s="9"/>
      <c r="U6" s="9"/>
      <c r="V6" s="9"/>
      <c r="W6" s="9"/>
      <c r="X6" s="9"/>
      <c r="Y6" s="10"/>
      <c r="Z6" s="9"/>
      <c r="AA6" s="9"/>
      <c r="AB6" s="9"/>
      <c r="AC6" s="9"/>
      <c r="AD6" s="9"/>
      <c r="AE6" s="9"/>
      <c r="AF6" s="9"/>
      <c r="AG6" s="9"/>
      <c r="AH6" s="9"/>
    </row>
    <row r="7" spans="1:36" ht="15" customHeight="1">
      <c r="A7" s="9">
        <f>IF(ROW(A7)=2,1,A6+1)</f>
        <v>6</v>
      </c>
      <c r="B7" s="9" t="s">
        <v>42</v>
      </c>
      <c r="C7" s="9"/>
      <c r="D7" s="9"/>
      <c r="E7" s="15">
        <v>46054</v>
      </c>
      <c r="F7" s="9"/>
      <c r="G7" s="9" t="s">
        <v>43</v>
      </c>
      <c r="H7" s="9"/>
      <c r="I7" s="430">
        <v>59125</v>
      </c>
      <c r="J7" s="9"/>
      <c r="K7" s="9"/>
      <c r="L7" s="9" t="s">
        <v>38</v>
      </c>
      <c r="M7" s="9"/>
      <c r="N7" s="9"/>
      <c r="O7" s="9"/>
      <c r="P7" s="9"/>
      <c r="Q7" s="9"/>
      <c r="R7" s="9"/>
      <c r="S7" s="9"/>
      <c r="T7" s="9"/>
      <c r="U7" s="9"/>
      <c r="V7" s="9"/>
      <c r="W7" s="9"/>
      <c r="X7" s="9"/>
      <c r="Y7" s="10"/>
      <c r="Z7" s="9"/>
      <c r="AA7" s="9"/>
      <c r="AB7" s="9"/>
      <c r="AC7" s="9"/>
      <c r="AD7" s="9"/>
      <c r="AE7" s="9"/>
      <c r="AF7" s="9"/>
      <c r="AG7" s="9"/>
      <c r="AH7" s="9"/>
    </row>
    <row r="8" spans="1:36" ht="15" customHeight="1">
      <c r="A8" s="9">
        <f>IF(ROW(A8)=2,1,A7+1)</f>
        <v>7</v>
      </c>
      <c r="B8" s="9" t="s">
        <v>42</v>
      </c>
      <c r="C8" s="9"/>
      <c r="D8" s="9"/>
      <c r="E8" s="15">
        <v>46054</v>
      </c>
      <c r="F8" s="9"/>
      <c r="G8" s="9" t="s">
        <v>43</v>
      </c>
      <c r="H8" s="9"/>
      <c r="I8" s="430">
        <v>59177</v>
      </c>
      <c r="J8" s="9"/>
      <c r="K8" s="9"/>
      <c r="L8" s="9" t="s">
        <v>38</v>
      </c>
      <c r="M8" s="9"/>
      <c r="N8" s="9"/>
      <c r="O8" s="9"/>
      <c r="P8" s="9"/>
      <c r="Q8" s="9"/>
      <c r="R8" s="9"/>
      <c r="S8" s="9"/>
      <c r="T8" s="9"/>
      <c r="U8" s="9"/>
      <c r="V8" s="9"/>
      <c r="W8" s="9"/>
      <c r="X8" s="9"/>
      <c r="Y8" s="10"/>
      <c r="Z8" s="9"/>
      <c r="AA8" s="9"/>
      <c r="AB8" s="9"/>
      <c r="AC8" s="9"/>
      <c r="AD8" s="9"/>
      <c r="AE8" s="9"/>
      <c r="AF8" s="9"/>
      <c r="AG8" s="9"/>
      <c r="AH8" s="9"/>
    </row>
    <row r="9" spans="1:36" ht="15" customHeight="1">
      <c r="A9" s="9">
        <f>IF(ROW(A9)=2,1,A8+1)</f>
        <v>8</v>
      </c>
      <c r="B9" s="9" t="s">
        <v>42</v>
      </c>
      <c r="C9" s="9"/>
      <c r="D9" s="9"/>
      <c r="E9" s="15">
        <v>46023</v>
      </c>
      <c r="F9" s="9"/>
      <c r="G9" s="9" t="s">
        <v>43</v>
      </c>
      <c r="H9" s="9"/>
      <c r="I9" s="430">
        <v>59250</v>
      </c>
      <c r="J9" s="9"/>
      <c r="K9" s="9"/>
      <c r="L9" s="9" t="s">
        <v>38</v>
      </c>
      <c r="M9" s="9"/>
      <c r="N9" s="9"/>
      <c r="O9" s="9"/>
      <c r="P9" s="9"/>
      <c r="Q9" s="9" t="s">
        <v>39</v>
      </c>
      <c r="R9" s="9"/>
      <c r="S9" s="9"/>
      <c r="T9" s="9"/>
      <c r="U9" s="9"/>
      <c r="V9" s="9"/>
      <c r="W9" s="9"/>
      <c r="X9" s="9"/>
      <c r="Y9" s="10">
        <v>46051</v>
      </c>
      <c r="Z9" s="9"/>
      <c r="AA9" s="9"/>
      <c r="AB9" s="9"/>
      <c r="AC9" s="9"/>
      <c r="AD9" s="9"/>
      <c r="AE9" s="9"/>
      <c r="AF9" s="9"/>
      <c r="AG9" s="9"/>
      <c r="AH9" s="9"/>
    </row>
    <row r="10" spans="1:36" ht="15" customHeight="1">
      <c r="A10" s="9">
        <f>IF(ROW(A10)=2,1,A9+1)</f>
        <v>9</v>
      </c>
      <c r="B10" s="9" t="s">
        <v>36</v>
      </c>
      <c r="C10" s="9"/>
      <c r="D10" s="9"/>
      <c r="E10" s="15">
        <v>46054</v>
      </c>
      <c r="F10" s="9"/>
      <c r="G10" s="9" t="s">
        <v>37</v>
      </c>
      <c r="H10" s="9"/>
      <c r="I10" s="430">
        <v>55728</v>
      </c>
      <c r="J10" s="9"/>
      <c r="K10" s="9"/>
      <c r="L10" s="9" t="s">
        <v>38</v>
      </c>
      <c r="M10" s="9"/>
      <c r="N10" s="9"/>
      <c r="O10" s="9"/>
      <c r="P10" s="9"/>
      <c r="Q10" s="9" t="s">
        <v>47</v>
      </c>
      <c r="R10" s="9"/>
      <c r="S10" s="9"/>
      <c r="T10" s="9"/>
      <c r="U10" s="9"/>
      <c r="V10" s="9"/>
      <c r="W10" s="9"/>
      <c r="X10" s="9"/>
      <c r="Y10" s="10"/>
      <c r="Z10" s="9"/>
      <c r="AA10" s="9"/>
      <c r="AB10" s="9"/>
      <c r="AC10" s="9"/>
      <c r="AD10" s="9"/>
      <c r="AE10" s="9"/>
      <c r="AF10" s="9"/>
      <c r="AG10" s="9"/>
      <c r="AH10" s="9"/>
    </row>
    <row r="11" spans="1:36" ht="15" customHeight="1">
      <c r="A11" s="9">
        <f>IF(ROW(A11)=2,1,A10+1)</f>
        <v>10</v>
      </c>
      <c r="B11" s="9" t="s">
        <v>42</v>
      </c>
      <c r="C11" s="9"/>
      <c r="D11" s="9"/>
      <c r="E11" s="15">
        <v>46054</v>
      </c>
      <c r="F11" s="9"/>
      <c r="G11" s="9" t="s">
        <v>43</v>
      </c>
      <c r="H11" s="9"/>
      <c r="I11" s="430">
        <v>59381</v>
      </c>
      <c r="J11" s="9"/>
      <c r="K11" s="9"/>
      <c r="L11" s="9" t="s">
        <v>38</v>
      </c>
      <c r="M11" s="9"/>
      <c r="N11" s="9"/>
      <c r="O11" s="9"/>
      <c r="P11" s="9"/>
      <c r="Q11" s="9" t="s">
        <v>48</v>
      </c>
      <c r="R11" s="9"/>
      <c r="S11" s="9"/>
      <c r="T11" s="9"/>
      <c r="U11" s="9"/>
      <c r="V11" s="9"/>
      <c r="W11" s="9"/>
      <c r="X11" s="9"/>
      <c r="Y11" s="10"/>
      <c r="Z11" s="9"/>
      <c r="AA11" s="9"/>
      <c r="AB11" s="9"/>
      <c r="AC11" s="9"/>
      <c r="AD11" s="9"/>
      <c r="AE11" s="9"/>
      <c r="AF11" s="9"/>
      <c r="AG11" s="9"/>
      <c r="AH11" s="9"/>
    </row>
    <row r="12" spans="1:36" ht="15" customHeight="1">
      <c r="A12" s="9">
        <f>IF(ROW(A12)=2,1,A11+1)</f>
        <v>11</v>
      </c>
      <c r="B12" s="9" t="s">
        <v>42</v>
      </c>
      <c r="C12" s="9"/>
      <c r="D12" s="9"/>
      <c r="E12" s="15">
        <v>46054</v>
      </c>
      <c r="F12" s="9"/>
      <c r="G12" s="9" t="s">
        <v>43</v>
      </c>
      <c r="H12" s="9"/>
      <c r="I12" s="430">
        <v>59432</v>
      </c>
      <c r="J12" s="9"/>
      <c r="K12" s="9"/>
      <c r="L12" s="9" t="s">
        <v>38</v>
      </c>
      <c r="M12" s="9"/>
      <c r="N12" s="9"/>
      <c r="O12" s="9"/>
      <c r="P12" s="9"/>
      <c r="Q12" s="9" t="s">
        <v>48</v>
      </c>
      <c r="R12" s="9"/>
      <c r="S12" s="9"/>
      <c r="T12" s="9"/>
      <c r="U12" s="9"/>
      <c r="V12" s="9"/>
      <c r="W12" s="9"/>
      <c r="X12" s="9"/>
      <c r="Y12" s="10"/>
      <c r="Z12" s="9"/>
      <c r="AA12" s="9"/>
      <c r="AB12" s="9"/>
      <c r="AC12" s="9"/>
      <c r="AD12" s="9"/>
      <c r="AE12" s="9"/>
      <c r="AF12" s="9"/>
      <c r="AG12" s="9"/>
      <c r="AH12" s="9"/>
    </row>
    <row r="13" spans="1:36" ht="15" customHeight="1">
      <c r="A13" s="8">
        <f>IF(ROW(A13)=2,1,A12+1)</f>
        <v>12</v>
      </c>
      <c r="B13" s="9" t="s">
        <v>36</v>
      </c>
      <c r="C13" s="9"/>
      <c r="D13" s="9"/>
      <c r="E13" s="15">
        <v>46023</v>
      </c>
      <c r="F13" s="9"/>
      <c r="G13" s="8" t="s">
        <v>49</v>
      </c>
      <c r="H13" s="9"/>
      <c r="I13" s="430">
        <v>57351</v>
      </c>
      <c r="J13" s="9"/>
      <c r="K13" s="9"/>
      <c r="L13" s="9" t="s">
        <v>50</v>
      </c>
      <c r="M13" s="9"/>
      <c r="N13" s="9"/>
      <c r="O13" s="9"/>
      <c r="P13" s="9"/>
      <c r="Q13" s="9" t="s">
        <v>39</v>
      </c>
      <c r="R13" s="9"/>
      <c r="S13" s="9"/>
      <c r="T13" s="9"/>
      <c r="U13" s="9"/>
      <c r="V13" s="9"/>
      <c r="W13" s="9"/>
      <c r="X13" s="9"/>
      <c r="Y13" s="14">
        <v>45981</v>
      </c>
      <c r="Z13" s="9"/>
      <c r="AA13" s="9"/>
      <c r="AB13" s="9"/>
      <c r="AC13" s="9"/>
      <c r="AD13" s="9"/>
      <c r="AE13" s="9"/>
      <c r="AF13" s="9"/>
      <c r="AG13" s="9"/>
      <c r="AH13" s="9"/>
    </row>
    <row r="14" spans="1:36" ht="15" customHeight="1">
      <c r="A14" s="9">
        <f>IF(ROW(A14)=2,1,A13+1)</f>
        <v>13</v>
      </c>
      <c r="B14" s="9" t="s">
        <v>36</v>
      </c>
      <c r="C14" s="9"/>
      <c r="D14" s="9"/>
      <c r="E14" s="15">
        <v>46023</v>
      </c>
      <c r="F14" s="9"/>
      <c r="G14" s="9" t="s">
        <v>49</v>
      </c>
      <c r="H14" s="9"/>
      <c r="I14" s="430">
        <v>56928</v>
      </c>
      <c r="J14" s="9"/>
      <c r="K14" s="9"/>
      <c r="L14" s="9" t="s">
        <v>50</v>
      </c>
      <c r="M14" s="9"/>
      <c r="N14" s="9"/>
      <c r="O14" s="9"/>
      <c r="P14" s="9"/>
      <c r="Q14" s="9" t="s">
        <v>47</v>
      </c>
      <c r="R14" s="9"/>
      <c r="S14" s="9"/>
      <c r="T14" s="9"/>
      <c r="U14" s="9"/>
      <c r="V14" s="9"/>
      <c r="W14" s="9"/>
      <c r="X14" s="9"/>
      <c r="Y14" s="10">
        <v>45994</v>
      </c>
      <c r="Z14" s="9"/>
      <c r="AA14" s="9"/>
      <c r="AB14" s="9"/>
      <c r="AC14" s="9"/>
      <c r="AD14" s="9"/>
      <c r="AE14" s="9"/>
      <c r="AF14" s="9"/>
      <c r="AG14" s="9"/>
      <c r="AH14" s="9"/>
    </row>
    <row r="15" spans="1:36" ht="15" customHeight="1">
      <c r="A15" s="9">
        <f>IF(ROW(A15)=2,1,A14+1)</f>
        <v>14</v>
      </c>
      <c r="B15" s="9" t="s">
        <v>36</v>
      </c>
      <c r="C15" s="9"/>
      <c r="D15" s="9"/>
      <c r="E15" s="15">
        <v>46023</v>
      </c>
      <c r="F15" s="9"/>
      <c r="G15" s="9" t="s">
        <v>49</v>
      </c>
      <c r="H15" s="9"/>
      <c r="I15" s="430">
        <v>58065</v>
      </c>
      <c r="J15" s="9"/>
      <c r="K15" s="9"/>
      <c r="L15" s="9" t="s">
        <v>50</v>
      </c>
      <c r="M15" s="9"/>
      <c r="N15" s="9"/>
      <c r="O15" s="9"/>
      <c r="P15" s="9"/>
      <c r="Q15" s="33" t="s">
        <v>44</v>
      </c>
      <c r="R15" s="9"/>
      <c r="S15" s="9"/>
      <c r="T15" s="9"/>
      <c r="U15" s="9"/>
      <c r="V15" s="9"/>
      <c r="W15" s="9"/>
      <c r="X15" s="9"/>
      <c r="Y15" s="10">
        <v>46021</v>
      </c>
      <c r="Z15" s="9"/>
      <c r="AA15" s="9"/>
      <c r="AB15" s="9"/>
      <c r="AC15" s="9"/>
      <c r="AD15" s="9"/>
      <c r="AE15" s="9"/>
      <c r="AF15" s="9"/>
      <c r="AG15" s="9"/>
      <c r="AH15" s="9"/>
    </row>
    <row r="16" spans="1:36" ht="15" customHeight="1">
      <c r="A16" s="9">
        <f>IF(ROW(A16)=2,1,A15+1)</f>
        <v>15</v>
      </c>
      <c r="B16" s="9" t="s">
        <v>40</v>
      </c>
      <c r="C16" s="9"/>
      <c r="D16" s="9"/>
      <c r="E16" s="15">
        <v>46082</v>
      </c>
      <c r="F16" s="8" t="s">
        <v>51</v>
      </c>
      <c r="G16" s="9" t="s">
        <v>43</v>
      </c>
      <c r="H16" s="9"/>
      <c r="I16" s="430">
        <v>29299</v>
      </c>
      <c r="J16" s="9"/>
      <c r="K16" s="9"/>
      <c r="L16" s="9" t="s">
        <v>52</v>
      </c>
      <c r="M16" s="9"/>
      <c r="N16" s="9"/>
      <c r="O16" s="9"/>
      <c r="P16" s="9"/>
      <c r="Q16" s="9" t="s">
        <v>53</v>
      </c>
      <c r="R16" s="9"/>
      <c r="S16" s="9"/>
      <c r="T16" s="9"/>
      <c r="U16" s="9"/>
      <c r="V16" s="9"/>
      <c r="W16" s="9"/>
      <c r="X16" s="9"/>
      <c r="Y16" s="10">
        <v>46106</v>
      </c>
      <c r="Z16" s="9"/>
      <c r="AA16" s="9"/>
      <c r="AB16" s="9"/>
      <c r="AC16" s="9"/>
      <c r="AD16" s="9"/>
      <c r="AE16" s="9"/>
      <c r="AF16" s="9"/>
      <c r="AG16" s="9"/>
      <c r="AH16" s="9"/>
    </row>
    <row r="17" spans="1:34" ht="15" customHeight="1">
      <c r="A17" s="9">
        <f>IF(ROW(A17)=2,1,A16+1)</f>
        <v>16</v>
      </c>
      <c r="B17" s="9" t="s">
        <v>36</v>
      </c>
      <c r="C17" s="9"/>
      <c r="D17" s="9"/>
      <c r="E17" s="15">
        <v>46054</v>
      </c>
      <c r="F17" s="9"/>
      <c r="G17" s="9" t="s">
        <v>49</v>
      </c>
      <c r="H17" s="9"/>
      <c r="I17" s="430">
        <v>59791</v>
      </c>
      <c r="J17" s="9"/>
      <c r="K17" s="9"/>
      <c r="L17" s="9" t="s">
        <v>50</v>
      </c>
      <c r="M17" s="9"/>
      <c r="N17" s="9"/>
      <c r="O17" s="9"/>
      <c r="P17" s="9"/>
      <c r="Q17" s="9" t="s">
        <v>54</v>
      </c>
      <c r="R17" s="9"/>
      <c r="S17" s="9"/>
      <c r="T17" s="9"/>
      <c r="U17" s="9"/>
      <c r="V17" s="9"/>
      <c r="W17" s="9"/>
      <c r="X17" s="9"/>
      <c r="Y17" s="10">
        <v>46056</v>
      </c>
      <c r="Z17" s="9"/>
      <c r="AA17" s="9"/>
      <c r="AB17" s="9"/>
      <c r="AC17" s="9"/>
      <c r="AD17" s="9"/>
      <c r="AE17" s="9"/>
      <c r="AF17" s="9"/>
      <c r="AG17" s="9"/>
      <c r="AH17" s="9"/>
    </row>
    <row r="18" spans="1:34" ht="15" customHeight="1">
      <c r="A18" s="9">
        <f>IF(ROW(A18)=2,1,A17+1)</f>
        <v>17</v>
      </c>
      <c r="B18" s="9" t="s">
        <v>36</v>
      </c>
      <c r="C18" s="9"/>
      <c r="D18" s="9"/>
      <c r="E18" s="15">
        <v>46054</v>
      </c>
      <c r="F18" s="9"/>
      <c r="G18" s="9" t="s">
        <v>49</v>
      </c>
      <c r="H18" s="9"/>
      <c r="I18" s="430">
        <v>59674</v>
      </c>
      <c r="J18" s="9"/>
      <c r="K18" s="9"/>
      <c r="L18" s="9" t="s">
        <v>50</v>
      </c>
      <c r="M18" s="9"/>
      <c r="N18" s="9"/>
      <c r="O18" s="9"/>
      <c r="P18" s="9"/>
      <c r="Q18" s="9" t="s">
        <v>39</v>
      </c>
      <c r="R18" s="9"/>
      <c r="S18" s="9"/>
      <c r="T18" s="9"/>
      <c r="U18" s="9"/>
      <c r="V18" s="9"/>
      <c r="W18" s="9"/>
      <c r="X18" s="9"/>
      <c r="Y18" s="10">
        <v>46063</v>
      </c>
      <c r="Z18" s="9"/>
      <c r="AA18" s="9"/>
      <c r="AB18" s="9"/>
      <c r="AC18" s="9"/>
      <c r="AD18" s="9"/>
      <c r="AE18" s="9"/>
      <c r="AF18" s="9"/>
      <c r="AG18" s="9"/>
      <c r="AH18" s="9"/>
    </row>
    <row r="19" spans="1:34" ht="15" customHeight="1">
      <c r="A19" s="9">
        <f>IF(ROW(A19)=2,1,A18+1)</f>
        <v>18</v>
      </c>
      <c r="B19" s="9" t="s">
        <v>42</v>
      </c>
      <c r="C19" s="9"/>
      <c r="D19" s="9"/>
      <c r="E19" s="15">
        <v>46054</v>
      </c>
      <c r="F19" s="9"/>
      <c r="G19" s="9" t="s">
        <v>43</v>
      </c>
      <c r="H19" s="9"/>
      <c r="I19" s="430">
        <v>59820</v>
      </c>
      <c r="J19" s="9"/>
      <c r="K19" s="9"/>
      <c r="L19" s="9" t="s">
        <v>50</v>
      </c>
      <c r="M19" s="9"/>
      <c r="N19" s="9"/>
      <c r="O19" s="9"/>
      <c r="P19" s="9"/>
      <c r="Q19" s="9" t="s">
        <v>39</v>
      </c>
      <c r="R19" s="9"/>
      <c r="S19" s="9"/>
      <c r="T19" s="9"/>
      <c r="U19" s="9"/>
      <c r="V19" s="9"/>
      <c r="W19" s="9"/>
      <c r="X19" s="9"/>
      <c r="Y19" s="10">
        <v>46064</v>
      </c>
      <c r="Z19" s="9"/>
      <c r="AA19" s="9"/>
      <c r="AB19" s="9"/>
      <c r="AC19" s="9"/>
      <c r="AD19" s="9"/>
      <c r="AE19" s="9"/>
      <c r="AF19" s="9"/>
      <c r="AG19" s="9"/>
      <c r="AH19" s="9"/>
    </row>
    <row r="20" spans="1:34" ht="15" customHeight="1">
      <c r="A20" s="8">
        <f>IF(ROW(A20)=2,1,A19+1)</f>
        <v>19</v>
      </c>
      <c r="B20" s="9" t="s">
        <v>42</v>
      </c>
      <c r="C20" s="9"/>
      <c r="D20" s="9"/>
      <c r="E20" s="15">
        <v>46054</v>
      </c>
      <c r="F20" s="9"/>
      <c r="G20" s="8" t="s">
        <v>43</v>
      </c>
      <c r="H20" s="9"/>
      <c r="I20" s="430">
        <v>59854</v>
      </c>
      <c r="J20" s="9"/>
      <c r="K20" s="9"/>
      <c r="L20" s="9" t="s">
        <v>50</v>
      </c>
      <c r="M20" s="9"/>
      <c r="N20" s="9"/>
      <c r="O20" s="9"/>
      <c r="P20" s="9"/>
      <c r="Q20" s="9" t="s">
        <v>39</v>
      </c>
      <c r="R20" s="9"/>
      <c r="S20" s="9"/>
      <c r="T20" s="9"/>
      <c r="U20" s="9"/>
      <c r="V20" s="9"/>
      <c r="W20" s="9"/>
      <c r="X20" s="9"/>
      <c r="Y20" s="10">
        <v>46064</v>
      </c>
      <c r="Z20" s="9"/>
      <c r="AA20" s="9"/>
      <c r="AB20" s="9"/>
      <c r="AC20" s="9"/>
      <c r="AD20" s="9"/>
      <c r="AE20" s="9"/>
      <c r="AF20" s="9"/>
      <c r="AG20" s="9"/>
      <c r="AH20" s="9"/>
    </row>
    <row r="21" spans="1:34" ht="15" customHeight="1">
      <c r="A21" s="8">
        <f>IF(ROW(A21)=2,1,A20+1)</f>
        <v>20</v>
      </c>
      <c r="B21" s="9" t="s">
        <v>42</v>
      </c>
      <c r="C21" s="9"/>
      <c r="D21" s="9"/>
      <c r="E21" s="15">
        <v>46054</v>
      </c>
      <c r="F21" s="9"/>
      <c r="G21" s="8" t="s">
        <v>43</v>
      </c>
      <c r="H21" s="9"/>
      <c r="I21" s="430">
        <v>59430</v>
      </c>
      <c r="J21" s="9"/>
      <c r="K21" s="9"/>
      <c r="L21" s="9" t="s">
        <v>50</v>
      </c>
      <c r="M21" s="9"/>
      <c r="N21" s="9"/>
      <c r="O21" s="9"/>
      <c r="P21" s="9"/>
      <c r="Q21" s="9" t="s">
        <v>48</v>
      </c>
      <c r="R21" s="9"/>
      <c r="S21" s="9"/>
      <c r="T21" s="9"/>
      <c r="U21" s="9"/>
      <c r="V21" s="9"/>
      <c r="W21" s="9"/>
      <c r="X21" s="9"/>
      <c r="Y21" s="10"/>
      <c r="Z21" s="9"/>
      <c r="AA21" s="9"/>
      <c r="AB21" s="9"/>
      <c r="AC21" s="9"/>
      <c r="AD21" s="9"/>
      <c r="AE21" s="9"/>
      <c r="AF21" s="9"/>
      <c r="AG21" s="9"/>
      <c r="AH21" s="9"/>
    </row>
    <row r="22" spans="1:34" ht="15" customHeight="1">
      <c r="A22" s="8">
        <f>IF(ROW(A22)=2,1,A21+1)</f>
        <v>21</v>
      </c>
      <c r="B22" s="9" t="s">
        <v>42</v>
      </c>
      <c r="C22" s="9"/>
      <c r="D22" s="9"/>
      <c r="E22" s="15">
        <v>46054</v>
      </c>
      <c r="F22" s="9"/>
      <c r="G22" s="8" t="s">
        <v>43</v>
      </c>
      <c r="H22" s="9"/>
      <c r="I22" s="430">
        <v>59434</v>
      </c>
      <c r="J22" s="9"/>
      <c r="K22" s="9"/>
      <c r="L22" s="9" t="s">
        <v>50</v>
      </c>
      <c r="M22" s="9"/>
      <c r="N22" s="9"/>
      <c r="O22" s="9"/>
      <c r="P22" s="9"/>
      <c r="Q22" s="9" t="s">
        <v>48</v>
      </c>
      <c r="R22" s="9"/>
      <c r="S22" s="9"/>
      <c r="T22" s="9"/>
      <c r="U22" s="9"/>
      <c r="V22" s="9"/>
      <c r="W22" s="9"/>
      <c r="X22" s="9"/>
      <c r="Y22" s="10"/>
      <c r="Z22" s="9"/>
      <c r="AA22" s="9"/>
      <c r="AB22" s="9"/>
      <c r="AC22" s="9"/>
      <c r="AD22" s="9"/>
      <c r="AE22" s="9"/>
      <c r="AF22" s="9"/>
      <c r="AG22" s="9"/>
      <c r="AH22" s="9"/>
    </row>
    <row r="23" spans="1:34" ht="15" customHeight="1">
      <c r="A23" s="8">
        <f>IF(ROW(A23)=2,1,A22+1)</f>
        <v>22</v>
      </c>
      <c r="B23" s="9" t="s">
        <v>40</v>
      </c>
      <c r="C23" s="9"/>
      <c r="D23" s="9"/>
      <c r="E23" s="15">
        <v>46054</v>
      </c>
      <c r="F23" s="9"/>
      <c r="G23" s="8" t="s">
        <v>43</v>
      </c>
      <c r="H23" s="9"/>
      <c r="I23" s="430">
        <v>60352</v>
      </c>
      <c r="J23" s="9"/>
      <c r="K23" s="9"/>
      <c r="L23" s="9" t="s">
        <v>50</v>
      </c>
      <c r="M23" s="9"/>
      <c r="N23" s="9"/>
      <c r="O23" s="9"/>
      <c r="P23" s="9"/>
      <c r="Q23" s="9" t="s">
        <v>48</v>
      </c>
      <c r="R23" s="9"/>
      <c r="S23" s="9"/>
      <c r="T23" s="9"/>
      <c r="U23" s="9"/>
      <c r="V23" s="9"/>
      <c r="W23" s="9"/>
      <c r="X23" s="9"/>
      <c r="Y23" s="10">
        <v>46076</v>
      </c>
      <c r="Z23" s="9"/>
      <c r="AA23" s="9"/>
      <c r="AB23" s="9"/>
      <c r="AC23" s="9"/>
      <c r="AD23" s="9"/>
      <c r="AE23" s="9"/>
      <c r="AF23" s="9"/>
      <c r="AG23" s="9"/>
      <c r="AH23" s="9"/>
    </row>
    <row r="24" spans="1:34" ht="15" customHeight="1">
      <c r="A24" s="9">
        <f>IF(ROW(A24)=2,1,A23+1)</f>
        <v>23</v>
      </c>
      <c r="B24" s="9" t="s">
        <v>40</v>
      </c>
      <c r="C24" s="9"/>
      <c r="D24" s="9"/>
      <c r="E24" s="15">
        <v>46054</v>
      </c>
      <c r="F24" s="9"/>
      <c r="G24" s="9" t="s">
        <v>43</v>
      </c>
      <c r="H24" s="9"/>
      <c r="I24" s="430">
        <v>56882</v>
      </c>
      <c r="J24" s="9"/>
      <c r="K24" s="9"/>
      <c r="L24" s="9" t="s">
        <v>50</v>
      </c>
      <c r="M24" s="9"/>
      <c r="N24" s="9"/>
      <c r="O24" s="9"/>
      <c r="P24" s="9"/>
      <c r="Q24" s="9" t="s">
        <v>55</v>
      </c>
      <c r="R24" s="9"/>
      <c r="S24" s="9"/>
      <c r="T24" s="9"/>
      <c r="U24" s="9"/>
      <c r="V24" s="9"/>
      <c r="W24" s="9"/>
      <c r="X24" s="9"/>
      <c r="Y24" s="10"/>
      <c r="Z24" s="9"/>
      <c r="AA24" s="9"/>
      <c r="AB24" s="9"/>
      <c r="AC24" s="9"/>
      <c r="AD24" s="9"/>
      <c r="AE24" s="9"/>
      <c r="AF24" s="9"/>
      <c r="AG24" s="9"/>
      <c r="AH24" s="9"/>
    </row>
    <row r="25" spans="1:34" ht="15" customHeight="1">
      <c r="A25" s="8">
        <f>IF(ROW(A25)=2,1,A23+1)</f>
        <v>23</v>
      </c>
      <c r="B25" s="9" t="s">
        <v>36</v>
      </c>
      <c r="C25" s="9"/>
      <c r="D25" s="9"/>
      <c r="E25" s="15">
        <v>46113</v>
      </c>
      <c r="F25" s="9"/>
      <c r="G25" s="9" t="s">
        <v>43</v>
      </c>
      <c r="H25" s="9"/>
      <c r="I25" s="430">
        <v>60655</v>
      </c>
      <c r="J25" s="9"/>
      <c r="K25" s="9"/>
      <c r="L25" s="9" t="s">
        <v>50</v>
      </c>
      <c r="M25" s="9"/>
      <c r="N25" s="9"/>
      <c r="O25" s="9"/>
      <c r="P25" s="9"/>
      <c r="Q25" s="9" t="s">
        <v>39</v>
      </c>
      <c r="R25" s="9"/>
      <c r="S25" s="9"/>
      <c r="T25" s="9"/>
      <c r="U25" s="9"/>
      <c r="V25" s="9"/>
      <c r="W25" s="9"/>
      <c r="X25" s="9"/>
      <c r="Y25" s="10">
        <v>46083</v>
      </c>
      <c r="Z25" s="9"/>
      <c r="AA25" s="9"/>
      <c r="AB25" s="9"/>
      <c r="AC25" s="9"/>
      <c r="AD25" s="9"/>
      <c r="AE25" s="9"/>
      <c r="AF25" s="9"/>
      <c r="AG25" s="9"/>
      <c r="AH25" s="9"/>
    </row>
    <row r="26" spans="1:34" ht="15" customHeight="1">
      <c r="A26" s="9">
        <f>IF(ROW(A26)=2,1,A25+1)</f>
        <v>24</v>
      </c>
      <c r="B26" s="9" t="s">
        <v>36</v>
      </c>
      <c r="C26" s="9"/>
      <c r="D26" s="9"/>
      <c r="E26" s="15">
        <v>46082</v>
      </c>
      <c r="F26" s="9"/>
      <c r="G26" s="9" t="s">
        <v>43</v>
      </c>
      <c r="H26" s="9"/>
      <c r="I26" s="430">
        <v>52331</v>
      </c>
      <c r="J26" s="9"/>
      <c r="K26" s="9"/>
      <c r="L26" s="9" t="s">
        <v>52</v>
      </c>
      <c r="M26" s="9"/>
      <c r="N26" s="9"/>
      <c r="O26" s="9"/>
      <c r="P26" s="9"/>
      <c r="Q26" s="9" t="s">
        <v>56</v>
      </c>
      <c r="R26" s="9"/>
      <c r="S26" s="9"/>
      <c r="T26" s="9"/>
      <c r="U26" s="9"/>
      <c r="V26" s="9"/>
      <c r="W26" s="9"/>
      <c r="X26" s="9"/>
      <c r="Y26" s="10">
        <v>46104</v>
      </c>
      <c r="Z26" s="9"/>
      <c r="AA26" s="9"/>
      <c r="AB26" s="9"/>
      <c r="AC26" s="9"/>
      <c r="AD26" s="9"/>
      <c r="AE26" s="9"/>
      <c r="AF26" s="9"/>
      <c r="AG26" s="9"/>
      <c r="AH26" s="9"/>
    </row>
    <row r="27" spans="1:34" ht="15" customHeight="1">
      <c r="A27" s="8">
        <f>IF(ROW(A27)=2,1,A26+1)</f>
        <v>25</v>
      </c>
      <c r="B27" s="9" t="s">
        <v>36</v>
      </c>
      <c r="C27" s="9"/>
      <c r="D27" s="9"/>
      <c r="E27" s="15">
        <v>46082</v>
      </c>
      <c r="F27" s="9"/>
      <c r="G27" s="9" t="s">
        <v>43</v>
      </c>
      <c r="H27" s="9"/>
      <c r="I27" s="431">
        <v>56759</v>
      </c>
      <c r="J27" s="9"/>
      <c r="K27" s="9"/>
      <c r="L27" s="9" t="s">
        <v>52</v>
      </c>
      <c r="M27" s="9"/>
      <c r="N27" s="9"/>
      <c r="O27" s="9"/>
      <c r="P27" s="9"/>
      <c r="Q27" s="9" t="s">
        <v>56</v>
      </c>
      <c r="R27" s="9"/>
      <c r="S27" s="9"/>
      <c r="T27" s="9"/>
      <c r="U27" s="9"/>
      <c r="V27" s="9"/>
      <c r="W27" s="9"/>
      <c r="X27" s="9"/>
      <c r="Y27" s="15">
        <v>46098</v>
      </c>
      <c r="Z27" s="9"/>
      <c r="AA27" s="9"/>
      <c r="AB27" s="9"/>
      <c r="AC27" s="9"/>
      <c r="AD27" s="9"/>
      <c r="AE27" s="9"/>
      <c r="AF27" s="9"/>
      <c r="AG27" s="9"/>
      <c r="AH27" s="9"/>
    </row>
    <row r="28" spans="1:34" ht="15" customHeight="1">
      <c r="A28" s="8">
        <f>IF(ROW(A28)=2,1,A27+1)</f>
        <v>26</v>
      </c>
      <c r="B28" s="9" t="s">
        <v>42</v>
      </c>
      <c r="C28" s="9"/>
      <c r="D28" s="9"/>
      <c r="E28" s="15">
        <v>46054</v>
      </c>
      <c r="F28" s="9"/>
      <c r="G28" s="9" t="s">
        <v>43</v>
      </c>
      <c r="H28" s="9"/>
      <c r="I28" s="430">
        <v>59384</v>
      </c>
      <c r="J28" s="9"/>
      <c r="K28" s="9"/>
      <c r="L28" s="9" t="s">
        <v>50</v>
      </c>
      <c r="M28" s="9"/>
      <c r="N28" s="9"/>
      <c r="O28" s="9"/>
      <c r="P28" s="9"/>
      <c r="Q28" s="9" t="s">
        <v>48</v>
      </c>
      <c r="R28" s="9"/>
      <c r="S28" s="9"/>
      <c r="T28" s="9"/>
      <c r="U28" s="9"/>
      <c r="V28" s="9"/>
      <c r="W28" s="9"/>
      <c r="X28" s="9"/>
      <c r="Y28" s="14">
        <v>46055</v>
      </c>
      <c r="Z28" s="9"/>
      <c r="AA28" s="9"/>
      <c r="AB28" s="9"/>
      <c r="AC28" s="9"/>
      <c r="AD28" s="9"/>
      <c r="AE28" s="9"/>
      <c r="AF28" s="9"/>
      <c r="AG28" s="9"/>
      <c r="AH28" s="9"/>
    </row>
    <row r="29" spans="1:34" ht="15" customHeight="1">
      <c r="A29" s="8">
        <f>IF(ROW(A29)=2,1,A28+1)</f>
        <v>27</v>
      </c>
      <c r="B29" s="9" t="s">
        <v>36</v>
      </c>
      <c r="C29" s="9"/>
      <c r="D29" s="9"/>
      <c r="E29" s="15">
        <v>46082</v>
      </c>
      <c r="F29" s="9"/>
      <c r="G29" s="9" t="s">
        <v>43</v>
      </c>
      <c r="H29" s="9"/>
      <c r="I29" s="430">
        <v>57618</v>
      </c>
      <c r="J29" s="9"/>
      <c r="K29" s="9"/>
      <c r="L29" s="9" t="s">
        <v>50</v>
      </c>
      <c r="M29" s="9"/>
      <c r="N29" s="9"/>
      <c r="O29" s="9"/>
      <c r="P29" s="9"/>
      <c r="Q29" s="9" t="s">
        <v>55</v>
      </c>
      <c r="R29" s="9"/>
      <c r="S29" s="9"/>
      <c r="T29" s="9"/>
      <c r="U29" s="9"/>
      <c r="V29" s="9"/>
      <c r="W29" s="9"/>
      <c r="X29" s="9"/>
      <c r="Y29" s="10">
        <v>46086</v>
      </c>
      <c r="Z29" s="9"/>
      <c r="AA29" s="9"/>
      <c r="AB29" s="9"/>
      <c r="AC29" s="9"/>
      <c r="AD29" s="9"/>
      <c r="AE29" s="9"/>
      <c r="AF29" s="9"/>
      <c r="AG29" s="9"/>
      <c r="AH29" s="9"/>
    </row>
    <row r="30" spans="1:34" ht="15" customHeight="1">
      <c r="A30" s="9">
        <f>IF(ROW(A30)=2,1,A29+1)</f>
        <v>28</v>
      </c>
      <c r="B30" s="9" t="s">
        <v>36</v>
      </c>
      <c r="C30" s="9"/>
      <c r="D30" s="9"/>
      <c r="E30" s="15">
        <v>46082</v>
      </c>
      <c r="F30" s="9"/>
      <c r="G30" s="9" t="s">
        <v>49</v>
      </c>
      <c r="H30" s="9"/>
      <c r="I30" s="430">
        <v>58167</v>
      </c>
      <c r="J30" s="9"/>
      <c r="K30" s="9"/>
      <c r="L30" s="9" t="s">
        <v>50</v>
      </c>
      <c r="M30" s="9"/>
      <c r="N30" s="9"/>
      <c r="O30" s="9"/>
      <c r="P30" s="9"/>
      <c r="Q30" s="9" t="s">
        <v>57</v>
      </c>
      <c r="R30" s="9"/>
      <c r="S30" s="9"/>
      <c r="T30" s="9"/>
      <c r="U30" s="9"/>
      <c r="V30" s="9"/>
      <c r="W30" s="9"/>
      <c r="X30" s="9"/>
      <c r="Y30" s="10">
        <v>46059</v>
      </c>
      <c r="Z30" s="9"/>
      <c r="AA30" s="9"/>
      <c r="AB30" s="9"/>
      <c r="AC30" s="9"/>
      <c r="AD30" s="9"/>
      <c r="AE30" s="9"/>
      <c r="AF30" s="9"/>
      <c r="AG30" s="9"/>
      <c r="AH30" s="9"/>
    </row>
    <row r="31" spans="1:34" ht="15" customHeight="1">
      <c r="A31" s="8">
        <f>IF(ROW(A31)=2,1,A30+1)</f>
        <v>29</v>
      </c>
      <c r="B31" s="9" t="s">
        <v>36</v>
      </c>
      <c r="C31" s="9"/>
      <c r="D31" s="9"/>
      <c r="E31" s="15">
        <v>46113</v>
      </c>
      <c r="F31" s="9"/>
      <c r="G31" s="9" t="s">
        <v>43</v>
      </c>
      <c r="H31" s="9"/>
      <c r="I31" s="430">
        <v>61110</v>
      </c>
      <c r="J31" s="9"/>
      <c r="K31" s="9"/>
      <c r="L31" s="9" t="s">
        <v>50</v>
      </c>
      <c r="M31" s="9"/>
      <c r="N31" s="9"/>
      <c r="O31" s="9"/>
      <c r="P31" s="9"/>
      <c r="Q31" s="9" t="s">
        <v>39</v>
      </c>
      <c r="R31" s="9"/>
      <c r="S31" s="9"/>
      <c r="T31" s="9"/>
      <c r="U31" s="9"/>
      <c r="V31" s="9"/>
      <c r="W31" s="9"/>
      <c r="X31" s="9"/>
      <c r="Y31" s="10">
        <v>46093</v>
      </c>
      <c r="Z31" s="9"/>
      <c r="AA31" s="9"/>
      <c r="AB31" s="9"/>
      <c r="AC31" s="9"/>
      <c r="AD31" s="9"/>
      <c r="AE31" s="9"/>
      <c r="AF31" s="9"/>
      <c r="AG31" s="9"/>
      <c r="AH31" s="9"/>
    </row>
    <row r="32" spans="1:34" ht="15" customHeight="1">
      <c r="A32" s="8">
        <f>IF(ROW(A32)=2,1,A31+1)</f>
        <v>30</v>
      </c>
      <c r="B32" s="9" t="s">
        <v>36</v>
      </c>
      <c r="C32" s="9"/>
      <c r="D32" s="9"/>
      <c r="E32" s="15">
        <v>46082</v>
      </c>
      <c r="F32" s="9"/>
      <c r="G32" s="9" t="s">
        <v>43</v>
      </c>
      <c r="H32" s="9"/>
      <c r="I32" s="430">
        <v>58612</v>
      </c>
      <c r="J32" s="9"/>
      <c r="K32" s="9"/>
      <c r="L32" s="9" t="s">
        <v>52</v>
      </c>
      <c r="M32" s="9"/>
      <c r="N32" s="9"/>
      <c r="O32" s="9"/>
      <c r="P32" s="9"/>
      <c r="Q32" s="9" t="s">
        <v>58</v>
      </c>
      <c r="R32" s="9"/>
      <c r="S32" s="9"/>
      <c r="T32" s="9"/>
      <c r="U32" s="9"/>
      <c r="V32" s="9"/>
      <c r="W32" s="9"/>
      <c r="X32" s="9"/>
      <c r="Y32" s="10">
        <v>46099</v>
      </c>
      <c r="Z32" s="9"/>
      <c r="AA32" s="9"/>
      <c r="AB32" s="9"/>
      <c r="AC32" s="9"/>
      <c r="AD32" s="9"/>
      <c r="AE32" s="9"/>
      <c r="AF32" s="9"/>
      <c r="AG32" s="9"/>
      <c r="AH32" s="9"/>
    </row>
    <row r="33" spans="1:34" ht="15" customHeight="1">
      <c r="A33" s="8">
        <f>IF(ROW(A33)=2,1,A32+1)</f>
        <v>31</v>
      </c>
      <c r="B33" s="9" t="s">
        <v>36</v>
      </c>
      <c r="C33" s="9"/>
      <c r="D33" s="9"/>
      <c r="E33" s="15">
        <v>46082</v>
      </c>
      <c r="F33" s="9"/>
      <c r="G33" s="9" t="s">
        <v>43</v>
      </c>
      <c r="H33" s="9"/>
      <c r="I33" s="430">
        <v>60422</v>
      </c>
      <c r="J33" s="9"/>
      <c r="K33" s="9"/>
      <c r="L33" s="9" t="s">
        <v>50</v>
      </c>
      <c r="M33" s="9"/>
      <c r="N33" s="9"/>
      <c r="O33" s="9"/>
      <c r="P33" s="9"/>
      <c r="Q33" s="9" t="s">
        <v>59</v>
      </c>
      <c r="R33" s="9"/>
      <c r="S33" s="9"/>
      <c r="T33" s="9"/>
      <c r="U33" s="9"/>
      <c r="V33" s="9"/>
      <c r="W33" s="9"/>
      <c r="X33" s="9"/>
      <c r="Y33" s="10">
        <v>46084</v>
      </c>
      <c r="Z33" s="9"/>
      <c r="AA33" s="9"/>
      <c r="AB33" s="9"/>
      <c r="AC33" s="9"/>
      <c r="AD33" s="9"/>
      <c r="AE33" s="9"/>
      <c r="AF33" s="9"/>
      <c r="AG33" s="9"/>
      <c r="AH33" s="9"/>
    </row>
    <row r="34" spans="1:34" ht="15" customHeight="1">
      <c r="A34" s="8">
        <f>IF(ROW(A34)=2,1,A33+1)</f>
        <v>32</v>
      </c>
      <c r="B34" s="9" t="s">
        <v>36</v>
      </c>
      <c r="C34" s="9"/>
      <c r="D34" s="9"/>
      <c r="E34" s="15">
        <v>46082</v>
      </c>
      <c r="F34" s="9"/>
      <c r="G34" s="9" t="s">
        <v>43</v>
      </c>
      <c r="H34" s="9"/>
      <c r="I34" s="430">
        <v>60982</v>
      </c>
      <c r="J34" s="9"/>
      <c r="K34" s="9"/>
      <c r="L34" s="9" t="s">
        <v>50</v>
      </c>
      <c r="M34" s="9"/>
      <c r="N34" s="9"/>
      <c r="O34" s="9"/>
      <c r="P34" s="9"/>
      <c r="Q34" s="9" t="s">
        <v>48</v>
      </c>
      <c r="R34" s="9"/>
      <c r="S34" s="9"/>
      <c r="T34" s="9"/>
      <c r="U34" s="9"/>
      <c r="V34" s="9"/>
      <c r="W34" s="9"/>
      <c r="X34" s="9"/>
      <c r="Y34" s="14">
        <v>46087</v>
      </c>
      <c r="Z34" s="9"/>
      <c r="AA34" s="9"/>
      <c r="AB34" s="9"/>
      <c r="AC34" s="9"/>
      <c r="AD34" s="9"/>
      <c r="AE34" s="9"/>
      <c r="AF34" s="9"/>
      <c r="AG34" s="9"/>
      <c r="AH34" s="9"/>
    </row>
    <row r="35" spans="1:34" ht="15" customHeight="1">
      <c r="A35" s="9">
        <f>IF(ROW(A35)=2,1,A34+1)</f>
        <v>33</v>
      </c>
      <c r="B35" s="9" t="s">
        <v>36</v>
      </c>
      <c r="C35" s="9"/>
      <c r="D35" s="9"/>
      <c r="E35" s="15">
        <v>46082</v>
      </c>
      <c r="F35" s="9"/>
      <c r="G35" s="9" t="s">
        <v>43</v>
      </c>
      <c r="H35" s="9"/>
      <c r="I35" s="430">
        <v>61127</v>
      </c>
      <c r="J35" s="9"/>
      <c r="K35" s="9"/>
      <c r="L35" s="9" t="s">
        <v>52</v>
      </c>
      <c r="M35" s="9"/>
      <c r="N35" s="9"/>
      <c r="O35" s="9"/>
      <c r="P35" s="9"/>
      <c r="Q35" s="9" t="s">
        <v>56</v>
      </c>
      <c r="R35" s="9"/>
      <c r="S35" s="9"/>
      <c r="T35" s="9"/>
      <c r="U35" s="9"/>
      <c r="V35" s="9"/>
      <c r="W35" s="9"/>
      <c r="X35" s="9"/>
      <c r="Y35" s="10">
        <v>46099</v>
      </c>
      <c r="Z35" s="9"/>
      <c r="AA35" s="9"/>
      <c r="AB35" s="9"/>
      <c r="AC35" s="9"/>
      <c r="AD35" s="9"/>
      <c r="AE35" s="9"/>
      <c r="AF35" s="9"/>
      <c r="AG35" s="9"/>
      <c r="AH35" s="9"/>
    </row>
    <row r="36" spans="1:34" ht="15" customHeight="1">
      <c r="A36" s="8">
        <f>IF(ROW(A36)=2,1,A35+1)</f>
        <v>34</v>
      </c>
      <c r="B36" s="9" t="s">
        <v>36</v>
      </c>
      <c r="C36" s="9"/>
      <c r="D36" s="9"/>
      <c r="E36" s="15">
        <v>46082</v>
      </c>
      <c r="F36" s="9"/>
      <c r="G36" s="9" t="s">
        <v>43</v>
      </c>
      <c r="H36" s="9"/>
      <c r="I36" s="431">
        <v>61150</v>
      </c>
      <c r="J36" s="9"/>
      <c r="K36" s="9"/>
      <c r="L36" s="9" t="s">
        <v>50</v>
      </c>
      <c r="M36" s="9"/>
      <c r="N36" s="9"/>
      <c r="O36" s="9"/>
      <c r="P36" s="9"/>
      <c r="Q36" s="9" t="s">
        <v>39</v>
      </c>
      <c r="R36" s="9"/>
      <c r="S36" s="9"/>
      <c r="T36" s="9"/>
      <c r="U36" s="9"/>
      <c r="V36" s="9"/>
      <c r="W36" s="9"/>
      <c r="X36" s="9"/>
      <c r="Y36" s="10">
        <v>46093</v>
      </c>
      <c r="Z36" s="9"/>
      <c r="AA36" s="9"/>
      <c r="AB36" s="9"/>
      <c r="AC36" s="9"/>
      <c r="AD36" s="9"/>
      <c r="AE36" s="9"/>
      <c r="AF36" s="9"/>
      <c r="AG36" s="9"/>
      <c r="AH36" s="9"/>
    </row>
    <row r="37" spans="1:34" ht="15" customHeight="1">
      <c r="A37" s="8">
        <f>IF(ROW(A37)=2,1,A36+1)</f>
        <v>35</v>
      </c>
      <c r="B37" s="9" t="s">
        <v>36</v>
      </c>
      <c r="C37" s="9"/>
      <c r="D37" s="9"/>
      <c r="E37" s="15">
        <v>46082</v>
      </c>
      <c r="F37" s="9"/>
      <c r="G37" s="9" t="s">
        <v>43</v>
      </c>
      <c r="H37" s="9"/>
      <c r="I37" s="430">
        <v>61152</v>
      </c>
      <c r="J37" s="9"/>
      <c r="K37" s="9"/>
      <c r="L37" s="9" t="s">
        <v>50</v>
      </c>
      <c r="M37" s="9"/>
      <c r="N37" s="9"/>
      <c r="O37" s="9"/>
      <c r="P37" s="9"/>
      <c r="Q37" s="9" t="s">
        <v>45</v>
      </c>
      <c r="R37" s="9"/>
      <c r="S37" s="9"/>
      <c r="T37" s="9"/>
      <c r="U37" s="9"/>
      <c r="V37" s="9"/>
      <c r="W37" s="9"/>
      <c r="X37" s="9"/>
      <c r="Y37" s="10">
        <v>46092</v>
      </c>
      <c r="Z37" s="9"/>
      <c r="AA37" s="9"/>
      <c r="AB37" s="9"/>
      <c r="AC37" s="9"/>
      <c r="AD37" s="9"/>
      <c r="AE37" s="9"/>
      <c r="AF37" s="9"/>
      <c r="AG37" s="9"/>
      <c r="AH37" s="9"/>
    </row>
    <row r="38" spans="1:34" ht="15" customHeight="1">
      <c r="A38" s="9">
        <f>IF(ROW(A38)=2,1,A37+1)</f>
        <v>36</v>
      </c>
      <c r="B38" s="9" t="s">
        <v>40</v>
      </c>
      <c r="C38" s="9"/>
      <c r="D38" s="9"/>
      <c r="E38" s="15" t="s">
        <v>60</v>
      </c>
      <c r="F38" s="9"/>
      <c r="G38" s="9" t="s">
        <v>61</v>
      </c>
      <c r="H38" s="9"/>
      <c r="I38" s="430">
        <v>39212</v>
      </c>
      <c r="J38" s="9"/>
      <c r="K38" s="9"/>
      <c r="L38" s="9" t="s">
        <v>52</v>
      </c>
      <c r="M38" s="9"/>
      <c r="N38" s="9"/>
      <c r="O38" s="9"/>
      <c r="P38" s="9"/>
      <c r="Q38" s="9" t="s">
        <v>40</v>
      </c>
      <c r="R38" s="9"/>
      <c r="S38" s="9"/>
      <c r="T38" s="9"/>
      <c r="U38" s="9"/>
      <c r="V38" s="9"/>
      <c r="W38" s="9"/>
      <c r="X38" s="9"/>
      <c r="Y38" s="10">
        <v>46105</v>
      </c>
      <c r="Z38" s="9"/>
      <c r="AA38" s="9"/>
      <c r="AB38" s="9"/>
      <c r="AC38" s="9"/>
      <c r="AD38" s="9"/>
      <c r="AE38" s="9"/>
      <c r="AF38" s="9"/>
      <c r="AG38" s="9"/>
      <c r="AH38" s="9"/>
    </row>
    <row r="39" spans="1:34" ht="15" customHeight="1">
      <c r="A39" s="8">
        <f>IF(ROW(A39)=2,1,A38+1)</f>
        <v>37</v>
      </c>
      <c r="B39" s="9" t="s">
        <v>36</v>
      </c>
      <c r="C39" s="9"/>
      <c r="D39" s="9"/>
      <c r="E39" s="15">
        <v>46082</v>
      </c>
      <c r="F39" s="9"/>
      <c r="G39" s="9" t="s">
        <v>43</v>
      </c>
      <c r="H39" s="9"/>
      <c r="I39" s="431">
        <v>61184</v>
      </c>
      <c r="J39" s="9"/>
      <c r="K39" s="9"/>
      <c r="L39" s="9" t="s">
        <v>52</v>
      </c>
      <c r="M39" s="9"/>
      <c r="N39" s="9"/>
      <c r="O39" s="9"/>
      <c r="P39" s="9"/>
      <c r="Q39" s="9" t="s">
        <v>62</v>
      </c>
      <c r="R39" s="9"/>
      <c r="S39" s="9"/>
      <c r="T39" s="9"/>
      <c r="U39" s="9"/>
      <c r="V39" s="9"/>
      <c r="W39" s="9"/>
      <c r="X39" s="9"/>
      <c r="Y39" s="10">
        <v>46094</v>
      </c>
      <c r="Z39" s="9"/>
      <c r="AA39" s="9"/>
      <c r="AB39" s="9"/>
      <c r="AC39" s="9"/>
      <c r="AD39" s="9"/>
      <c r="AE39" s="9"/>
      <c r="AF39" s="9"/>
      <c r="AG39" s="9"/>
      <c r="AH39" s="9"/>
    </row>
    <row r="40" spans="1:34" ht="15" customHeight="1">
      <c r="A40" s="9">
        <f>IF(ROW(A40)=2,1,A39+1)</f>
        <v>38</v>
      </c>
      <c r="B40" s="9" t="s">
        <v>36</v>
      </c>
      <c r="C40" s="9"/>
      <c r="D40" s="9"/>
      <c r="E40" s="15">
        <v>46082</v>
      </c>
      <c r="F40" s="9"/>
      <c r="G40" s="9" t="s">
        <v>43</v>
      </c>
      <c r="H40" s="9"/>
      <c r="I40" s="430">
        <v>61205</v>
      </c>
      <c r="J40" s="9"/>
      <c r="K40" s="9"/>
      <c r="L40" s="9" t="s">
        <v>52</v>
      </c>
      <c r="M40" s="9"/>
      <c r="N40" s="9"/>
      <c r="O40" s="9"/>
      <c r="P40" s="9"/>
      <c r="Q40" s="9" t="s">
        <v>63</v>
      </c>
      <c r="R40" s="9"/>
      <c r="S40" s="9"/>
      <c r="T40" s="9"/>
      <c r="U40" s="9"/>
      <c r="V40" s="9"/>
      <c r="W40" s="9"/>
      <c r="X40" s="9"/>
      <c r="Y40" s="10">
        <v>46100</v>
      </c>
      <c r="Z40" s="9"/>
      <c r="AA40" s="9"/>
      <c r="AB40" s="9"/>
      <c r="AC40" s="9"/>
      <c r="AD40" s="9"/>
      <c r="AE40" s="9"/>
      <c r="AF40" s="9"/>
      <c r="AG40" s="9"/>
      <c r="AH40" s="9"/>
    </row>
    <row r="41" spans="1:34" ht="15" customHeight="1">
      <c r="A41" s="8">
        <f>IF(ROW(A41)=2,1,A40+1)</f>
        <v>39</v>
      </c>
      <c r="B41" s="9" t="s">
        <v>36</v>
      </c>
      <c r="C41" s="9"/>
      <c r="D41" s="9"/>
      <c r="E41" s="15">
        <v>46113</v>
      </c>
      <c r="F41" s="9"/>
      <c r="G41" s="8" t="s">
        <v>43</v>
      </c>
      <c r="H41" s="9"/>
      <c r="I41" s="430">
        <v>61834</v>
      </c>
      <c r="J41" s="9"/>
      <c r="K41" s="9"/>
      <c r="L41" s="9" t="s">
        <v>52</v>
      </c>
      <c r="M41" s="9"/>
      <c r="N41" s="9"/>
      <c r="O41" s="9"/>
      <c r="P41" s="9"/>
      <c r="Q41" s="9" t="s">
        <v>39</v>
      </c>
      <c r="R41" s="9"/>
      <c r="S41" s="9"/>
      <c r="T41" s="9"/>
      <c r="U41" s="9"/>
      <c r="V41" s="9"/>
      <c r="W41" s="9"/>
      <c r="X41" s="9"/>
      <c r="Y41" s="14">
        <v>46113</v>
      </c>
      <c r="Z41" s="9"/>
      <c r="AA41" s="9"/>
      <c r="AB41" s="9"/>
      <c r="AC41" s="9"/>
      <c r="AD41" s="9"/>
      <c r="AE41" s="9"/>
      <c r="AF41" s="9"/>
      <c r="AG41" s="9"/>
      <c r="AH41" s="9"/>
    </row>
    <row r="42" spans="1:34" ht="15" customHeight="1">
      <c r="A42" s="8">
        <f>IF(ROW(A42)=2,1,A41+1)</f>
        <v>40</v>
      </c>
      <c r="B42" s="9" t="s">
        <v>36</v>
      </c>
      <c r="C42" s="9"/>
      <c r="D42" s="9"/>
      <c r="E42" s="15">
        <v>46113</v>
      </c>
      <c r="F42" s="9"/>
      <c r="G42" s="9" t="s">
        <v>43</v>
      </c>
      <c r="H42" s="9"/>
      <c r="I42" s="431">
        <v>62117</v>
      </c>
      <c r="J42" s="9"/>
      <c r="K42" s="9"/>
      <c r="L42" s="9" t="s">
        <v>52</v>
      </c>
      <c r="M42" s="9"/>
      <c r="N42" s="9"/>
      <c r="O42" s="9"/>
      <c r="P42" s="9"/>
      <c r="Q42" s="9" t="s">
        <v>64</v>
      </c>
      <c r="R42" s="9"/>
      <c r="S42" s="9"/>
      <c r="T42" s="9"/>
      <c r="U42" s="9"/>
      <c r="V42" s="9"/>
      <c r="W42" s="9"/>
      <c r="X42" s="9"/>
      <c r="Y42" s="10">
        <v>46120</v>
      </c>
      <c r="Z42" s="9"/>
      <c r="AA42" s="9"/>
      <c r="AB42" s="9"/>
      <c r="AC42" s="9"/>
      <c r="AD42" s="9"/>
      <c r="AE42" s="9"/>
      <c r="AF42" s="9"/>
      <c r="AG42" s="9"/>
      <c r="AH42" s="9"/>
    </row>
    <row r="43" spans="1:34" ht="15" customHeight="1">
      <c r="A43" s="8">
        <f>IF(ROW(A43)=2,1,A42+1)</f>
        <v>41</v>
      </c>
      <c r="B43" s="9" t="s">
        <v>36</v>
      </c>
      <c r="C43" s="9"/>
      <c r="D43" s="9"/>
      <c r="E43" s="15">
        <v>46113</v>
      </c>
      <c r="F43" s="9"/>
      <c r="G43" s="9" t="s">
        <v>43</v>
      </c>
      <c r="H43" s="9"/>
      <c r="I43" s="434">
        <v>59067</v>
      </c>
      <c r="J43" s="9"/>
      <c r="K43" s="9"/>
      <c r="L43" s="9" t="s">
        <v>52</v>
      </c>
      <c r="M43" s="9"/>
      <c r="N43" s="9"/>
      <c r="O43" s="9"/>
      <c r="P43" s="9"/>
      <c r="Q43" s="9" t="s">
        <v>65</v>
      </c>
      <c r="R43" s="9"/>
      <c r="S43" s="9"/>
      <c r="T43" s="9"/>
      <c r="U43" s="9"/>
      <c r="V43" s="9"/>
      <c r="W43" s="9"/>
      <c r="X43" s="9"/>
      <c r="Y43" s="10">
        <v>46120</v>
      </c>
      <c r="Z43" s="9"/>
      <c r="AA43" s="9"/>
      <c r="AB43" s="9"/>
      <c r="AC43" s="9"/>
      <c r="AD43" s="9"/>
      <c r="AE43" s="9"/>
      <c r="AF43" s="9"/>
      <c r="AG43" s="9"/>
      <c r="AH43" s="9"/>
    </row>
    <row r="44" spans="1:34" ht="15" customHeight="1">
      <c r="A44" s="8">
        <f>IF(ROW(A44)=2,1,A43+1)</f>
        <v>42</v>
      </c>
      <c r="B44" s="9" t="s">
        <v>36</v>
      </c>
      <c r="C44" s="9"/>
      <c r="D44" s="9"/>
      <c r="E44" s="15">
        <v>46113</v>
      </c>
      <c r="F44" s="9"/>
      <c r="G44" s="9" t="s">
        <v>43</v>
      </c>
      <c r="H44" s="9"/>
      <c r="I44" s="434">
        <v>62141</v>
      </c>
      <c r="J44" s="9"/>
      <c r="K44" s="9"/>
      <c r="L44" s="9" t="s">
        <v>52</v>
      </c>
      <c r="M44" s="9"/>
      <c r="N44" s="9"/>
      <c r="O44" s="9"/>
      <c r="P44" s="9"/>
      <c r="Q44" s="9" t="s">
        <v>39</v>
      </c>
      <c r="R44" s="9"/>
      <c r="S44" s="9"/>
      <c r="T44" s="9"/>
      <c r="U44" s="9"/>
      <c r="V44" s="9"/>
      <c r="W44" s="9"/>
      <c r="X44" s="9"/>
      <c r="Y44" s="10">
        <v>46121</v>
      </c>
      <c r="Z44" s="9"/>
      <c r="AA44" s="9"/>
      <c r="AB44" s="9"/>
      <c r="AC44" s="9"/>
      <c r="AD44" s="9"/>
      <c r="AE44" s="9"/>
      <c r="AF44" s="9"/>
      <c r="AG44" s="9"/>
      <c r="AH44" s="9"/>
    </row>
    <row r="45" spans="1:34" ht="15" customHeight="1">
      <c r="A45" s="8">
        <f>IF(ROW(A45)=2,1,A44+1)</f>
        <v>43</v>
      </c>
      <c r="B45" s="9" t="s">
        <v>36</v>
      </c>
      <c r="C45" s="9"/>
      <c r="D45" s="9"/>
      <c r="E45" s="15">
        <v>46113</v>
      </c>
      <c r="F45" s="9"/>
      <c r="G45" s="9" t="s">
        <v>43</v>
      </c>
      <c r="H45" s="9"/>
      <c r="I45" s="435">
        <v>54698</v>
      </c>
      <c r="J45" s="9"/>
      <c r="K45" s="9"/>
      <c r="L45" s="9" t="s">
        <v>52</v>
      </c>
      <c r="M45" s="9"/>
      <c r="N45" s="9"/>
      <c r="O45" s="9"/>
      <c r="P45" s="9"/>
      <c r="Q45" s="9" t="s">
        <v>65</v>
      </c>
      <c r="R45" s="9"/>
      <c r="S45" s="9"/>
      <c r="T45" s="9"/>
      <c r="U45" s="9"/>
      <c r="V45" s="9"/>
      <c r="W45" s="9"/>
      <c r="X45" s="9"/>
      <c r="Y45" s="10">
        <v>46121</v>
      </c>
      <c r="Z45" s="9"/>
      <c r="AA45" s="9"/>
      <c r="AB45" s="9"/>
      <c r="AC45" s="9"/>
      <c r="AD45" s="9"/>
      <c r="AE45" s="9"/>
      <c r="AF45" s="9"/>
      <c r="AG45" s="9"/>
      <c r="AH45" s="9"/>
    </row>
    <row r="46" spans="1:34" ht="15" customHeight="1">
      <c r="A46" s="8">
        <f>IF(ROW(A46)=2,1,A45+1)</f>
        <v>44</v>
      </c>
      <c r="B46" s="9" t="s">
        <v>36</v>
      </c>
      <c r="C46" s="9"/>
      <c r="D46" s="9"/>
      <c r="E46" s="15">
        <v>46113</v>
      </c>
      <c r="F46" s="9"/>
      <c r="G46" s="9" t="s">
        <v>43</v>
      </c>
      <c r="H46" s="9"/>
      <c r="I46" s="435">
        <v>62325</v>
      </c>
      <c r="J46" s="9"/>
      <c r="K46" s="9"/>
      <c r="L46" s="9" t="s">
        <v>52</v>
      </c>
      <c r="M46" s="9"/>
      <c r="N46" s="9"/>
      <c r="O46" s="9"/>
      <c r="P46" s="9"/>
      <c r="Q46" s="9" t="s">
        <v>55</v>
      </c>
      <c r="R46" s="9"/>
      <c r="S46" s="9"/>
      <c r="T46" s="9"/>
      <c r="U46" s="9"/>
      <c r="V46" s="9"/>
      <c r="W46" s="9"/>
      <c r="X46" s="9"/>
      <c r="Y46" s="10">
        <v>46126</v>
      </c>
      <c r="Z46" s="9"/>
      <c r="AA46" s="9"/>
      <c r="AB46" s="9"/>
      <c r="AC46" s="9"/>
      <c r="AD46" s="9"/>
      <c r="AE46" s="9"/>
      <c r="AF46" s="9"/>
      <c r="AG46" s="9"/>
      <c r="AH46" s="9"/>
    </row>
    <row r="47" spans="1:34" ht="15" customHeight="1">
      <c r="A47" s="8">
        <f>IF(ROW(A47)=2,1,A46+1)</f>
        <v>45</v>
      </c>
      <c r="B47" s="9" t="s">
        <v>36</v>
      </c>
      <c r="C47" s="9"/>
      <c r="D47" s="9"/>
      <c r="E47" s="15">
        <v>46113</v>
      </c>
      <c r="F47" s="9"/>
      <c r="G47" s="9" t="s">
        <v>43</v>
      </c>
      <c r="H47" s="9"/>
      <c r="I47" s="435">
        <v>62418</v>
      </c>
      <c r="J47" s="9"/>
      <c r="K47" s="9"/>
      <c r="L47" s="9" t="s">
        <v>52</v>
      </c>
      <c r="M47" s="9"/>
      <c r="N47" s="9"/>
      <c r="O47" s="9"/>
      <c r="P47" s="9"/>
      <c r="Q47" s="9" t="s">
        <v>66</v>
      </c>
      <c r="R47" s="9"/>
      <c r="S47" s="9"/>
      <c r="T47" s="9"/>
      <c r="U47" s="9"/>
      <c r="V47" s="9"/>
      <c r="W47" s="9"/>
      <c r="X47" s="9"/>
      <c r="Y47" s="10">
        <v>46127</v>
      </c>
      <c r="Z47" s="9"/>
      <c r="AA47" s="9"/>
      <c r="AB47" s="9"/>
      <c r="AC47" s="9"/>
      <c r="AD47" s="9"/>
      <c r="AE47" s="9"/>
      <c r="AF47" s="9"/>
      <c r="AG47" s="9"/>
      <c r="AH47" s="9"/>
    </row>
    <row r="48" spans="1:34" ht="15" customHeight="1">
      <c r="A48" s="9">
        <f>IF(ROW(A48)=2,1,A47+1)</f>
        <v>46</v>
      </c>
      <c r="B48" s="9" t="s">
        <v>36</v>
      </c>
      <c r="C48" s="9"/>
      <c r="D48" s="9"/>
      <c r="E48" s="15">
        <v>46113</v>
      </c>
      <c r="F48" s="9"/>
      <c r="G48" s="9" t="s">
        <v>43</v>
      </c>
      <c r="H48" s="9"/>
      <c r="I48" s="435">
        <v>62807</v>
      </c>
      <c r="J48" s="9"/>
      <c r="K48" s="9"/>
      <c r="L48" s="9" t="s">
        <v>67</v>
      </c>
      <c r="M48" s="9"/>
      <c r="N48" s="9"/>
      <c r="O48" s="9"/>
      <c r="P48" s="9"/>
      <c r="Q48" s="9" t="s">
        <v>68</v>
      </c>
      <c r="R48" s="9"/>
      <c r="S48" s="9"/>
      <c r="T48" s="9"/>
      <c r="U48" s="9"/>
      <c r="V48" s="9"/>
      <c r="W48" s="9"/>
      <c r="X48" s="9"/>
      <c r="Y48" s="10">
        <v>46137</v>
      </c>
      <c r="Z48" s="9"/>
      <c r="AA48" s="9"/>
      <c r="AB48" s="9"/>
      <c r="AC48" s="9"/>
      <c r="AD48" s="9"/>
      <c r="AE48" s="9"/>
      <c r="AF48" s="9"/>
      <c r="AG48" s="9"/>
      <c r="AH48" s="9"/>
    </row>
    <row r="49" spans="1:34" ht="15" customHeight="1">
      <c r="A49" s="9">
        <f>IF(ROW(A49)=2,1,A48+1)</f>
        <v>47</v>
      </c>
      <c r="B49" s="9" t="s">
        <v>36</v>
      </c>
      <c r="C49" s="9"/>
      <c r="D49" s="9"/>
      <c r="E49" s="15">
        <v>46113</v>
      </c>
      <c r="F49" s="9"/>
      <c r="G49" s="9" t="s">
        <v>43</v>
      </c>
      <c r="H49" s="9"/>
      <c r="I49" s="435">
        <v>62903</v>
      </c>
      <c r="J49" s="9"/>
      <c r="K49" s="9"/>
      <c r="L49" s="9" t="s">
        <v>52</v>
      </c>
      <c r="M49" s="9"/>
      <c r="N49" s="9"/>
      <c r="O49" s="9"/>
      <c r="P49" s="9"/>
      <c r="Q49" s="9" t="s">
        <v>59</v>
      </c>
      <c r="R49" s="9"/>
      <c r="S49" s="9"/>
      <c r="T49" s="9"/>
      <c r="U49" s="9"/>
      <c r="V49" s="9"/>
      <c r="W49" s="9"/>
      <c r="X49" s="9"/>
      <c r="Y49" s="10">
        <v>46139</v>
      </c>
      <c r="Z49" s="9"/>
      <c r="AA49" s="9"/>
      <c r="AB49" s="9"/>
      <c r="AC49" s="9"/>
      <c r="AD49" s="9"/>
      <c r="AE49" s="9"/>
      <c r="AF49" s="9"/>
      <c r="AG49" s="9"/>
      <c r="AH49" s="9"/>
    </row>
    <row r="50" spans="1:34" ht="15" customHeight="1">
      <c r="A50" s="9">
        <f>IF(ROW(A50)=2,1,A49+1)</f>
        <v>48</v>
      </c>
      <c r="B50" s="9" t="s">
        <v>69</v>
      </c>
      <c r="C50" s="9"/>
      <c r="D50" s="9"/>
      <c r="E50" s="15">
        <v>46143</v>
      </c>
      <c r="F50" s="9"/>
      <c r="G50" s="9"/>
      <c r="H50" s="9"/>
      <c r="I50" s="435">
        <v>54491</v>
      </c>
      <c r="J50" s="9"/>
      <c r="K50" s="9"/>
      <c r="L50" s="9" t="s">
        <v>70</v>
      </c>
      <c r="M50" s="9"/>
      <c r="N50" s="9"/>
      <c r="O50" s="9"/>
      <c r="P50" s="9"/>
      <c r="Q50" s="9"/>
      <c r="R50" s="9"/>
      <c r="S50" s="9"/>
      <c r="T50" s="9"/>
      <c r="U50" s="9"/>
      <c r="V50" s="9"/>
      <c r="W50" s="9"/>
      <c r="X50" s="9"/>
      <c r="Y50" s="10">
        <v>46113</v>
      </c>
      <c r="Z50" s="9"/>
      <c r="AA50" s="9"/>
      <c r="AB50" s="9"/>
      <c r="AC50" s="9"/>
      <c r="AD50" s="9"/>
      <c r="AE50" s="9"/>
      <c r="AF50" s="9"/>
      <c r="AG50" s="9"/>
      <c r="AH50" s="9"/>
    </row>
    <row r="51" spans="1:34" ht="15" customHeight="1">
      <c r="A51" s="9">
        <f>IF(ROW(A51)=2,1,A50+1)</f>
        <v>49</v>
      </c>
      <c r="B51" s="9" t="s">
        <v>36</v>
      </c>
      <c r="C51" s="9"/>
      <c r="D51" s="9"/>
      <c r="E51" s="15">
        <v>46113</v>
      </c>
      <c r="F51" s="9"/>
      <c r="G51" s="9" t="s">
        <v>43</v>
      </c>
      <c r="H51" s="9"/>
      <c r="I51" s="435">
        <v>62168</v>
      </c>
      <c r="J51" s="9"/>
      <c r="K51" s="9"/>
      <c r="L51" s="9" t="s">
        <v>52</v>
      </c>
      <c r="M51" s="9"/>
      <c r="N51" s="9"/>
      <c r="O51" s="9"/>
      <c r="P51" s="9"/>
      <c r="Q51" s="9" t="s">
        <v>71</v>
      </c>
      <c r="R51" s="9"/>
      <c r="S51" s="9"/>
      <c r="T51" s="9"/>
      <c r="U51" s="9"/>
      <c r="V51" s="9"/>
      <c r="W51" s="9"/>
      <c r="X51" s="9"/>
      <c r="Y51" s="10">
        <v>46141</v>
      </c>
      <c r="Z51" s="9"/>
      <c r="AA51" s="9"/>
      <c r="AB51" s="9"/>
      <c r="AC51" s="9"/>
      <c r="AD51" s="9"/>
      <c r="AE51" s="9"/>
      <c r="AF51" s="9"/>
      <c r="AG51" s="9"/>
      <c r="AH51" s="9"/>
    </row>
    <row r="52" spans="1:34" ht="15" customHeight="1">
      <c r="A52" s="9">
        <f>IF(ROW(A52)=2,1,A51+1)</f>
        <v>50</v>
      </c>
      <c r="B52" s="9" t="s">
        <v>36</v>
      </c>
      <c r="C52" s="9"/>
      <c r="D52" s="9"/>
      <c r="E52" s="15">
        <v>46113</v>
      </c>
      <c r="F52" s="9"/>
      <c r="G52" s="9" t="s">
        <v>43</v>
      </c>
      <c r="H52" s="9"/>
      <c r="I52" s="435">
        <v>62160</v>
      </c>
      <c r="J52" s="9"/>
      <c r="K52" s="9"/>
      <c r="L52" s="9" t="s">
        <v>52</v>
      </c>
      <c r="M52" s="9"/>
      <c r="N52" s="9"/>
      <c r="O52" s="9"/>
      <c r="P52" s="9"/>
      <c r="Q52" s="9" t="s">
        <v>71</v>
      </c>
      <c r="R52" s="9"/>
      <c r="S52" s="9"/>
      <c r="T52" s="9"/>
      <c r="U52" s="9"/>
      <c r="V52" s="9"/>
      <c r="W52" s="9"/>
      <c r="X52" s="9"/>
      <c r="Y52" s="10">
        <v>46141</v>
      </c>
      <c r="Z52" s="9"/>
      <c r="AA52" s="9"/>
      <c r="AB52" s="9"/>
      <c r="AC52" s="9"/>
      <c r="AD52" s="9"/>
      <c r="AE52" s="9"/>
      <c r="AF52" s="9"/>
      <c r="AG52" s="9"/>
      <c r="AH52" s="9"/>
    </row>
    <row r="53" spans="1:34" ht="15" customHeight="1">
      <c r="A53" s="9">
        <f>IF(ROW(A53)=2,1,A52+1)</f>
        <v>51</v>
      </c>
      <c r="B53" s="9" t="s">
        <v>36</v>
      </c>
      <c r="C53" s="9"/>
      <c r="D53" s="9"/>
      <c r="E53" s="15">
        <v>46113</v>
      </c>
      <c r="F53" s="9"/>
      <c r="G53" s="9" t="s">
        <v>43</v>
      </c>
      <c r="H53" s="9"/>
      <c r="I53" s="435">
        <v>63063</v>
      </c>
      <c r="J53" s="9"/>
      <c r="K53" s="9"/>
      <c r="L53" s="9" t="s">
        <v>52</v>
      </c>
      <c r="M53" s="9"/>
      <c r="N53" s="9"/>
      <c r="O53" s="9"/>
      <c r="P53" s="9"/>
      <c r="Q53" s="9" t="s">
        <v>72</v>
      </c>
      <c r="R53" s="9"/>
      <c r="S53" s="9"/>
      <c r="T53" s="9"/>
      <c r="U53" s="9"/>
      <c r="V53" s="9"/>
      <c r="W53" s="9"/>
      <c r="X53" s="9"/>
      <c r="Y53" s="10">
        <v>46141</v>
      </c>
      <c r="Z53" s="9"/>
      <c r="AA53" s="9"/>
      <c r="AB53" s="9"/>
      <c r="AC53" s="9"/>
      <c r="AD53" s="9"/>
      <c r="AE53" s="9"/>
      <c r="AF53" s="9"/>
      <c r="AG53" s="9"/>
      <c r="AH53" s="9"/>
    </row>
    <row r="54" spans="1:34" ht="15" customHeight="1">
      <c r="A54" s="9">
        <f>IF(ROW(A54)=2,1,A53+1)</f>
        <v>52</v>
      </c>
      <c r="B54" s="9" t="s">
        <v>36</v>
      </c>
      <c r="C54" s="9"/>
      <c r="D54" s="9"/>
      <c r="E54" s="15" t="s">
        <v>60</v>
      </c>
      <c r="F54" s="9"/>
      <c r="G54" s="9"/>
      <c r="H54" s="9"/>
      <c r="I54" s="435">
        <v>63144</v>
      </c>
      <c r="J54" s="9"/>
      <c r="K54" s="9"/>
      <c r="L54" s="9" t="s">
        <v>52</v>
      </c>
      <c r="M54" s="9"/>
      <c r="N54" s="9"/>
      <c r="O54" s="9"/>
      <c r="P54" s="9"/>
      <c r="Q54" s="9" t="s">
        <v>44</v>
      </c>
      <c r="R54" s="9"/>
      <c r="S54" s="9"/>
      <c r="T54" s="9"/>
      <c r="U54" s="9"/>
      <c r="V54" s="9"/>
      <c r="W54" s="9"/>
      <c r="X54" s="9"/>
      <c r="Y54" s="10">
        <v>46142</v>
      </c>
      <c r="Z54" s="9"/>
      <c r="AA54" s="9"/>
      <c r="AB54" s="9"/>
      <c r="AC54" s="9"/>
      <c r="AD54" s="9"/>
      <c r="AE54" s="9"/>
      <c r="AF54" s="9"/>
      <c r="AG54" s="9"/>
      <c r="AH54" s="9"/>
    </row>
    <row r="55" spans="1:34" ht="15" customHeight="1">
      <c r="A55" s="9">
        <f>IF(ROW(A55)=2,1,A54+1)</f>
        <v>53</v>
      </c>
      <c r="B55" s="9" t="s">
        <v>36</v>
      </c>
      <c r="C55" s="9"/>
      <c r="D55" s="9"/>
      <c r="E55" s="15">
        <v>46143</v>
      </c>
      <c r="F55" s="9"/>
      <c r="G55" s="9"/>
      <c r="H55" s="9"/>
      <c r="I55" s="435">
        <v>62723</v>
      </c>
      <c r="J55" s="9"/>
      <c r="K55" s="9"/>
      <c r="L55" s="9" t="s">
        <v>52</v>
      </c>
      <c r="M55" s="9"/>
      <c r="N55" s="9"/>
      <c r="O55" s="9"/>
      <c r="P55" s="9"/>
      <c r="Q55" s="9" t="s">
        <v>73</v>
      </c>
      <c r="R55" s="9"/>
      <c r="S55" s="9"/>
      <c r="T55" s="9"/>
      <c r="U55" s="9"/>
      <c r="V55" s="9"/>
      <c r="W55" s="9"/>
      <c r="X55" s="9"/>
      <c r="Y55" s="10">
        <v>46147</v>
      </c>
      <c r="Z55" s="9"/>
      <c r="AA55" s="9"/>
      <c r="AB55" s="9"/>
      <c r="AC55" s="9"/>
      <c r="AD55" s="9"/>
      <c r="AE55" s="9"/>
      <c r="AF55" s="9"/>
      <c r="AG55" s="9"/>
      <c r="AH55" s="9"/>
    </row>
    <row r="56" spans="1:34" ht="15" customHeight="1">
      <c r="A56" s="9">
        <f>IF(ROW(A56)=2,1,A55+1)</f>
        <v>54</v>
      </c>
      <c r="B56" s="9" t="s">
        <v>36</v>
      </c>
      <c r="C56" s="9"/>
      <c r="D56" s="9"/>
      <c r="E56" s="15">
        <v>46113</v>
      </c>
      <c r="F56" s="9"/>
      <c r="G56" s="9" t="s">
        <v>43</v>
      </c>
      <c r="H56" s="9"/>
      <c r="I56" s="434">
        <v>60247</v>
      </c>
      <c r="J56" s="9"/>
      <c r="K56" s="9"/>
      <c r="L56" s="9" t="s">
        <v>52</v>
      </c>
      <c r="M56" s="9"/>
      <c r="N56" s="9"/>
      <c r="O56" s="9"/>
      <c r="P56" s="9"/>
      <c r="Q56" s="9" t="s">
        <v>39</v>
      </c>
      <c r="R56" s="9"/>
      <c r="S56" s="9"/>
      <c r="T56" s="9"/>
      <c r="U56" s="9"/>
      <c r="V56" s="9"/>
      <c r="W56" s="9"/>
      <c r="X56" s="9"/>
      <c r="Y56" s="10">
        <v>46113</v>
      </c>
      <c r="Z56" s="9"/>
      <c r="AA56" s="9"/>
      <c r="AB56" s="9"/>
      <c r="AC56" s="9"/>
      <c r="AD56" s="9"/>
      <c r="AE56" s="9"/>
      <c r="AF56" s="9"/>
      <c r="AG56" s="9"/>
      <c r="AH56" s="9"/>
    </row>
    <row r="57" spans="1:34" ht="15" customHeight="1">
      <c r="A57" s="9">
        <f>IF(ROW(A57)=2,1,A56+1)</f>
        <v>55</v>
      </c>
      <c r="B57" s="9" t="s">
        <v>36</v>
      </c>
      <c r="C57" s="9"/>
      <c r="D57" s="9"/>
      <c r="E57" s="15">
        <v>46113</v>
      </c>
      <c r="F57" s="9"/>
      <c r="G57" s="9" t="s">
        <v>43</v>
      </c>
      <c r="H57" s="9"/>
      <c r="I57" s="434">
        <v>62456</v>
      </c>
      <c r="J57" s="9"/>
      <c r="K57" s="9"/>
      <c r="L57" s="9" t="s">
        <v>52</v>
      </c>
      <c r="M57" s="9"/>
      <c r="N57" s="9"/>
      <c r="O57" s="9"/>
      <c r="P57" s="9"/>
      <c r="Q57" s="9" t="s">
        <v>48</v>
      </c>
      <c r="R57" s="9"/>
      <c r="S57" s="9"/>
      <c r="T57" s="9"/>
      <c r="U57" s="9"/>
      <c r="V57" s="9"/>
      <c r="W57" s="9"/>
      <c r="X57" s="9"/>
      <c r="Y57" s="10">
        <v>46113</v>
      </c>
      <c r="Z57" s="9"/>
      <c r="AA57" s="9"/>
      <c r="AB57" s="9"/>
      <c r="AC57" s="9"/>
      <c r="AD57" s="9"/>
      <c r="AE57" s="9"/>
      <c r="AF57" s="9"/>
      <c r="AG57" s="9"/>
      <c r="AH57" s="9"/>
    </row>
    <row r="58" spans="1:34" ht="15" customHeight="1">
      <c r="A58" s="9">
        <f>IF(ROW(A58)=2,1,A57+1)</f>
        <v>56</v>
      </c>
      <c r="B58" s="9" t="s">
        <v>36</v>
      </c>
      <c r="C58" s="9"/>
      <c r="D58" s="9"/>
      <c r="E58" s="15">
        <v>46174</v>
      </c>
      <c r="F58" s="9"/>
      <c r="G58" s="8"/>
      <c r="H58" s="9"/>
      <c r="I58" s="435">
        <v>63768</v>
      </c>
      <c r="J58" s="9"/>
      <c r="K58" s="9"/>
      <c r="L58" s="9" t="s">
        <v>52</v>
      </c>
      <c r="M58" s="9"/>
      <c r="N58" s="9"/>
      <c r="O58" s="9"/>
      <c r="P58" s="9"/>
      <c r="Q58" s="8" t="s">
        <v>72</v>
      </c>
      <c r="R58" s="9"/>
      <c r="S58" s="9"/>
      <c r="T58" s="9"/>
      <c r="U58" s="9"/>
      <c r="V58" s="9"/>
      <c r="W58" s="9"/>
      <c r="X58" s="9"/>
      <c r="Y58" s="14">
        <v>46157</v>
      </c>
      <c r="Z58" s="9"/>
      <c r="AA58" s="9"/>
      <c r="AB58" s="9"/>
      <c r="AC58" s="9"/>
      <c r="AD58" s="9"/>
      <c r="AE58" s="9"/>
      <c r="AF58" s="9"/>
      <c r="AG58" s="9"/>
      <c r="AH58" s="9"/>
    </row>
    <row r="59" spans="1:34" ht="15" customHeight="1">
      <c r="A59" s="9">
        <f>IF(ROW(A59)=2,1,A58+1)</f>
        <v>57</v>
      </c>
      <c r="B59" s="9" t="s">
        <v>36</v>
      </c>
      <c r="C59" s="9"/>
      <c r="D59" s="9"/>
      <c r="E59" s="15">
        <v>46174</v>
      </c>
      <c r="F59" s="9"/>
      <c r="G59" s="9"/>
      <c r="H59" s="9"/>
      <c r="I59" s="435">
        <v>63767</v>
      </c>
      <c r="J59" s="9"/>
      <c r="K59" s="9"/>
      <c r="L59" s="9" t="s">
        <v>52</v>
      </c>
      <c r="M59" s="9"/>
      <c r="N59" s="9"/>
      <c r="O59" s="9"/>
      <c r="P59" s="9"/>
      <c r="Q59" s="9" t="s">
        <v>72</v>
      </c>
      <c r="R59" s="9"/>
      <c r="S59" s="9"/>
      <c r="T59" s="9"/>
      <c r="U59" s="9"/>
      <c r="V59" s="9"/>
      <c r="W59" s="9"/>
      <c r="X59" s="9"/>
      <c r="Y59" s="10">
        <v>46157</v>
      </c>
      <c r="Z59" s="9"/>
      <c r="AA59" s="9"/>
      <c r="AB59" s="9"/>
      <c r="AC59" s="9"/>
      <c r="AD59" s="9"/>
      <c r="AE59" s="9"/>
      <c r="AF59" s="9"/>
      <c r="AG59" s="9"/>
      <c r="AH59" s="9"/>
    </row>
    <row r="60" spans="1:34" ht="15" customHeight="1">
      <c r="A60" s="9">
        <f>IF(ROW(A60)=2,1,A59+1)</f>
        <v>58</v>
      </c>
      <c r="B60" s="9" t="s">
        <v>36</v>
      </c>
      <c r="C60" s="9"/>
      <c r="D60" s="9"/>
      <c r="E60" s="15">
        <v>46174</v>
      </c>
      <c r="F60" s="9"/>
      <c r="G60" s="9"/>
      <c r="H60" s="9"/>
      <c r="I60" s="435">
        <v>63766</v>
      </c>
      <c r="J60" s="9"/>
      <c r="K60" s="9"/>
      <c r="L60" s="9" t="s">
        <v>52</v>
      </c>
      <c r="M60" s="9"/>
      <c r="N60" s="9"/>
      <c r="O60" s="9"/>
      <c r="P60" s="9"/>
      <c r="Q60" s="9" t="s">
        <v>72</v>
      </c>
      <c r="R60" s="9"/>
      <c r="S60" s="9"/>
      <c r="T60" s="9"/>
      <c r="U60" s="9"/>
      <c r="V60" s="9"/>
      <c r="W60" s="9"/>
      <c r="X60" s="9"/>
      <c r="Y60" s="10">
        <v>46157</v>
      </c>
      <c r="Z60" s="9"/>
      <c r="AA60" s="9"/>
      <c r="AB60" s="9"/>
      <c r="AC60" s="9"/>
      <c r="AD60" s="9"/>
      <c r="AE60" s="9"/>
      <c r="AF60" s="9"/>
      <c r="AG60" s="9"/>
      <c r="AH60" s="9"/>
    </row>
    <row r="61" spans="1:34" ht="15" customHeight="1">
      <c r="A61" s="9">
        <f>IF(ROW(A61)=2,1,A60+1)</f>
        <v>59</v>
      </c>
      <c r="B61" s="9" t="s">
        <v>36</v>
      </c>
      <c r="C61" s="9"/>
      <c r="D61" s="9"/>
      <c r="E61" s="15">
        <v>46143</v>
      </c>
      <c r="F61" s="9"/>
      <c r="G61" s="9"/>
      <c r="H61" s="9"/>
      <c r="I61" s="434">
        <v>63690</v>
      </c>
      <c r="J61" s="9"/>
      <c r="K61" s="9"/>
      <c r="L61" s="9"/>
      <c r="M61" s="9"/>
      <c r="N61" s="9"/>
      <c r="O61" s="9"/>
      <c r="P61" s="9"/>
      <c r="Q61" s="9" t="s">
        <v>39</v>
      </c>
      <c r="R61" s="9"/>
      <c r="S61" s="9"/>
      <c r="T61" s="9"/>
      <c r="U61" s="9"/>
      <c r="V61" s="9"/>
      <c r="W61" s="9"/>
      <c r="X61" s="9"/>
      <c r="Y61" s="10">
        <v>46160</v>
      </c>
      <c r="Z61" s="9"/>
      <c r="AA61" s="9"/>
      <c r="AB61" s="9"/>
      <c r="AC61" s="9"/>
      <c r="AD61" s="9"/>
      <c r="AE61" s="9"/>
      <c r="AF61" s="9"/>
      <c r="AG61" s="9"/>
      <c r="AH61" s="9"/>
    </row>
    <row r="62" spans="1:34" ht="15" customHeight="1">
      <c r="A62" s="9">
        <f>IF(ROW(A62)=2,1,A61+1)</f>
        <v>60</v>
      </c>
      <c r="B62" s="9" t="s">
        <v>74</v>
      </c>
      <c r="C62" s="9"/>
      <c r="D62" s="9"/>
      <c r="E62" s="9" t="s">
        <v>60</v>
      </c>
      <c r="F62" s="9"/>
      <c r="G62" s="9" t="s">
        <v>60</v>
      </c>
      <c r="H62" s="9"/>
      <c r="I62" s="435">
        <v>31459</v>
      </c>
      <c r="J62" s="9"/>
      <c r="K62" s="9"/>
      <c r="L62" s="9" t="s">
        <v>75</v>
      </c>
      <c r="M62" s="9"/>
      <c r="N62" s="9"/>
      <c r="O62" s="9"/>
      <c r="P62" s="9"/>
      <c r="Q62" s="8" t="s">
        <v>40</v>
      </c>
      <c r="R62" s="9"/>
      <c r="S62" s="9"/>
      <c r="T62" s="9"/>
      <c r="U62" s="9"/>
      <c r="V62" s="9"/>
      <c r="W62" s="9"/>
      <c r="X62" s="9"/>
      <c r="Y62" s="10">
        <v>46162</v>
      </c>
      <c r="Z62" s="9"/>
      <c r="AA62" s="9"/>
      <c r="AB62" s="9"/>
      <c r="AC62" s="9"/>
      <c r="AD62" s="9"/>
      <c r="AE62" s="9"/>
      <c r="AF62" s="9"/>
      <c r="AG62" s="9"/>
      <c r="AH62" s="9"/>
    </row>
    <row r="63" spans="1:34" ht="15" customHeight="1">
      <c r="A63" s="9">
        <f>IF(ROW(A63)=2,1,A62+1)</f>
        <v>61</v>
      </c>
      <c r="B63" s="9" t="s">
        <v>74</v>
      </c>
      <c r="C63" s="9"/>
      <c r="D63" s="9"/>
      <c r="E63" s="9" t="s">
        <v>60</v>
      </c>
      <c r="F63" s="9"/>
      <c r="G63" s="9" t="s">
        <v>60</v>
      </c>
      <c r="H63" s="9"/>
      <c r="I63" s="435">
        <v>31315</v>
      </c>
      <c r="J63" s="9"/>
      <c r="K63" s="9"/>
      <c r="L63" s="9" t="s">
        <v>75</v>
      </c>
      <c r="M63" s="9"/>
      <c r="N63" s="9"/>
      <c r="O63" s="9"/>
      <c r="P63" s="9"/>
      <c r="Q63" s="8" t="s">
        <v>40</v>
      </c>
      <c r="R63" s="9"/>
      <c r="S63" s="9"/>
      <c r="T63" s="9"/>
      <c r="U63" s="9"/>
      <c r="V63" s="9"/>
      <c r="W63" s="9"/>
      <c r="X63" s="9"/>
      <c r="Y63" s="10">
        <v>46162</v>
      </c>
      <c r="Z63" s="9"/>
      <c r="AA63" s="9"/>
      <c r="AB63" s="9"/>
      <c r="AC63" s="9"/>
      <c r="AD63" s="9"/>
      <c r="AE63" s="9"/>
      <c r="AF63" s="9"/>
      <c r="AG63" s="9"/>
      <c r="AH63" s="9"/>
    </row>
    <row r="64" spans="1:34" ht="15" customHeight="1">
      <c r="A64" s="9">
        <f>IF(ROW(A64)=2,1,A63+1)</f>
        <v>62</v>
      </c>
      <c r="B64" s="9" t="s">
        <v>74</v>
      </c>
      <c r="C64" s="9"/>
      <c r="D64" s="9"/>
      <c r="E64" s="9" t="s">
        <v>60</v>
      </c>
      <c r="F64" s="9"/>
      <c r="G64" s="9" t="s">
        <v>60</v>
      </c>
      <c r="H64" s="9"/>
      <c r="I64" s="435">
        <v>39228</v>
      </c>
      <c r="J64" s="9"/>
      <c r="K64" s="9"/>
      <c r="L64" s="9" t="s">
        <v>75</v>
      </c>
      <c r="M64" s="9"/>
      <c r="N64" s="9"/>
      <c r="O64" s="9"/>
      <c r="P64" s="9"/>
      <c r="Q64" s="8" t="s">
        <v>40</v>
      </c>
      <c r="R64" s="9"/>
      <c r="S64" s="9"/>
      <c r="T64" s="9"/>
      <c r="U64" s="9"/>
      <c r="V64" s="9"/>
      <c r="W64" s="9"/>
      <c r="X64" s="9"/>
      <c r="Y64" s="10"/>
      <c r="Z64" s="9"/>
      <c r="AA64" s="9"/>
      <c r="AB64" s="9"/>
      <c r="AC64" s="9"/>
      <c r="AD64" s="9"/>
      <c r="AE64" s="9"/>
      <c r="AF64" s="9"/>
      <c r="AG64" s="9"/>
      <c r="AH64" s="9"/>
    </row>
    <row r="65" spans="1:34" ht="15" customHeight="1">
      <c r="A65" s="9">
        <f>IF(ROW(A65)=2,1,A64+1)</f>
        <v>63</v>
      </c>
      <c r="B65" s="9" t="s">
        <v>74</v>
      </c>
      <c r="C65" s="9"/>
      <c r="D65" s="9"/>
      <c r="E65" s="9" t="s">
        <v>60</v>
      </c>
      <c r="F65" s="9"/>
      <c r="G65" s="9" t="s">
        <v>60</v>
      </c>
      <c r="H65" s="9"/>
      <c r="I65" s="435">
        <v>48403</v>
      </c>
      <c r="J65" s="9" t="s">
        <v>76</v>
      </c>
      <c r="K65" s="9"/>
      <c r="L65" s="9"/>
      <c r="M65" s="9"/>
      <c r="N65" s="9"/>
      <c r="O65" s="9"/>
      <c r="P65" s="9"/>
      <c r="Q65" s="8" t="s">
        <v>40</v>
      </c>
      <c r="R65" s="9"/>
      <c r="S65" s="9"/>
      <c r="T65" s="9"/>
      <c r="U65" s="9"/>
      <c r="V65" s="9"/>
      <c r="W65" s="9"/>
      <c r="X65" s="9"/>
      <c r="Y65" s="10"/>
      <c r="Z65" s="9"/>
      <c r="AA65" s="9"/>
      <c r="AB65" s="9"/>
      <c r="AC65" s="9"/>
      <c r="AD65" s="9"/>
      <c r="AE65" s="9"/>
      <c r="AF65" s="9"/>
      <c r="AG65" s="9"/>
      <c r="AH65" s="9"/>
    </row>
    <row r="66" spans="1:34" ht="15" customHeight="1">
      <c r="A66" s="9">
        <f>IF(ROW(A66)=2,1,A65+1)</f>
        <v>64</v>
      </c>
      <c r="B66" s="9" t="s">
        <v>74</v>
      </c>
      <c r="C66" s="9"/>
      <c r="D66" s="9"/>
      <c r="E66" s="9" t="s">
        <v>60</v>
      </c>
      <c r="F66" s="9"/>
      <c r="G66" s="9" t="s">
        <v>60</v>
      </c>
      <c r="H66" s="9"/>
      <c r="I66" s="435">
        <v>35188</v>
      </c>
      <c r="J66" s="9" t="s">
        <v>77</v>
      </c>
      <c r="K66" s="9"/>
      <c r="L66" s="9"/>
      <c r="M66" s="9"/>
      <c r="N66" s="9"/>
      <c r="O66" s="9"/>
      <c r="P66" s="9"/>
      <c r="Q66" s="9"/>
      <c r="R66" s="9"/>
      <c r="S66" s="9"/>
      <c r="T66" s="9"/>
      <c r="U66" s="9"/>
      <c r="V66" s="9"/>
      <c r="W66" s="9"/>
      <c r="X66" s="9"/>
      <c r="Y66" s="10"/>
      <c r="Z66" s="9"/>
      <c r="AA66" s="9"/>
      <c r="AB66" s="9"/>
      <c r="AC66" s="9"/>
      <c r="AD66" s="9"/>
      <c r="AE66" s="9"/>
      <c r="AF66" s="9"/>
      <c r="AG66" s="9"/>
      <c r="AH66" s="9"/>
    </row>
    <row r="67" spans="1:34" ht="15" customHeight="1">
      <c r="A67" s="9">
        <f>IF(ROW(A67)=2,1,A66+1)</f>
        <v>65</v>
      </c>
      <c r="B67" s="9" t="s">
        <v>36</v>
      </c>
      <c r="C67" s="9"/>
      <c r="D67" s="9"/>
      <c r="E67" s="15">
        <v>46174</v>
      </c>
      <c r="F67" s="9"/>
      <c r="G67" s="9"/>
      <c r="H67" s="9"/>
      <c r="I67" s="435">
        <v>63849</v>
      </c>
      <c r="J67" s="9"/>
      <c r="K67" s="9"/>
      <c r="L67" s="9"/>
      <c r="M67" s="9"/>
      <c r="N67" s="9"/>
      <c r="O67" s="9"/>
      <c r="P67" s="9"/>
      <c r="Q67" s="9" t="s">
        <v>39</v>
      </c>
      <c r="R67" s="9"/>
      <c r="S67" s="9"/>
      <c r="T67" s="9"/>
      <c r="U67" s="9"/>
      <c r="V67" s="9"/>
      <c r="W67" s="9"/>
      <c r="X67" s="9"/>
      <c r="Y67" s="10">
        <v>46164</v>
      </c>
      <c r="Z67" s="9"/>
      <c r="AA67" s="9"/>
      <c r="AB67" s="9"/>
      <c r="AC67" s="9"/>
      <c r="AD67" s="9"/>
      <c r="AE67" s="9"/>
      <c r="AF67" s="9"/>
      <c r="AG67" s="9"/>
      <c r="AH67" s="9"/>
    </row>
    <row r="68" spans="1:34" ht="15" customHeight="1">
      <c r="A68" s="9">
        <f>IF(ROW(A68)=2,1,A67+1)</f>
        <v>66</v>
      </c>
      <c r="B68" s="9" t="s">
        <v>36</v>
      </c>
      <c r="C68" s="9"/>
      <c r="D68" s="9"/>
      <c r="E68" s="15">
        <v>46174</v>
      </c>
      <c r="F68" s="9"/>
      <c r="G68" s="9"/>
      <c r="H68" s="9"/>
      <c r="I68" s="435">
        <v>64168</v>
      </c>
      <c r="J68" s="9"/>
      <c r="K68" s="9"/>
      <c r="L68" s="9"/>
      <c r="M68" s="9"/>
      <c r="N68" s="9"/>
      <c r="O68" s="9"/>
      <c r="P68" s="9"/>
      <c r="Q68" s="9" t="s">
        <v>72</v>
      </c>
      <c r="R68" s="9"/>
      <c r="S68" s="9"/>
      <c r="T68" s="9"/>
      <c r="U68" s="9"/>
      <c r="V68" s="9"/>
      <c r="W68" s="9"/>
      <c r="X68" s="9"/>
      <c r="Y68" s="10">
        <v>46169</v>
      </c>
      <c r="Z68" s="9"/>
      <c r="AA68" s="9"/>
      <c r="AB68" s="9"/>
      <c r="AC68" s="9"/>
      <c r="AD68" s="9"/>
      <c r="AE68" s="9"/>
      <c r="AF68" s="9"/>
      <c r="AG68" s="9"/>
      <c r="AH68" s="9"/>
    </row>
    <row r="69" spans="1:34" ht="15" customHeight="1">
      <c r="A69" s="9">
        <f>IF(ROW(A69)=2,1,A68+1)</f>
        <v>67</v>
      </c>
      <c r="B69" s="9" t="s">
        <v>36</v>
      </c>
      <c r="C69" s="9"/>
      <c r="D69" s="9"/>
      <c r="E69" s="15">
        <v>46174</v>
      </c>
      <c r="F69" s="9"/>
      <c r="G69" s="9"/>
      <c r="H69" s="9"/>
      <c r="I69" s="435">
        <v>64170</v>
      </c>
      <c r="J69" s="9"/>
      <c r="K69" s="9"/>
      <c r="L69" s="9"/>
      <c r="M69" s="9"/>
      <c r="N69" s="9"/>
      <c r="O69" s="9"/>
      <c r="P69" s="9"/>
      <c r="Q69" s="9" t="s">
        <v>72</v>
      </c>
      <c r="R69" s="9"/>
      <c r="S69" s="9"/>
      <c r="T69" s="9"/>
      <c r="U69" s="9"/>
      <c r="V69" s="9"/>
      <c r="W69" s="9"/>
      <c r="X69" s="9"/>
      <c r="Y69" s="10">
        <v>46169</v>
      </c>
      <c r="Z69" s="9"/>
      <c r="AA69" s="9"/>
      <c r="AB69" s="9"/>
      <c r="AC69" s="9"/>
      <c r="AD69" s="9"/>
      <c r="AE69" s="9"/>
      <c r="AF69" s="9"/>
      <c r="AG69" s="9"/>
      <c r="AH69" s="9"/>
    </row>
    <row r="70" spans="1:34" ht="15" customHeight="1">
      <c r="A70" s="9">
        <f>IF(ROW(A70)=2,1,A69+1)</f>
        <v>68</v>
      </c>
      <c r="B70" s="9" t="s">
        <v>36</v>
      </c>
      <c r="C70" s="9"/>
      <c r="D70" s="9"/>
      <c r="E70" s="15">
        <v>46174</v>
      </c>
      <c r="F70" s="9"/>
      <c r="G70" s="9"/>
      <c r="H70" s="9"/>
      <c r="I70" s="435">
        <v>63851</v>
      </c>
      <c r="J70" s="9"/>
      <c r="K70" s="9"/>
      <c r="L70" s="9"/>
      <c r="M70" s="9"/>
      <c r="N70" s="9"/>
      <c r="O70" s="9"/>
      <c r="P70" s="9"/>
      <c r="Q70" s="9" t="s">
        <v>39</v>
      </c>
      <c r="R70" s="9"/>
      <c r="S70" s="9"/>
      <c r="T70" s="9"/>
      <c r="U70" s="9"/>
      <c r="V70" s="9"/>
      <c r="W70" s="9"/>
      <c r="X70" s="9"/>
      <c r="Y70" s="10">
        <v>46170</v>
      </c>
      <c r="Z70" s="9"/>
      <c r="AA70" s="9"/>
      <c r="AB70" s="9"/>
      <c r="AC70" s="9"/>
      <c r="AD70" s="9"/>
      <c r="AE70" s="9"/>
      <c r="AF70" s="9"/>
      <c r="AG70" s="9"/>
      <c r="AH70" s="9"/>
    </row>
    <row r="71" spans="1:34" ht="15" customHeight="1">
      <c r="A71" s="9">
        <f>IF(ROW(A71)=2,1,A70+1)</f>
        <v>69</v>
      </c>
      <c r="B71" s="9" t="s">
        <v>36</v>
      </c>
      <c r="C71" s="9"/>
      <c r="D71" s="9"/>
      <c r="E71" s="15">
        <v>46174</v>
      </c>
      <c r="F71" s="9"/>
      <c r="G71" s="9"/>
      <c r="H71" s="9"/>
      <c r="I71" s="435">
        <v>64167</v>
      </c>
      <c r="J71" s="9"/>
      <c r="K71" s="9"/>
      <c r="L71" s="9"/>
      <c r="M71" s="9"/>
      <c r="N71" s="9"/>
      <c r="O71" s="9"/>
      <c r="P71" s="9"/>
      <c r="Q71" s="9" t="s">
        <v>72</v>
      </c>
      <c r="R71" s="9"/>
      <c r="S71" s="9"/>
      <c r="T71" s="9"/>
      <c r="U71" s="9"/>
      <c r="V71" s="9"/>
      <c r="W71" s="9"/>
      <c r="X71" s="9"/>
      <c r="Y71" s="10">
        <v>46169</v>
      </c>
      <c r="Z71" s="9"/>
      <c r="AA71" s="9"/>
      <c r="AB71" s="9"/>
      <c r="AC71" s="9"/>
      <c r="AD71" s="9"/>
      <c r="AE71" s="9"/>
      <c r="AF71" s="9"/>
      <c r="AG71" s="9"/>
      <c r="AH71" s="9"/>
    </row>
    <row r="72" spans="1:34" ht="15" customHeight="1">
      <c r="A72" s="9">
        <f>IF(ROW(A72)=2,1,A71+1)</f>
        <v>70</v>
      </c>
      <c r="B72" s="9" t="s">
        <v>36</v>
      </c>
      <c r="C72" s="9"/>
      <c r="D72" s="9"/>
      <c r="E72" s="15">
        <v>46143</v>
      </c>
      <c r="F72" s="9"/>
      <c r="G72" s="9"/>
      <c r="H72" s="9"/>
      <c r="I72" s="435">
        <v>63687</v>
      </c>
      <c r="J72" s="9"/>
      <c r="K72" s="9"/>
      <c r="L72" s="9"/>
      <c r="M72" s="9"/>
      <c r="N72" s="9"/>
      <c r="O72" s="9"/>
      <c r="P72" s="9"/>
      <c r="Q72" s="9" t="s">
        <v>39</v>
      </c>
      <c r="R72" s="9"/>
      <c r="S72" s="9"/>
      <c r="T72" s="9"/>
      <c r="U72" s="9"/>
      <c r="V72" s="9"/>
      <c r="W72" s="9"/>
      <c r="X72" s="9"/>
      <c r="Y72" s="10">
        <v>46171</v>
      </c>
      <c r="Z72" s="9"/>
      <c r="AA72" s="9"/>
      <c r="AB72" s="9"/>
      <c r="AC72" s="9"/>
      <c r="AD72" s="9"/>
      <c r="AE72" s="9"/>
      <c r="AF72" s="9"/>
      <c r="AG72" s="9"/>
      <c r="AH72" s="9"/>
    </row>
    <row r="73" spans="1:34" ht="15" customHeight="1">
      <c r="A73" s="9">
        <f>IF(ROW(A73)=2,1,A72+1)</f>
        <v>71</v>
      </c>
      <c r="B73" s="9" t="s">
        <v>36</v>
      </c>
      <c r="C73" s="9"/>
      <c r="D73" s="9"/>
      <c r="E73" s="15">
        <v>46174</v>
      </c>
      <c r="F73" s="9"/>
      <c r="G73" s="9"/>
      <c r="H73" s="9"/>
      <c r="I73" s="435">
        <v>64176</v>
      </c>
      <c r="J73" s="9"/>
      <c r="K73" s="9"/>
      <c r="L73" s="9"/>
      <c r="M73" s="9"/>
      <c r="N73" s="9"/>
      <c r="O73" s="9"/>
      <c r="P73" s="9"/>
      <c r="Q73" s="9" t="s">
        <v>78</v>
      </c>
      <c r="R73" s="9"/>
      <c r="S73" s="9"/>
      <c r="T73" s="9"/>
      <c r="U73" s="9"/>
      <c r="V73" s="9"/>
      <c r="W73" s="9"/>
      <c r="X73" s="9"/>
      <c r="Y73" s="10">
        <v>46176</v>
      </c>
      <c r="Z73" s="9"/>
      <c r="AA73" s="9"/>
      <c r="AB73" s="9"/>
      <c r="AC73" s="9"/>
      <c r="AD73" s="9"/>
      <c r="AE73" s="9"/>
      <c r="AF73" s="9"/>
      <c r="AG73" s="9"/>
      <c r="AH73" s="9"/>
    </row>
    <row r="74" spans="1:34" ht="15" customHeight="1">
      <c r="A74" s="9">
        <f>IF(ROW(A74)=2,1,A73+1)</f>
        <v>72</v>
      </c>
      <c r="B74" s="9" t="s">
        <v>36</v>
      </c>
      <c r="C74" s="9"/>
      <c r="D74" s="9"/>
      <c r="E74" s="15">
        <v>46174</v>
      </c>
      <c r="F74" s="9"/>
      <c r="G74" s="9"/>
      <c r="H74" s="9"/>
      <c r="I74" s="435">
        <v>49269</v>
      </c>
      <c r="J74" s="9"/>
      <c r="K74" s="9"/>
      <c r="L74" s="9"/>
      <c r="M74" s="9"/>
      <c r="N74" s="9"/>
      <c r="O74" s="9"/>
      <c r="P74" s="9"/>
      <c r="Q74" s="9" t="s">
        <v>59</v>
      </c>
      <c r="R74" s="9"/>
      <c r="S74" s="9"/>
      <c r="T74" s="9"/>
      <c r="U74" s="9"/>
      <c r="V74" s="9"/>
      <c r="W74" s="9"/>
      <c r="X74" s="9"/>
      <c r="Y74" s="10">
        <v>46176</v>
      </c>
      <c r="Z74" s="9"/>
      <c r="AA74" s="9"/>
      <c r="AB74" s="9"/>
      <c r="AC74" s="9"/>
      <c r="AD74" s="9"/>
      <c r="AE74" s="9"/>
      <c r="AF74" s="9"/>
      <c r="AG74" s="9"/>
      <c r="AH74" s="9"/>
    </row>
    <row r="75" spans="1:34" ht="15" customHeight="1">
      <c r="A75" s="9">
        <f>IF(ROW(A75)=2,1,A74+1)</f>
        <v>73</v>
      </c>
      <c r="B75" s="9" t="s">
        <v>36</v>
      </c>
      <c r="C75" s="9"/>
      <c r="D75" s="9"/>
      <c r="E75" s="15">
        <v>46204</v>
      </c>
      <c r="F75" s="9"/>
      <c r="G75" s="9"/>
      <c r="H75" s="9"/>
      <c r="I75" s="435">
        <v>62661</v>
      </c>
      <c r="J75" s="9"/>
      <c r="K75" s="9"/>
      <c r="L75" s="9"/>
      <c r="M75" s="9"/>
      <c r="N75" s="9"/>
      <c r="O75" s="9"/>
      <c r="P75" s="9"/>
      <c r="Q75" s="9" t="s">
        <v>79</v>
      </c>
      <c r="R75" s="9"/>
      <c r="S75" s="9"/>
      <c r="T75" s="9"/>
      <c r="U75" s="9"/>
      <c r="V75" s="9"/>
      <c r="W75" s="9"/>
      <c r="X75" s="9"/>
      <c r="Y75" s="10">
        <v>46180</v>
      </c>
      <c r="Z75" s="9"/>
      <c r="AA75" s="9"/>
      <c r="AB75" s="9"/>
      <c r="AC75" s="9"/>
      <c r="AD75" s="9"/>
      <c r="AE75" s="9"/>
      <c r="AF75" s="9"/>
      <c r="AG75" s="9"/>
      <c r="AH75" s="9"/>
    </row>
    <row r="76" spans="1:34" ht="15" customHeight="1">
      <c r="A76" s="9">
        <f>IF(ROW(A76)=2,1,A75+1)</f>
        <v>74</v>
      </c>
      <c r="B76" s="9" t="s">
        <v>36</v>
      </c>
      <c r="C76" s="9"/>
      <c r="D76" s="9"/>
      <c r="E76" s="15">
        <v>46174</v>
      </c>
      <c r="F76" s="9"/>
      <c r="G76" s="9"/>
      <c r="H76" s="9"/>
      <c r="I76" s="435">
        <v>64199</v>
      </c>
      <c r="J76" s="9"/>
      <c r="K76" s="9"/>
      <c r="L76" s="9"/>
      <c r="M76" s="9"/>
      <c r="N76" s="9"/>
      <c r="O76" s="9"/>
      <c r="P76" s="9"/>
      <c r="Q76" s="9" t="s">
        <v>80</v>
      </c>
      <c r="R76" s="9"/>
      <c r="S76" s="9"/>
      <c r="T76" s="9"/>
      <c r="U76" s="9"/>
      <c r="V76" s="9"/>
      <c r="W76" s="9"/>
      <c r="X76" s="9"/>
      <c r="Y76" s="10">
        <v>46181</v>
      </c>
      <c r="Z76" s="9"/>
      <c r="AA76" s="9"/>
      <c r="AB76" s="9"/>
      <c r="AC76" s="9"/>
      <c r="AD76" s="9"/>
      <c r="AE76" s="9"/>
      <c r="AF76" s="9"/>
      <c r="AG76" s="9"/>
      <c r="AH76" s="9"/>
    </row>
    <row r="77" spans="1:34" ht="15" customHeight="1">
      <c r="A77" s="9">
        <f>IF(ROW(A77)=2,1,A76+1)</f>
        <v>75</v>
      </c>
      <c r="B77" s="9" t="s">
        <v>36</v>
      </c>
      <c r="C77" s="9"/>
      <c r="D77" s="9"/>
      <c r="E77" s="15">
        <v>46174</v>
      </c>
      <c r="F77" s="9"/>
      <c r="G77" s="9"/>
      <c r="H77" s="9"/>
      <c r="I77" s="435">
        <v>64797</v>
      </c>
      <c r="J77" s="9"/>
      <c r="K77" s="9"/>
      <c r="L77" s="9"/>
      <c r="M77" s="9"/>
      <c r="N77" s="9"/>
      <c r="O77" s="9"/>
      <c r="P77" s="9"/>
      <c r="Q77" s="9" t="s">
        <v>80</v>
      </c>
      <c r="R77" s="9"/>
      <c r="S77" s="9"/>
      <c r="T77" s="9"/>
      <c r="U77" s="9"/>
      <c r="V77" s="9"/>
      <c r="W77" s="9"/>
      <c r="X77" s="9"/>
      <c r="Y77" s="10">
        <v>46181</v>
      </c>
      <c r="Z77" s="9"/>
      <c r="AA77" s="9"/>
      <c r="AB77" s="9"/>
      <c r="AC77" s="9"/>
      <c r="AD77" s="9"/>
      <c r="AE77" s="9"/>
      <c r="AF77" s="9"/>
      <c r="AG77" s="9"/>
      <c r="AH77" s="9"/>
    </row>
    <row r="78" spans="1:34" ht="15" customHeight="1">
      <c r="A78" s="9">
        <f>IF(ROW(A78)=2,1,A77+1)</f>
        <v>76</v>
      </c>
      <c r="B78" s="9" t="s">
        <v>36</v>
      </c>
      <c r="C78" s="9"/>
      <c r="D78" s="9"/>
      <c r="E78" s="15">
        <v>46174</v>
      </c>
      <c r="F78" s="9"/>
      <c r="G78" s="9"/>
      <c r="H78" s="9"/>
      <c r="I78" s="435">
        <v>53149</v>
      </c>
      <c r="J78" s="9"/>
      <c r="K78" s="9"/>
      <c r="L78" s="9"/>
      <c r="M78" s="9"/>
      <c r="N78" s="9"/>
      <c r="O78" s="9"/>
      <c r="P78" s="9"/>
      <c r="Q78" s="9" t="s">
        <v>81</v>
      </c>
      <c r="R78" s="9"/>
      <c r="S78" s="9"/>
      <c r="T78" s="9"/>
      <c r="U78" s="9"/>
      <c r="V78" s="9"/>
      <c r="W78" s="9"/>
      <c r="X78" s="9"/>
      <c r="Y78" s="10">
        <v>46183</v>
      </c>
      <c r="Z78" s="9"/>
      <c r="AA78" s="9"/>
      <c r="AB78" s="9"/>
      <c r="AC78" s="9"/>
      <c r="AD78" s="9"/>
      <c r="AE78" s="9"/>
      <c r="AF78" s="9"/>
      <c r="AG78" s="9"/>
      <c r="AH78" s="9"/>
    </row>
    <row r="79" spans="1:34" ht="15" customHeight="1">
      <c r="A79" s="9">
        <f>IF(ROW(A79)=2,1,A78+1)</f>
        <v>77</v>
      </c>
      <c r="B79" s="9" t="s">
        <v>36</v>
      </c>
      <c r="C79" s="9"/>
      <c r="D79" s="9"/>
      <c r="E79" s="15">
        <v>46174</v>
      </c>
      <c r="F79" s="9"/>
      <c r="G79" s="9"/>
      <c r="H79" s="9"/>
      <c r="I79" s="435">
        <v>64911</v>
      </c>
      <c r="J79" s="9"/>
      <c r="K79" s="9"/>
      <c r="L79" s="9"/>
      <c r="M79" s="9"/>
      <c r="N79" s="9"/>
      <c r="O79" s="9"/>
      <c r="P79" s="9"/>
      <c r="Q79" s="9" t="s">
        <v>39</v>
      </c>
      <c r="R79" s="9"/>
      <c r="S79" s="9"/>
      <c r="T79" s="9"/>
      <c r="U79" s="9"/>
      <c r="V79" s="9"/>
      <c r="W79" s="9"/>
      <c r="X79" s="9"/>
      <c r="Y79" s="10">
        <v>46183</v>
      </c>
      <c r="Z79" s="9"/>
      <c r="AA79" s="9"/>
      <c r="AB79" s="9"/>
      <c r="AC79" s="9"/>
      <c r="AD79" s="9"/>
      <c r="AE79" s="9"/>
      <c r="AF79" s="9"/>
      <c r="AG79" s="9"/>
      <c r="AH79" s="9"/>
    </row>
    <row r="80" spans="1:34" ht="15" customHeight="1">
      <c r="A80" s="9">
        <f>IF(ROW(A80)=2,1,A79+1)</f>
        <v>78</v>
      </c>
      <c r="B80" s="9" t="s">
        <v>36</v>
      </c>
      <c r="C80" s="9"/>
      <c r="D80" s="9"/>
      <c r="E80" s="15">
        <v>46174</v>
      </c>
      <c r="F80" s="9"/>
      <c r="G80" s="9"/>
      <c r="H80" s="9"/>
      <c r="I80" s="435">
        <v>65033</v>
      </c>
      <c r="J80" s="9"/>
      <c r="K80" s="9"/>
      <c r="L80" s="9" t="s">
        <v>52</v>
      </c>
      <c r="M80" s="9"/>
      <c r="N80" s="9"/>
      <c r="O80" s="9"/>
      <c r="P80" s="9"/>
      <c r="Q80" s="9" t="s">
        <v>39</v>
      </c>
      <c r="R80" s="9"/>
      <c r="S80" s="9"/>
      <c r="T80" s="9"/>
      <c r="U80" s="9"/>
      <c r="V80" s="9"/>
      <c r="W80" s="9"/>
      <c r="X80" s="9"/>
      <c r="Y80" s="10">
        <v>46191</v>
      </c>
      <c r="Z80" s="9"/>
      <c r="AA80" s="9"/>
      <c r="AB80" s="9"/>
      <c r="AC80" s="9"/>
      <c r="AD80" s="9"/>
      <c r="AE80" s="9"/>
      <c r="AF80" s="9"/>
      <c r="AG80" s="9"/>
      <c r="AH80" s="9"/>
    </row>
    <row r="81" spans="1:34" ht="15" customHeight="1">
      <c r="A81" s="9">
        <f>IF(ROW(A81)=2,1,A80+1)</f>
        <v>79</v>
      </c>
      <c r="B81" s="9" t="s">
        <v>36</v>
      </c>
      <c r="C81" s="9"/>
      <c r="D81" s="9"/>
      <c r="E81" s="15">
        <v>46204</v>
      </c>
      <c r="F81" s="9"/>
      <c r="G81" s="9"/>
      <c r="H81" s="9"/>
      <c r="I81" s="435">
        <v>64941</v>
      </c>
      <c r="J81" s="9"/>
      <c r="K81" s="9"/>
      <c r="L81" s="9"/>
      <c r="M81" s="9"/>
      <c r="N81" s="9"/>
      <c r="O81" s="9"/>
      <c r="P81" s="9"/>
      <c r="Q81" s="9" t="s">
        <v>82</v>
      </c>
      <c r="R81" s="9"/>
      <c r="S81" s="9"/>
      <c r="T81" s="9"/>
      <c r="U81" s="9"/>
      <c r="V81" s="9"/>
      <c r="W81" s="9"/>
      <c r="X81" s="9"/>
      <c r="Y81" s="10"/>
      <c r="Z81" s="9"/>
      <c r="AA81" s="9"/>
      <c r="AB81" s="9"/>
      <c r="AC81" s="9"/>
      <c r="AD81" s="9"/>
      <c r="AE81" s="9"/>
      <c r="AF81" s="9"/>
      <c r="AG81" s="9"/>
      <c r="AH81" s="9"/>
    </row>
    <row r="82" spans="1:34" ht="15" customHeight="1">
      <c r="A82" s="9">
        <f>IF(ROW(A82)=2,1,A81+1)</f>
        <v>80</v>
      </c>
      <c r="B82" s="9" t="s">
        <v>36</v>
      </c>
      <c r="C82" s="9"/>
      <c r="D82" s="9"/>
      <c r="E82" s="15">
        <v>46174</v>
      </c>
      <c r="F82" s="9"/>
      <c r="G82" s="9"/>
      <c r="H82" s="9"/>
      <c r="I82" s="435">
        <v>65475</v>
      </c>
      <c r="J82" s="9"/>
      <c r="K82" s="9"/>
      <c r="L82" s="9"/>
      <c r="M82" s="9"/>
      <c r="N82" s="9"/>
      <c r="O82" s="9"/>
      <c r="P82" s="9"/>
      <c r="Q82" s="9" t="s">
        <v>46</v>
      </c>
      <c r="R82" s="9"/>
      <c r="S82" s="9"/>
      <c r="T82" s="9"/>
      <c r="U82" s="9"/>
      <c r="V82" s="9"/>
      <c r="W82" s="9"/>
      <c r="X82" s="9"/>
      <c r="Y82" s="10"/>
      <c r="Z82" s="9"/>
      <c r="AA82" s="9"/>
      <c r="AB82" s="9"/>
      <c r="AC82" s="9"/>
      <c r="AD82" s="9"/>
      <c r="AE82" s="9"/>
      <c r="AF82" s="9"/>
      <c r="AG82" s="9"/>
      <c r="AH82" s="9"/>
    </row>
    <row r="83" spans="1:34" ht="15" customHeight="1">
      <c r="A83" s="9">
        <f>IF(ROW(A83)=2,1,A82+1)</f>
        <v>81</v>
      </c>
      <c r="B83" s="9" t="s">
        <v>36</v>
      </c>
      <c r="C83" s="9"/>
      <c r="D83" s="9"/>
      <c r="E83" s="15">
        <v>46174</v>
      </c>
      <c r="F83" s="9"/>
      <c r="G83" s="9"/>
      <c r="H83" s="9"/>
      <c r="I83" s="435">
        <v>62736</v>
      </c>
      <c r="J83" s="9"/>
      <c r="K83" s="9"/>
      <c r="L83" s="9"/>
      <c r="M83" s="9"/>
      <c r="N83" s="9"/>
      <c r="O83" s="9"/>
      <c r="P83" s="9"/>
      <c r="Q83" s="9"/>
      <c r="R83" s="9"/>
      <c r="S83" s="9"/>
      <c r="T83" s="9"/>
      <c r="U83" s="9"/>
      <c r="V83" s="9"/>
      <c r="W83" s="9"/>
      <c r="X83" s="9"/>
      <c r="Y83" s="10">
        <v>46202</v>
      </c>
      <c r="Z83" s="9"/>
      <c r="AA83" s="9"/>
      <c r="AB83" s="9"/>
      <c r="AC83" s="9"/>
      <c r="AD83" s="9"/>
      <c r="AE83" s="9"/>
      <c r="AF83" s="9"/>
      <c r="AG83" s="9"/>
      <c r="AH83" s="9"/>
    </row>
    <row r="84" spans="1:34" ht="15" customHeight="1">
      <c r="A84" s="9">
        <f>IF(ROW(A84)=2,1,A83+1)</f>
        <v>82</v>
      </c>
      <c r="B84" s="9" t="s">
        <v>83</v>
      </c>
      <c r="C84" s="9"/>
      <c r="D84" s="9"/>
      <c r="E84" s="15">
        <v>46204</v>
      </c>
      <c r="F84" s="9"/>
      <c r="G84" s="9" t="s">
        <v>43</v>
      </c>
      <c r="H84" s="9"/>
      <c r="I84" s="435">
        <v>66697</v>
      </c>
      <c r="J84" s="9"/>
      <c r="K84" s="9"/>
      <c r="L84" s="9"/>
      <c r="M84" s="9"/>
      <c r="N84" s="9"/>
      <c r="O84" s="9"/>
      <c r="P84" s="9"/>
      <c r="Q84" s="9" t="s">
        <v>39</v>
      </c>
      <c r="R84" s="9"/>
      <c r="S84" s="9"/>
      <c r="T84" s="9"/>
      <c r="U84" s="9"/>
      <c r="V84" s="9"/>
      <c r="W84" s="9"/>
      <c r="X84" s="9"/>
      <c r="Y84" s="10">
        <v>46225</v>
      </c>
      <c r="Z84" s="9"/>
      <c r="AA84" s="9"/>
      <c r="AB84" s="9"/>
      <c r="AC84" s="9"/>
      <c r="AD84" s="9"/>
      <c r="AE84" s="9"/>
      <c r="AF84" s="9"/>
      <c r="AG84" s="9"/>
      <c r="AH84" s="9"/>
    </row>
    <row r="85" spans="1:34" ht="15" customHeight="1">
      <c r="A85" s="9">
        <f>IF(ROW(A85)=2,1,A84+1)</f>
        <v>83</v>
      </c>
      <c r="B85" s="9" t="s">
        <v>36</v>
      </c>
      <c r="C85" s="9"/>
      <c r="D85" s="9"/>
      <c r="E85" s="15">
        <v>46204</v>
      </c>
      <c r="F85" s="9"/>
      <c r="G85" s="9"/>
      <c r="H85" s="9"/>
      <c r="I85" s="435">
        <v>66129</v>
      </c>
      <c r="J85" s="9"/>
      <c r="K85" s="9"/>
      <c r="L85" s="9"/>
      <c r="M85" s="9"/>
      <c r="N85" s="9"/>
      <c r="O85" s="9"/>
      <c r="P85" s="9"/>
      <c r="Q85" s="9" t="s">
        <v>39</v>
      </c>
      <c r="R85" s="9"/>
      <c r="S85" s="9"/>
      <c r="T85" s="9"/>
      <c r="U85" s="9"/>
      <c r="V85" s="9"/>
      <c r="W85" s="9"/>
      <c r="X85" s="9"/>
      <c r="Y85" s="10">
        <v>46212</v>
      </c>
      <c r="Z85" s="9"/>
      <c r="AA85" s="9"/>
      <c r="AB85" s="9"/>
      <c r="AC85" s="9"/>
      <c r="AD85" s="9"/>
      <c r="AE85" s="9"/>
      <c r="AF85" s="9"/>
      <c r="AG85" s="9"/>
      <c r="AH85" s="9"/>
    </row>
    <row r="86" spans="1:34" ht="15" customHeight="1">
      <c r="A86" s="9">
        <f>IF(ROW(A86)=2,1,A85+1)</f>
        <v>84</v>
      </c>
      <c r="B86" s="9" t="s">
        <v>36</v>
      </c>
      <c r="C86" s="9"/>
      <c r="D86" s="9"/>
      <c r="E86" s="15">
        <v>46235</v>
      </c>
      <c r="F86" s="9"/>
      <c r="G86" s="9"/>
      <c r="H86" s="9"/>
      <c r="I86" s="435">
        <v>66840</v>
      </c>
      <c r="J86" s="9"/>
      <c r="K86" s="9"/>
      <c r="L86" s="9"/>
      <c r="M86" s="9"/>
      <c r="N86" s="9"/>
      <c r="O86" s="9"/>
      <c r="P86" s="9"/>
      <c r="Q86" s="8" t="s">
        <v>84</v>
      </c>
      <c r="R86" s="9"/>
      <c r="S86" s="9"/>
      <c r="T86" s="9"/>
      <c r="U86" s="9"/>
      <c r="V86" s="9"/>
      <c r="W86" s="9"/>
      <c r="X86" s="9"/>
      <c r="Y86" s="10">
        <v>46227</v>
      </c>
      <c r="Z86" s="9"/>
      <c r="AA86" s="9"/>
      <c r="AB86" s="9"/>
      <c r="AC86" s="9"/>
      <c r="AD86" s="9"/>
      <c r="AE86" s="9"/>
      <c r="AF86" s="9"/>
      <c r="AG86" s="9"/>
      <c r="AH86" s="9"/>
    </row>
    <row r="87" spans="1:34" ht="15" customHeight="1">
      <c r="A87" s="9">
        <f>IF(ROW(A87)=2,1,A86+1)</f>
        <v>85</v>
      </c>
      <c r="B87" s="9" t="s">
        <v>36</v>
      </c>
      <c r="C87" s="9"/>
      <c r="D87" s="9"/>
      <c r="E87" s="15">
        <v>46235</v>
      </c>
      <c r="F87" s="9"/>
      <c r="G87" s="9"/>
      <c r="H87" s="9"/>
      <c r="I87" s="435">
        <v>66846</v>
      </c>
      <c r="J87" s="9"/>
      <c r="K87" s="9"/>
      <c r="L87" s="9"/>
      <c r="M87" s="9"/>
      <c r="N87" s="9"/>
      <c r="O87" s="9"/>
      <c r="P87" s="9"/>
      <c r="Q87" s="8" t="s">
        <v>84</v>
      </c>
      <c r="R87" s="9"/>
      <c r="S87" s="9"/>
      <c r="T87" s="9"/>
      <c r="U87" s="9"/>
      <c r="V87" s="9"/>
      <c r="W87" s="9"/>
      <c r="X87" s="9"/>
      <c r="Y87" s="10">
        <v>46227</v>
      </c>
      <c r="Z87" s="9"/>
      <c r="AA87" s="9"/>
      <c r="AB87" s="9"/>
      <c r="AC87" s="9"/>
      <c r="AD87" s="9"/>
      <c r="AE87" s="9"/>
      <c r="AF87" s="9"/>
      <c r="AG87" s="9"/>
      <c r="AH87" s="9"/>
    </row>
    <row r="88" spans="1:34" ht="15" customHeight="1">
      <c r="A88" s="9">
        <f>IF(ROW(A88)=2,1,A87+1)</f>
        <v>86</v>
      </c>
      <c r="B88" s="9" t="s">
        <v>36</v>
      </c>
      <c r="C88" s="9"/>
      <c r="D88" s="9"/>
      <c r="E88" s="15">
        <v>46235</v>
      </c>
      <c r="F88" s="9"/>
      <c r="G88" s="9"/>
      <c r="H88" s="9"/>
      <c r="I88" s="435">
        <v>66939</v>
      </c>
      <c r="J88" s="9"/>
      <c r="K88" s="9"/>
      <c r="L88" s="9"/>
      <c r="M88" s="9"/>
      <c r="N88" s="9"/>
      <c r="O88" s="9"/>
      <c r="P88" s="9"/>
      <c r="Q88" s="8" t="s">
        <v>84</v>
      </c>
      <c r="R88" s="9"/>
      <c r="S88" s="9"/>
      <c r="T88" s="9"/>
      <c r="U88" s="9"/>
      <c r="V88" s="9"/>
      <c r="W88" s="9"/>
      <c r="X88" s="9"/>
      <c r="Y88" s="10">
        <v>46231</v>
      </c>
      <c r="Z88" s="9"/>
      <c r="AA88" s="9"/>
      <c r="AB88" s="9"/>
      <c r="AC88" s="9"/>
      <c r="AD88" s="9"/>
      <c r="AE88" s="9"/>
      <c r="AF88" s="9"/>
      <c r="AG88" s="9"/>
      <c r="AH88" s="9"/>
    </row>
    <row r="89" spans="1:34" ht="15" customHeight="1">
      <c r="A89" s="9">
        <f>IF(ROW(A89)=2,1,A88+1)</f>
        <v>87</v>
      </c>
      <c r="B89" s="9" t="s">
        <v>83</v>
      </c>
      <c r="C89" s="9"/>
      <c r="D89" s="9"/>
      <c r="E89" s="414">
        <v>46204</v>
      </c>
      <c r="F89" s="9"/>
      <c r="G89" s="9" t="s">
        <v>43</v>
      </c>
      <c r="H89" s="9"/>
      <c r="I89" s="435">
        <v>67023</v>
      </c>
      <c r="J89" s="9"/>
      <c r="K89" s="9"/>
      <c r="L89" s="9"/>
      <c r="M89" s="9"/>
      <c r="N89" s="9"/>
      <c r="O89" s="9"/>
      <c r="P89" s="9"/>
      <c r="Q89" s="8" t="s">
        <v>81</v>
      </c>
      <c r="R89" s="9"/>
      <c r="S89" s="9"/>
      <c r="T89" s="9"/>
      <c r="U89" s="9"/>
      <c r="V89" s="9"/>
      <c r="W89" s="9"/>
      <c r="X89" s="9"/>
      <c r="Y89" s="10">
        <v>46233</v>
      </c>
      <c r="Z89" s="9"/>
      <c r="AA89" s="9"/>
      <c r="AB89" s="9"/>
      <c r="AC89" s="9"/>
      <c r="AD89" s="9"/>
      <c r="AE89" s="9"/>
      <c r="AF89" s="9"/>
      <c r="AG89" s="9"/>
      <c r="AH89" s="9"/>
    </row>
    <row r="90" spans="1:34" ht="15" customHeight="1">
      <c r="A90" s="9">
        <f>IF(ROW(A90)=2,1,A89+1)</f>
        <v>88</v>
      </c>
      <c r="B90" s="9" t="s">
        <v>36</v>
      </c>
      <c r="C90" s="9"/>
      <c r="D90" s="9"/>
      <c r="E90" s="414">
        <v>46204</v>
      </c>
      <c r="F90" s="9"/>
      <c r="G90" s="9"/>
      <c r="H90" s="9"/>
      <c r="I90" s="436">
        <v>66832</v>
      </c>
      <c r="J90" s="25"/>
      <c r="K90" s="9"/>
      <c r="L90" s="9"/>
      <c r="M90" s="9"/>
      <c r="N90" s="9"/>
      <c r="O90" s="9"/>
      <c r="P90" s="9"/>
      <c r="Q90" s="9" t="s">
        <v>85</v>
      </c>
      <c r="R90" s="9"/>
      <c r="S90" s="9"/>
      <c r="T90" s="9"/>
      <c r="U90" s="9"/>
      <c r="V90" s="9"/>
      <c r="W90" s="9"/>
      <c r="X90" s="9"/>
      <c r="Y90" s="10">
        <v>46233</v>
      </c>
      <c r="Z90" s="9"/>
      <c r="AA90" s="9"/>
      <c r="AB90" s="9"/>
      <c r="AC90" s="9"/>
      <c r="AD90" s="9"/>
      <c r="AE90" s="9"/>
      <c r="AF90" s="9"/>
      <c r="AG90" s="9"/>
      <c r="AH90" s="9"/>
    </row>
    <row r="91" spans="1:34" ht="15" customHeight="1">
      <c r="A91" s="9">
        <f>IF(ROW(A91)=2,1,A90+1)</f>
        <v>89</v>
      </c>
      <c r="B91" s="9" t="s">
        <v>74</v>
      </c>
      <c r="C91" s="9"/>
      <c r="D91" s="9"/>
      <c r="E91" s="15">
        <v>46235</v>
      </c>
      <c r="F91" s="9"/>
      <c r="G91" s="9"/>
      <c r="H91" s="9"/>
      <c r="I91" s="435">
        <v>67581</v>
      </c>
      <c r="J91" s="9"/>
      <c r="K91" s="9"/>
      <c r="L91" s="9"/>
      <c r="M91" s="9"/>
      <c r="N91" s="9"/>
      <c r="O91" s="9" t="s">
        <v>86</v>
      </c>
      <c r="P91" s="9"/>
      <c r="Q91" s="9" t="s">
        <v>46</v>
      </c>
      <c r="R91" s="9"/>
      <c r="S91" s="9"/>
      <c r="T91" s="9"/>
      <c r="U91" s="9"/>
      <c r="V91" s="9"/>
      <c r="W91" s="9"/>
      <c r="X91" s="9"/>
      <c r="Y91" s="10">
        <v>46245</v>
      </c>
      <c r="Z91" s="9"/>
      <c r="AA91" s="9"/>
      <c r="AB91" s="9"/>
      <c r="AC91" s="9"/>
      <c r="AD91" s="9"/>
      <c r="AE91" s="9"/>
      <c r="AF91" s="9"/>
      <c r="AG91" s="9"/>
      <c r="AH91" s="9"/>
    </row>
    <row r="92" spans="1:34" ht="15" customHeight="1">
      <c r="A92" s="9">
        <f>IF(ROW(A92)=2,1,A91+1)</f>
        <v>90</v>
      </c>
      <c r="B92" s="9" t="s">
        <v>74</v>
      </c>
      <c r="C92" s="9"/>
      <c r="D92" s="9"/>
      <c r="E92" s="15"/>
      <c r="F92" s="9"/>
      <c r="G92" s="9"/>
      <c r="H92" s="9"/>
      <c r="I92" s="435">
        <v>67454</v>
      </c>
      <c r="J92" s="9"/>
      <c r="K92" s="9"/>
      <c r="L92" s="9"/>
      <c r="M92" s="9"/>
      <c r="N92" s="9"/>
      <c r="O92" s="9"/>
      <c r="P92" s="9"/>
      <c r="Q92" s="9" t="s">
        <v>40</v>
      </c>
      <c r="R92" s="9"/>
      <c r="S92" s="9"/>
      <c r="T92" s="9"/>
      <c r="U92" s="9"/>
      <c r="V92" s="9"/>
      <c r="W92" s="9"/>
      <c r="X92" s="9"/>
      <c r="Y92" s="10">
        <v>46248</v>
      </c>
      <c r="Z92" s="9"/>
      <c r="AA92" s="9"/>
      <c r="AB92" s="9"/>
      <c r="AC92" s="9"/>
      <c r="AD92" s="9"/>
      <c r="AE92" s="9"/>
      <c r="AF92" s="9"/>
      <c r="AG92" s="9"/>
      <c r="AH92" s="9"/>
    </row>
    <row r="93" spans="1:34" ht="15" customHeight="1">
      <c r="A93" s="9">
        <f>IF(ROW(A93)=2,1,A92+1)</f>
        <v>91</v>
      </c>
      <c r="B93" s="9" t="s">
        <v>87</v>
      </c>
      <c r="C93" s="9"/>
      <c r="D93" s="9"/>
      <c r="E93" s="15">
        <v>46235</v>
      </c>
      <c r="F93" s="9"/>
      <c r="G93" s="9" t="s">
        <v>43</v>
      </c>
      <c r="H93" s="9"/>
      <c r="I93" s="435">
        <v>67701</v>
      </c>
      <c r="J93" s="9"/>
      <c r="K93" s="9"/>
      <c r="L93" s="9" t="s">
        <v>52</v>
      </c>
      <c r="M93" s="9"/>
      <c r="N93" s="9"/>
      <c r="O93" s="9"/>
      <c r="P93" s="9"/>
      <c r="Q93" s="9" t="s">
        <v>46</v>
      </c>
      <c r="R93" s="9"/>
      <c r="S93" s="9"/>
      <c r="T93" s="9"/>
      <c r="U93" s="9"/>
      <c r="V93" s="9"/>
      <c r="W93" s="9"/>
      <c r="X93" s="9"/>
      <c r="Y93" s="10"/>
      <c r="Z93" s="9"/>
      <c r="AA93" s="9"/>
      <c r="AB93" s="9"/>
      <c r="AC93" s="9"/>
      <c r="AD93" s="9"/>
      <c r="AE93" s="9"/>
      <c r="AF93" s="9"/>
      <c r="AG93" s="9"/>
      <c r="AH93" s="9"/>
    </row>
    <row r="94" spans="1:34" ht="15" customHeight="1">
      <c r="A94" s="9">
        <f>IF(ROW(A94)=2,1,A93+1)</f>
        <v>92</v>
      </c>
      <c r="B94" s="9" t="s">
        <v>87</v>
      </c>
      <c r="C94" s="9"/>
      <c r="D94" s="9"/>
      <c r="E94" s="15">
        <v>46235</v>
      </c>
      <c r="F94" s="9"/>
      <c r="G94" s="9" t="s">
        <v>43</v>
      </c>
      <c r="H94" s="9"/>
      <c r="I94" s="435">
        <v>67759</v>
      </c>
      <c r="J94" s="9"/>
      <c r="K94" s="9"/>
      <c r="L94" s="9" t="s">
        <v>52</v>
      </c>
      <c r="M94" s="9"/>
      <c r="N94" s="9"/>
      <c r="O94" s="9"/>
      <c r="P94" s="9"/>
      <c r="Q94" s="9" t="s">
        <v>46</v>
      </c>
      <c r="R94" s="9"/>
      <c r="S94" s="9"/>
      <c r="T94" s="9"/>
      <c r="U94" s="9"/>
      <c r="V94" s="9"/>
      <c r="W94" s="9"/>
      <c r="X94" s="9"/>
      <c r="Y94" s="9"/>
      <c r="Z94" s="9"/>
      <c r="AA94" s="9"/>
      <c r="AB94" s="9"/>
      <c r="AC94" s="9"/>
      <c r="AD94" s="9"/>
      <c r="AE94" s="9"/>
      <c r="AF94" s="9"/>
      <c r="AG94" s="9"/>
      <c r="AH94" s="9"/>
    </row>
    <row r="95" spans="1:34" ht="15" customHeight="1">
      <c r="A95" s="9">
        <f>IF(ROW(A95)=2,1,A94+1)</f>
        <v>93</v>
      </c>
      <c r="B95" s="9" t="s">
        <v>87</v>
      </c>
      <c r="C95" s="9"/>
      <c r="D95" s="9"/>
      <c r="E95" s="15">
        <v>46235</v>
      </c>
      <c r="F95" s="9"/>
      <c r="G95" s="8" t="s">
        <v>43</v>
      </c>
      <c r="H95" s="9"/>
      <c r="I95" s="435">
        <v>67822</v>
      </c>
      <c r="J95" s="9"/>
      <c r="K95" s="9"/>
      <c r="L95" s="9" t="s">
        <v>52</v>
      </c>
      <c r="M95" s="9"/>
      <c r="N95" s="9"/>
      <c r="O95" s="9"/>
      <c r="P95" s="9"/>
      <c r="Q95" s="9" t="s">
        <v>88</v>
      </c>
      <c r="R95" s="9"/>
      <c r="S95" s="9"/>
      <c r="T95" s="9"/>
      <c r="U95" s="9"/>
      <c r="V95" s="9"/>
      <c r="W95" s="9"/>
      <c r="X95" s="9"/>
      <c r="Y95" s="10"/>
      <c r="Z95" s="9"/>
      <c r="AA95" s="9"/>
      <c r="AB95" s="9"/>
      <c r="AC95" s="9"/>
      <c r="AD95" s="9"/>
      <c r="AE95" s="9"/>
      <c r="AF95" s="9"/>
      <c r="AG95" s="9"/>
      <c r="AH95" s="9"/>
    </row>
    <row r="96" spans="1:34" ht="15" customHeight="1">
      <c r="A96" s="9">
        <f>IF(ROW(A96)=2,1,A95+1)</f>
        <v>94</v>
      </c>
      <c r="B96" s="9" t="s">
        <v>83</v>
      </c>
      <c r="C96" s="9"/>
      <c r="D96" s="9"/>
      <c r="E96" s="15"/>
      <c r="F96" s="9"/>
      <c r="G96" s="8" t="s">
        <v>43</v>
      </c>
      <c r="H96" s="9"/>
      <c r="I96" s="435">
        <v>68514</v>
      </c>
      <c r="J96" s="9"/>
      <c r="K96" s="9"/>
      <c r="L96" s="9" t="s">
        <v>52</v>
      </c>
      <c r="M96" s="9"/>
      <c r="N96" s="9"/>
      <c r="O96" s="9"/>
      <c r="P96" s="9"/>
      <c r="Q96" s="9" t="s">
        <v>39</v>
      </c>
      <c r="R96" s="9"/>
      <c r="S96" s="9"/>
      <c r="T96" s="9"/>
      <c r="U96" s="9"/>
      <c r="V96" s="9"/>
      <c r="W96" s="9"/>
      <c r="X96" s="9"/>
      <c r="Y96" s="10">
        <v>46266</v>
      </c>
      <c r="Z96" s="9"/>
      <c r="AA96" s="9"/>
      <c r="AB96" s="9"/>
      <c r="AC96" s="9"/>
      <c r="AD96" s="9"/>
      <c r="AE96" s="9"/>
      <c r="AF96" s="9"/>
      <c r="AG96" s="9"/>
      <c r="AH96" s="9"/>
    </row>
    <row r="97" spans="1:34" ht="15" customHeight="1">
      <c r="A97" s="9">
        <f>IF(ROW(A97)=2,1,A96+1)</f>
        <v>95</v>
      </c>
      <c r="B97" s="9" t="s">
        <v>83</v>
      </c>
      <c r="C97" s="9"/>
      <c r="D97" s="9"/>
      <c r="E97" s="15"/>
      <c r="F97" s="9"/>
      <c r="G97" s="8" t="s">
        <v>43</v>
      </c>
      <c r="H97" s="9"/>
      <c r="I97" s="437">
        <v>54490</v>
      </c>
      <c r="J97" s="9"/>
      <c r="K97" s="9"/>
      <c r="L97" s="9" t="s">
        <v>52</v>
      </c>
      <c r="M97" s="9"/>
      <c r="N97" s="9"/>
      <c r="O97" s="9"/>
      <c r="P97" s="9"/>
      <c r="Q97" s="9" t="s">
        <v>89</v>
      </c>
      <c r="R97" s="9"/>
      <c r="S97" s="9"/>
      <c r="T97" s="9"/>
      <c r="U97" s="9"/>
      <c r="V97" s="9"/>
      <c r="W97" s="9"/>
      <c r="X97" s="9"/>
      <c r="Y97" s="10"/>
      <c r="Z97" s="9"/>
      <c r="AA97" s="9"/>
      <c r="AB97" s="9"/>
      <c r="AC97" s="9"/>
      <c r="AD97" s="9"/>
      <c r="AE97" s="9"/>
      <c r="AF97" s="9"/>
      <c r="AG97" s="9"/>
      <c r="AH97" s="9"/>
    </row>
    <row r="98" spans="1:34" ht="15" customHeight="1">
      <c r="A98" s="9">
        <f>IF(ROW(A98)=2,1,A97+1)</f>
        <v>96</v>
      </c>
      <c r="B98" s="9" t="s">
        <v>83</v>
      </c>
      <c r="C98" s="9"/>
      <c r="D98" s="9"/>
      <c r="E98" s="15"/>
      <c r="F98" s="9"/>
      <c r="G98" s="8" t="s">
        <v>43</v>
      </c>
      <c r="H98" s="9"/>
      <c r="I98" s="435">
        <v>68563</v>
      </c>
      <c r="J98" s="9"/>
      <c r="K98" s="9"/>
      <c r="L98" s="9" t="s">
        <v>52</v>
      </c>
      <c r="M98" s="9"/>
      <c r="N98" s="9"/>
      <c r="O98" s="9"/>
      <c r="P98" s="9"/>
      <c r="Q98" s="9" t="s">
        <v>46</v>
      </c>
      <c r="R98" s="9"/>
      <c r="S98" s="9"/>
      <c r="T98" s="9"/>
      <c r="U98" s="9"/>
      <c r="V98" s="9"/>
      <c r="W98" s="9"/>
      <c r="X98" s="9"/>
      <c r="Y98" s="10"/>
      <c r="Z98" s="9"/>
      <c r="AA98" s="9"/>
      <c r="AB98" s="9"/>
      <c r="AC98" s="9"/>
      <c r="AD98" s="9"/>
      <c r="AE98" s="9"/>
      <c r="AF98" s="9"/>
      <c r="AG98" s="9"/>
      <c r="AH98" s="9"/>
    </row>
    <row r="99" spans="1:34" ht="15" customHeight="1">
      <c r="A99" s="9">
        <f>IF(ROW(A99)=2,1,A98+1)</f>
        <v>97</v>
      </c>
      <c r="B99" s="9" t="s">
        <v>36</v>
      </c>
      <c r="C99" s="9"/>
      <c r="D99" s="9"/>
      <c r="E99" s="15"/>
      <c r="F99" s="9"/>
      <c r="G99" s="9"/>
      <c r="H99" s="9"/>
      <c r="I99" s="432">
        <v>68599</v>
      </c>
      <c r="J99" s="9"/>
      <c r="K99" s="9"/>
      <c r="L99" s="9"/>
      <c r="M99" s="9"/>
      <c r="N99" s="9"/>
      <c r="O99" s="9"/>
      <c r="P99" s="9"/>
      <c r="Q99" s="9" t="s">
        <v>73</v>
      </c>
      <c r="R99" s="9"/>
      <c r="S99" s="9"/>
      <c r="T99" s="9"/>
      <c r="U99" s="9"/>
      <c r="V99" s="9"/>
      <c r="W99" s="9"/>
      <c r="X99" s="9"/>
      <c r="Y99" s="10">
        <v>46276</v>
      </c>
      <c r="Z99" s="9"/>
      <c r="AA99" s="9"/>
      <c r="AB99" s="9"/>
      <c r="AC99" s="9"/>
      <c r="AD99" s="9"/>
      <c r="AE99" s="9"/>
      <c r="AF99" s="9"/>
      <c r="AG99" s="9"/>
      <c r="AH99" s="9"/>
    </row>
    <row r="100" spans="1:34" ht="15" customHeight="1">
      <c r="A100" s="9">
        <f>IF(ROW(A100)=2,1,A99+1)</f>
        <v>98</v>
      </c>
      <c r="B100" s="9" t="s">
        <v>36</v>
      </c>
      <c r="C100" s="9"/>
      <c r="D100" s="9"/>
      <c r="E100" s="15"/>
      <c r="F100" s="9"/>
      <c r="G100" s="9"/>
      <c r="H100" s="9"/>
      <c r="I100" s="432">
        <v>68964</v>
      </c>
      <c r="J100" s="9"/>
      <c r="K100" s="9"/>
      <c r="L100" s="9"/>
      <c r="M100" s="9"/>
      <c r="N100" s="9"/>
      <c r="O100" s="9"/>
      <c r="P100" s="9"/>
      <c r="Q100" s="9" t="s">
        <v>78</v>
      </c>
      <c r="R100" s="9"/>
      <c r="S100" s="9"/>
      <c r="T100" s="9"/>
      <c r="U100" s="9"/>
      <c r="V100" s="9"/>
      <c r="W100" s="9"/>
      <c r="X100" s="9"/>
      <c r="Y100" s="10">
        <v>46281</v>
      </c>
      <c r="Z100" s="9"/>
      <c r="AA100" s="9"/>
      <c r="AB100" s="9"/>
      <c r="AC100" s="9"/>
      <c r="AD100" s="9"/>
      <c r="AE100" s="9"/>
      <c r="AF100" s="9"/>
      <c r="AG100" s="9"/>
      <c r="AH100" s="9"/>
    </row>
    <row r="101" spans="1:34" ht="15" customHeight="1">
      <c r="A101" s="9">
        <f>IF(ROW(A101)=2,1,A100+1)</f>
        <v>99</v>
      </c>
      <c r="B101" s="9"/>
      <c r="C101" s="9"/>
      <c r="D101" s="9"/>
      <c r="E101" s="15"/>
      <c r="F101" s="9"/>
      <c r="G101" s="9"/>
      <c r="H101" s="9"/>
      <c r="I101" s="432"/>
      <c r="J101" s="9"/>
      <c r="K101" s="9"/>
      <c r="L101" s="9"/>
      <c r="M101" s="9"/>
      <c r="N101" s="9"/>
      <c r="O101" s="9"/>
      <c r="P101" s="9"/>
      <c r="Q101" s="9"/>
      <c r="R101" s="9"/>
      <c r="S101" s="9"/>
      <c r="T101" s="9"/>
      <c r="U101" s="9"/>
      <c r="V101" s="9"/>
      <c r="W101" s="9"/>
      <c r="X101" s="9"/>
      <c r="Y101" s="10"/>
      <c r="Z101" s="9"/>
      <c r="AA101" s="9"/>
      <c r="AB101" s="9"/>
      <c r="AC101" s="9"/>
      <c r="AD101" s="9"/>
      <c r="AE101" s="9"/>
      <c r="AF101" s="9"/>
      <c r="AG101" s="9"/>
      <c r="AH101" s="9"/>
    </row>
    <row r="102" spans="1:34" ht="15" customHeight="1">
      <c r="A102" s="9">
        <f>IF(ROW(A102)=2,1,A101+1)</f>
        <v>100</v>
      </c>
      <c r="B102" s="9"/>
      <c r="C102" s="9"/>
      <c r="D102" s="9"/>
      <c r="E102" s="15"/>
      <c r="F102" s="9"/>
      <c r="G102" s="9"/>
      <c r="H102" s="9"/>
      <c r="I102" s="432"/>
      <c r="J102" s="9"/>
      <c r="K102" s="9"/>
      <c r="L102" s="9"/>
      <c r="M102" s="9"/>
      <c r="N102" s="9"/>
      <c r="O102" s="9"/>
      <c r="P102" s="9"/>
      <c r="Q102" s="8"/>
      <c r="R102" s="9"/>
      <c r="S102" s="9"/>
      <c r="T102" s="9"/>
      <c r="U102" s="9"/>
      <c r="V102" s="9"/>
      <c r="W102" s="9"/>
      <c r="X102" s="9"/>
      <c r="Y102" s="10"/>
      <c r="Z102" s="9"/>
      <c r="AA102" s="9"/>
      <c r="AB102" s="9"/>
      <c r="AC102" s="9"/>
      <c r="AD102" s="9"/>
      <c r="AE102" s="9"/>
      <c r="AF102" s="9"/>
      <c r="AG102" s="9"/>
      <c r="AH102" s="9"/>
    </row>
    <row r="103" spans="1:34" ht="15" customHeight="1">
      <c r="A103" s="9">
        <f>IF(ROW(A103)=2,1,A102+1)</f>
        <v>101</v>
      </c>
      <c r="B103" s="9"/>
      <c r="C103" s="9"/>
      <c r="D103" s="9"/>
      <c r="E103" s="15"/>
      <c r="F103" s="9"/>
      <c r="G103" s="9"/>
      <c r="H103" s="9"/>
      <c r="I103" s="432"/>
      <c r="J103" s="9"/>
      <c r="K103" s="9"/>
      <c r="L103" s="9"/>
      <c r="M103" s="9"/>
      <c r="N103" s="9"/>
      <c r="O103" s="9"/>
      <c r="P103" s="9"/>
      <c r="Q103" s="9"/>
      <c r="R103" s="9"/>
      <c r="S103" s="9"/>
      <c r="T103" s="9"/>
      <c r="U103" s="9"/>
      <c r="V103" s="9"/>
      <c r="W103" s="9"/>
      <c r="X103" s="9"/>
      <c r="Y103" s="10"/>
      <c r="Z103" s="9"/>
      <c r="AA103" s="9"/>
      <c r="AB103" s="9"/>
      <c r="AC103" s="9"/>
      <c r="AD103" s="9"/>
      <c r="AE103" s="9"/>
      <c r="AF103" s="9"/>
      <c r="AG103" s="9"/>
      <c r="AH103" s="9"/>
    </row>
    <row r="104" spans="1:34" ht="15" customHeight="1">
      <c r="A104" s="9">
        <f>IF(ROW(A104)=2,1,A103+1)</f>
        <v>102</v>
      </c>
      <c r="B104" s="9"/>
      <c r="C104" s="9"/>
      <c r="D104" s="9"/>
      <c r="E104" s="15"/>
      <c r="F104" s="9"/>
      <c r="G104" s="9"/>
      <c r="H104" s="9"/>
      <c r="I104" s="432"/>
      <c r="J104" s="9"/>
      <c r="K104" s="9"/>
      <c r="L104" s="9"/>
      <c r="M104" s="9"/>
      <c r="N104" s="9"/>
      <c r="O104" s="9"/>
      <c r="P104" s="9"/>
      <c r="Q104" s="9"/>
      <c r="R104" s="9"/>
      <c r="S104" s="9"/>
      <c r="T104" s="9"/>
      <c r="U104" s="9"/>
      <c r="V104" s="9"/>
      <c r="W104" s="9"/>
      <c r="X104" s="9"/>
      <c r="Y104" s="10"/>
      <c r="Z104" s="9"/>
      <c r="AA104" s="9"/>
      <c r="AB104" s="9"/>
      <c r="AC104" s="9"/>
      <c r="AD104" s="9"/>
      <c r="AE104" s="9"/>
      <c r="AF104" s="9"/>
      <c r="AG104" s="9"/>
      <c r="AH104" s="9"/>
    </row>
    <row r="105" spans="1:34" ht="15" customHeight="1">
      <c r="A105" s="9">
        <f>IF(ROW(A105)=2,1,A104+1)</f>
        <v>103</v>
      </c>
      <c r="B105" s="9"/>
      <c r="C105" s="9"/>
      <c r="D105" s="9"/>
      <c r="E105" s="15"/>
      <c r="F105" s="9"/>
      <c r="G105" s="9"/>
      <c r="H105" s="9"/>
      <c r="I105" s="432"/>
      <c r="J105" s="9"/>
      <c r="K105" s="9"/>
      <c r="L105" s="9"/>
      <c r="M105" s="9"/>
      <c r="N105" s="9"/>
      <c r="O105" s="9"/>
      <c r="P105" s="9"/>
      <c r="Q105" s="9"/>
      <c r="R105" s="9"/>
      <c r="S105" s="9"/>
      <c r="T105" s="9"/>
      <c r="U105" s="9"/>
      <c r="V105" s="9"/>
      <c r="W105" s="9"/>
      <c r="X105" s="9"/>
      <c r="Y105" s="10"/>
      <c r="Z105" s="9"/>
      <c r="AA105" s="9"/>
      <c r="AB105" s="9"/>
      <c r="AC105" s="9"/>
      <c r="AD105" s="9"/>
      <c r="AE105" s="9"/>
      <c r="AF105" s="9"/>
      <c r="AG105" s="9"/>
      <c r="AH105" s="9"/>
    </row>
    <row r="106" spans="1:34" ht="15" customHeight="1">
      <c r="A106" s="9">
        <f>IF(ROW(A106)=2,1,A105+1)</f>
        <v>104</v>
      </c>
      <c r="B106" s="9"/>
      <c r="C106" s="9"/>
      <c r="D106" s="9"/>
      <c r="E106" s="15"/>
      <c r="F106" s="9"/>
      <c r="G106" s="9"/>
      <c r="H106" s="9"/>
      <c r="I106" s="432"/>
      <c r="J106" s="9"/>
      <c r="K106" s="9"/>
      <c r="L106" s="9"/>
      <c r="M106" s="9"/>
      <c r="N106" s="9"/>
      <c r="O106" s="9"/>
      <c r="P106" s="9"/>
      <c r="Q106" s="9"/>
      <c r="R106" s="9"/>
      <c r="S106" s="9"/>
      <c r="T106" s="9"/>
      <c r="U106" s="9"/>
      <c r="V106" s="9"/>
      <c r="W106" s="9"/>
      <c r="X106" s="9"/>
      <c r="Y106" s="10"/>
      <c r="Z106" s="9"/>
      <c r="AA106" s="9"/>
      <c r="AB106" s="9"/>
      <c r="AC106" s="9"/>
      <c r="AD106" s="9"/>
      <c r="AE106" s="9"/>
      <c r="AF106" s="9"/>
      <c r="AG106" s="9"/>
      <c r="AH106" s="9"/>
    </row>
    <row r="107" spans="1:34" ht="15" customHeight="1">
      <c r="A107" s="9">
        <f>IF(ROW(A107)=2,1,A106+1)</f>
        <v>105</v>
      </c>
      <c r="B107" s="9"/>
      <c r="C107" s="9"/>
      <c r="D107" s="9"/>
      <c r="E107" s="15"/>
      <c r="F107" s="9"/>
      <c r="G107" s="9"/>
      <c r="H107" s="9"/>
      <c r="I107" s="432"/>
      <c r="J107" s="9"/>
      <c r="K107" s="9"/>
      <c r="L107" s="9"/>
      <c r="M107" s="9"/>
      <c r="N107" s="9"/>
      <c r="O107" s="9"/>
      <c r="P107" s="9"/>
      <c r="Q107" s="9"/>
      <c r="R107" s="9"/>
      <c r="S107" s="9"/>
      <c r="T107" s="9"/>
      <c r="U107" s="9"/>
      <c r="V107" s="9"/>
      <c r="W107" s="9"/>
      <c r="X107" s="9"/>
      <c r="Y107" s="10"/>
      <c r="Z107" s="9"/>
      <c r="AA107" s="9"/>
      <c r="AB107" s="9"/>
      <c r="AC107" s="9"/>
      <c r="AD107" s="9"/>
      <c r="AE107" s="9"/>
      <c r="AF107" s="9"/>
      <c r="AG107" s="9"/>
      <c r="AH107" s="9"/>
    </row>
    <row r="108" spans="1:34" ht="15" customHeight="1">
      <c r="A108" s="9">
        <f>IF(ROW(A108)=2,1,A107+1)</f>
        <v>106</v>
      </c>
      <c r="B108" s="9"/>
      <c r="C108" s="9"/>
      <c r="D108" s="9"/>
      <c r="E108" s="15"/>
      <c r="F108" s="9"/>
      <c r="G108" s="9"/>
      <c r="H108" s="9"/>
      <c r="I108" s="432"/>
      <c r="J108" s="9"/>
      <c r="K108" s="9"/>
      <c r="L108" s="9"/>
      <c r="M108" s="9"/>
      <c r="N108" s="9"/>
      <c r="O108" s="9"/>
      <c r="P108" s="9"/>
      <c r="Q108" s="9"/>
      <c r="R108" s="9"/>
      <c r="S108" s="9"/>
      <c r="T108" s="9"/>
      <c r="U108" s="9"/>
      <c r="V108" s="9"/>
      <c r="W108" s="9"/>
      <c r="X108" s="9"/>
      <c r="Y108" s="10"/>
      <c r="Z108" s="9"/>
      <c r="AA108" s="9"/>
      <c r="AB108" s="9"/>
      <c r="AC108" s="9"/>
      <c r="AD108" s="9"/>
      <c r="AE108" s="9"/>
      <c r="AF108" s="9"/>
      <c r="AG108" s="9"/>
      <c r="AH108" s="9"/>
    </row>
    <row r="109" spans="1:34" ht="15" customHeight="1">
      <c r="A109" s="9">
        <f>IF(ROW(A109)=2,1,A108+1)</f>
        <v>107</v>
      </c>
      <c r="B109" s="9"/>
      <c r="C109" s="9"/>
      <c r="D109" s="9"/>
      <c r="E109" s="15"/>
      <c r="F109" s="9"/>
      <c r="G109" s="9"/>
      <c r="H109" s="9"/>
      <c r="I109" s="432"/>
      <c r="J109" s="9"/>
      <c r="K109" s="9"/>
      <c r="L109" s="9"/>
      <c r="M109" s="9"/>
      <c r="N109" s="9"/>
      <c r="O109" s="9"/>
      <c r="P109" s="9"/>
      <c r="Q109" s="9"/>
      <c r="R109" s="9"/>
      <c r="S109" s="9"/>
      <c r="T109" s="9"/>
      <c r="U109" s="9"/>
      <c r="V109" s="9"/>
      <c r="W109" s="9"/>
      <c r="X109" s="9"/>
      <c r="Y109" s="10"/>
      <c r="Z109" s="9"/>
      <c r="AA109" s="9"/>
      <c r="AB109" s="9"/>
      <c r="AC109" s="9"/>
      <c r="AD109" s="9"/>
      <c r="AE109" s="9"/>
      <c r="AF109" s="9"/>
      <c r="AG109" s="9"/>
      <c r="AH109" s="9"/>
    </row>
    <row r="110" spans="1:34" ht="15" customHeight="1">
      <c r="A110" s="9">
        <f>IF(ROW(A110)=2,1,A109+1)</f>
        <v>108</v>
      </c>
      <c r="B110" s="9"/>
      <c r="C110" s="9"/>
      <c r="D110" s="9"/>
      <c r="E110" s="15"/>
      <c r="F110" s="9"/>
      <c r="G110" s="9"/>
      <c r="H110" s="9"/>
      <c r="I110" s="432"/>
      <c r="J110" s="9"/>
      <c r="K110" s="9"/>
      <c r="L110" s="9"/>
      <c r="M110" s="9"/>
      <c r="N110" s="9"/>
      <c r="O110" s="9"/>
      <c r="P110" s="9"/>
      <c r="Q110" s="9"/>
      <c r="R110" s="9"/>
      <c r="S110" s="9"/>
      <c r="T110" s="9"/>
      <c r="U110" s="9"/>
      <c r="V110" s="9"/>
      <c r="W110" s="9"/>
      <c r="X110" s="9"/>
      <c r="Y110" s="10"/>
      <c r="Z110" s="9"/>
      <c r="AA110" s="9"/>
      <c r="AB110" s="9"/>
      <c r="AC110" s="9"/>
      <c r="AD110" s="9"/>
      <c r="AE110" s="9"/>
      <c r="AF110" s="9"/>
      <c r="AG110" s="9"/>
      <c r="AH110" s="9"/>
    </row>
    <row r="111" spans="1:34" ht="15" customHeight="1">
      <c r="A111" s="9">
        <f>IF(ROW(A111)=2,1,A110+1)</f>
        <v>109</v>
      </c>
      <c r="B111" s="9"/>
      <c r="C111" s="9"/>
      <c r="D111" s="9"/>
      <c r="E111" s="15"/>
      <c r="F111" s="9"/>
      <c r="G111" s="9"/>
      <c r="H111" s="9"/>
      <c r="I111" s="428"/>
      <c r="J111" s="9"/>
      <c r="K111" s="9"/>
      <c r="L111" s="9"/>
      <c r="M111" s="9"/>
      <c r="N111" s="9"/>
      <c r="O111" s="9"/>
      <c r="P111" s="9"/>
      <c r="Q111" s="9"/>
      <c r="R111" s="9"/>
      <c r="S111" s="9"/>
      <c r="T111" s="9"/>
      <c r="U111" s="9"/>
      <c r="V111" s="9"/>
      <c r="W111" s="9"/>
      <c r="X111" s="9"/>
      <c r="Y111" s="10"/>
      <c r="Z111" s="9"/>
      <c r="AA111" s="9"/>
      <c r="AB111" s="9"/>
      <c r="AC111" s="9"/>
      <c r="AD111" s="9"/>
      <c r="AE111" s="9"/>
      <c r="AF111" s="9"/>
      <c r="AG111" s="9"/>
      <c r="AH111" s="9"/>
    </row>
    <row r="112" spans="1:34" ht="15" customHeight="1">
      <c r="A112" s="9">
        <f>IF(ROW(A112)=2,1,A111+1)</f>
        <v>110</v>
      </c>
      <c r="B112" s="9"/>
      <c r="C112" s="9"/>
      <c r="D112" s="9"/>
      <c r="E112" s="15"/>
      <c r="F112" s="9"/>
      <c r="G112" s="9"/>
      <c r="H112" s="9"/>
      <c r="I112" s="428"/>
      <c r="J112" s="9"/>
      <c r="K112" s="9"/>
      <c r="L112" s="9"/>
      <c r="M112" s="9"/>
      <c r="N112" s="9"/>
      <c r="O112" s="9"/>
      <c r="P112" s="9"/>
      <c r="Q112" s="9"/>
      <c r="R112" s="9"/>
      <c r="S112" s="9"/>
      <c r="T112" s="9"/>
      <c r="U112" s="9"/>
      <c r="V112" s="9"/>
      <c r="W112" s="9"/>
      <c r="X112" s="9"/>
      <c r="Y112" s="10"/>
      <c r="Z112" s="9"/>
      <c r="AA112" s="9"/>
      <c r="AB112" s="9"/>
      <c r="AC112" s="9"/>
      <c r="AD112" s="9"/>
      <c r="AE112" s="9"/>
      <c r="AF112" s="9"/>
      <c r="AG112" s="9"/>
      <c r="AH112" s="9"/>
    </row>
    <row r="113" spans="1:34" ht="15" customHeight="1">
      <c r="A113" s="9">
        <f>IF(ROW(A113)=2,1,A112+1)</f>
        <v>111</v>
      </c>
      <c r="B113" s="9"/>
      <c r="C113" s="9"/>
      <c r="D113" s="9"/>
      <c r="E113" s="15"/>
      <c r="F113" s="9"/>
      <c r="G113" s="9"/>
      <c r="H113" s="9"/>
      <c r="I113" s="432"/>
      <c r="J113" s="9"/>
      <c r="K113" s="9"/>
      <c r="L113" s="9"/>
      <c r="M113" s="9"/>
      <c r="N113" s="9"/>
      <c r="O113" s="9"/>
      <c r="P113" s="9"/>
      <c r="Q113" s="9"/>
      <c r="R113" s="9"/>
      <c r="S113" s="9"/>
      <c r="T113" s="9"/>
      <c r="U113" s="9"/>
      <c r="V113" s="9"/>
      <c r="W113" s="9"/>
      <c r="X113" s="9"/>
      <c r="Y113" s="10"/>
      <c r="Z113" s="9"/>
      <c r="AA113" s="9"/>
      <c r="AB113" s="9"/>
      <c r="AC113" s="9"/>
      <c r="AD113" s="9"/>
      <c r="AE113" s="9"/>
      <c r="AF113" s="9"/>
      <c r="AG113" s="9"/>
      <c r="AH113" s="9"/>
    </row>
    <row r="114" spans="1:34" ht="15" customHeight="1">
      <c r="A114" s="9">
        <f>IF(ROW(A114)=2,1,A113+1)</f>
        <v>112</v>
      </c>
      <c r="B114" s="9"/>
      <c r="C114" s="9"/>
      <c r="D114" s="9"/>
      <c r="E114" s="15"/>
      <c r="F114" s="9"/>
      <c r="G114" s="9"/>
      <c r="H114" s="9"/>
      <c r="I114" s="428"/>
      <c r="J114" s="9"/>
      <c r="K114" s="9"/>
      <c r="L114" s="9"/>
      <c r="M114" s="9"/>
      <c r="N114" s="9"/>
      <c r="O114" s="9"/>
      <c r="P114" s="9"/>
      <c r="Q114" s="9"/>
      <c r="R114" s="9"/>
      <c r="S114" s="9"/>
      <c r="T114" s="9"/>
      <c r="U114" s="9"/>
      <c r="V114" s="9"/>
      <c r="W114" s="9"/>
      <c r="X114" s="9"/>
      <c r="Y114" s="10"/>
      <c r="Z114" s="9"/>
      <c r="AA114" s="9"/>
      <c r="AB114" s="9"/>
      <c r="AC114" s="9"/>
      <c r="AD114" s="9"/>
      <c r="AE114" s="9"/>
      <c r="AF114" s="9"/>
      <c r="AG114" s="9"/>
      <c r="AH114" s="9"/>
    </row>
    <row r="115" spans="1:34" ht="15" customHeight="1">
      <c r="A115" s="9">
        <f>IF(ROW(A115)=2,1,A114+1)</f>
        <v>113</v>
      </c>
      <c r="B115" s="9"/>
      <c r="C115" s="9"/>
      <c r="D115" s="9"/>
      <c r="E115" s="15"/>
      <c r="F115" s="9"/>
      <c r="G115" s="9"/>
      <c r="H115" s="9"/>
      <c r="I115" s="428"/>
      <c r="J115" s="9"/>
      <c r="K115" s="9"/>
      <c r="L115" s="9"/>
      <c r="M115" s="9"/>
      <c r="N115" s="9"/>
      <c r="O115" s="9"/>
      <c r="P115" s="9"/>
      <c r="Q115" s="9"/>
      <c r="R115" s="9"/>
      <c r="S115" s="9"/>
      <c r="T115" s="9"/>
      <c r="U115" s="9"/>
      <c r="V115" s="9"/>
      <c r="W115" s="9"/>
      <c r="X115" s="9"/>
      <c r="Y115" s="10"/>
      <c r="Z115" s="9"/>
      <c r="AA115" s="9"/>
      <c r="AB115" s="9"/>
      <c r="AC115" s="9"/>
      <c r="AD115" s="9"/>
      <c r="AE115" s="9"/>
      <c r="AF115" s="9"/>
      <c r="AG115" s="9"/>
      <c r="AH115" s="9"/>
    </row>
    <row r="116" spans="1:34" ht="15" customHeight="1">
      <c r="A116" s="9">
        <f>IF(ROW(A116)=2,1,A115+1)</f>
        <v>114</v>
      </c>
      <c r="B116" s="9"/>
      <c r="C116" s="9"/>
      <c r="D116" s="9"/>
      <c r="E116" s="15"/>
      <c r="F116" s="9"/>
      <c r="G116" s="9"/>
      <c r="H116" s="9"/>
      <c r="I116" s="432"/>
      <c r="J116" s="9"/>
      <c r="K116" s="9"/>
      <c r="L116" s="9"/>
      <c r="M116" s="9"/>
      <c r="N116" s="9"/>
      <c r="O116" s="9"/>
      <c r="P116" s="9"/>
      <c r="Q116" s="9"/>
      <c r="R116" s="9"/>
      <c r="S116" s="9"/>
      <c r="T116" s="9"/>
      <c r="U116" s="9"/>
      <c r="V116" s="9"/>
      <c r="W116" s="9"/>
      <c r="X116" s="9"/>
      <c r="Y116" s="10"/>
      <c r="Z116" s="9"/>
      <c r="AA116" s="9"/>
      <c r="AB116" s="9"/>
      <c r="AC116" s="9"/>
      <c r="AD116" s="9"/>
      <c r="AE116" s="9"/>
      <c r="AF116" s="9"/>
      <c r="AG116" s="9"/>
      <c r="AH116" s="9"/>
    </row>
    <row r="117" spans="1:34" ht="15" customHeight="1">
      <c r="A117" s="9">
        <f>IF(ROW(A117)=2,1,A116+1)</f>
        <v>115</v>
      </c>
      <c r="B117" s="9"/>
      <c r="C117" s="9"/>
      <c r="D117" s="9"/>
      <c r="E117" s="15"/>
      <c r="F117" s="9"/>
      <c r="G117" s="9"/>
      <c r="H117" s="9"/>
      <c r="I117" s="432"/>
      <c r="J117" s="9"/>
      <c r="K117" s="9"/>
      <c r="L117" s="9"/>
      <c r="M117" s="9"/>
      <c r="N117" s="9"/>
      <c r="O117" s="9"/>
      <c r="P117" s="9"/>
      <c r="Q117" s="9"/>
      <c r="R117" s="9"/>
      <c r="S117" s="9"/>
      <c r="T117" s="9"/>
      <c r="U117" s="9"/>
      <c r="V117" s="9"/>
      <c r="W117" s="9"/>
      <c r="X117" s="9"/>
      <c r="Y117" s="10"/>
      <c r="Z117" s="9"/>
      <c r="AA117" s="9"/>
      <c r="AB117" s="9"/>
      <c r="AC117" s="9"/>
      <c r="AD117" s="9"/>
      <c r="AE117" s="9"/>
      <c r="AF117" s="9"/>
      <c r="AG117" s="9"/>
      <c r="AH117" s="9"/>
    </row>
    <row r="118" spans="1:34" ht="15" customHeight="1">
      <c r="A118" s="9">
        <f>IF(ROW(A118)=2,1,A117+1)</f>
        <v>116</v>
      </c>
      <c r="B118" s="9"/>
      <c r="C118" s="9"/>
      <c r="D118" s="9"/>
      <c r="E118" s="15"/>
      <c r="F118" s="9"/>
      <c r="G118" s="9"/>
      <c r="H118" s="9"/>
      <c r="I118" s="432"/>
      <c r="J118" s="9"/>
      <c r="K118" s="9"/>
      <c r="L118" s="9"/>
      <c r="M118" s="9"/>
      <c r="N118" s="9"/>
      <c r="O118" s="9"/>
      <c r="P118" s="9"/>
      <c r="Q118" s="9"/>
      <c r="R118" s="9"/>
      <c r="S118" s="9"/>
      <c r="T118" s="9"/>
      <c r="U118" s="9"/>
      <c r="V118" s="9"/>
      <c r="W118" s="9"/>
      <c r="X118" s="9"/>
      <c r="Y118" s="10"/>
      <c r="Z118" s="9"/>
      <c r="AA118" s="9"/>
      <c r="AB118" s="9"/>
      <c r="AC118" s="9"/>
      <c r="AD118" s="9"/>
      <c r="AE118" s="9"/>
      <c r="AF118" s="9"/>
      <c r="AG118" s="9"/>
      <c r="AH118" s="9"/>
    </row>
    <row r="119" spans="1:34" ht="15" customHeight="1">
      <c r="A119" s="9">
        <f>IF(ROW(A119)=2,1,A118+1)</f>
        <v>117</v>
      </c>
      <c r="B119" s="9"/>
      <c r="C119" s="9"/>
      <c r="D119" s="9"/>
      <c r="E119" s="15"/>
      <c r="F119" s="9"/>
      <c r="G119" s="9"/>
      <c r="H119" s="9"/>
      <c r="I119" s="432"/>
      <c r="J119" s="9"/>
      <c r="K119" s="9"/>
      <c r="L119" s="9"/>
      <c r="M119" s="9"/>
      <c r="N119" s="9"/>
      <c r="O119" s="9"/>
      <c r="P119" s="9"/>
      <c r="Q119" s="9"/>
      <c r="R119" s="9"/>
      <c r="S119" s="9"/>
      <c r="T119" s="9"/>
      <c r="U119" s="9"/>
      <c r="V119" s="9"/>
      <c r="W119" s="9"/>
      <c r="X119" s="9"/>
      <c r="Y119" s="10"/>
      <c r="Z119" s="9"/>
      <c r="AA119" s="9"/>
      <c r="AB119" s="9"/>
      <c r="AC119" s="9"/>
      <c r="AD119" s="9"/>
      <c r="AE119" s="9"/>
      <c r="AF119" s="9"/>
      <c r="AG119" s="9"/>
      <c r="AH119" s="9"/>
    </row>
    <row r="120" spans="1:34" ht="15" customHeight="1">
      <c r="A120" s="9">
        <f>IF(ROW(A120)=2,1,A119+1)</f>
        <v>118</v>
      </c>
      <c r="B120" s="9"/>
      <c r="C120" s="9"/>
      <c r="D120" s="9"/>
      <c r="E120" s="15"/>
      <c r="F120" s="9"/>
      <c r="G120" s="9"/>
      <c r="H120" s="9"/>
      <c r="I120" s="432"/>
      <c r="J120" s="9"/>
      <c r="K120" s="9"/>
      <c r="L120" s="9"/>
      <c r="M120" s="9"/>
      <c r="N120" s="9"/>
      <c r="O120" s="9"/>
      <c r="P120" s="9"/>
      <c r="Q120" s="9"/>
      <c r="R120" s="9"/>
      <c r="S120" s="9"/>
      <c r="T120" s="9"/>
      <c r="U120" s="9"/>
      <c r="V120" s="9"/>
      <c r="W120" s="9"/>
      <c r="X120" s="9"/>
      <c r="Y120" s="10"/>
      <c r="Z120" s="9"/>
      <c r="AA120" s="9"/>
      <c r="AB120" s="9"/>
      <c r="AC120" s="9"/>
      <c r="AD120" s="9"/>
      <c r="AE120" s="9"/>
      <c r="AF120" s="9"/>
      <c r="AG120" s="9"/>
      <c r="AH120" s="9"/>
    </row>
    <row r="121" spans="1:34" ht="15" customHeight="1">
      <c r="A121" s="9">
        <f>IF(ROW(A121)=2,1,A120+1)</f>
        <v>119</v>
      </c>
      <c r="B121" s="9"/>
      <c r="C121" s="9"/>
      <c r="D121" s="9"/>
      <c r="E121" s="15"/>
      <c r="F121" s="9"/>
      <c r="G121" s="9"/>
      <c r="H121" s="9"/>
      <c r="I121" s="432"/>
      <c r="J121" s="9"/>
      <c r="K121" s="9"/>
      <c r="L121" s="9"/>
      <c r="M121" s="9"/>
      <c r="N121" s="9"/>
      <c r="O121" s="9"/>
      <c r="P121" s="9"/>
      <c r="Q121" s="9"/>
      <c r="R121" s="9"/>
      <c r="S121" s="9"/>
      <c r="T121" s="9"/>
      <c r="U121" s="9"/>
      <c r="V121" s="9"/>
      <c r="W121" s="9"/>
      <c r="X121" s="9"/>
      <c r="Y121" s="10"/>
      <c r="Z121" s="9"/>
      <c r="AA121" s="9"/>
      <c r="AB121" s="9"/>
      <c r="AC121" s="9"/>
      <c r="AD121" s="9"/>
      <c r="AE121" s="9"/>
      <c r="AF121" s="9"/>
      <c r="AG121" s="9"/>
      <c r="AH121" s="9"/>
    </row>
    <row r="122" spans="1:34" ht="15" customHeight="1">
      <c r="A122" s="9">
        <f>IF(ROW(A122)=2,1,A121+1)</f>
        <v>120</v>
      </c>
      <c r="B122" s="9"/>
      <c r="C122" s="9"/>
      <c r="D122" s="9"/>
      <c r="E122" s="15"/>
      <c r="F122" s="9"/>
      <c r="G122" s="9"/>
      <c r="H122" s="9"/>
      <c r="I122" s="432"/>
      <c r="J122" s="9"/>
      <c r="K122" s="9"/>
      <c r="L122" s="9"/>
      <c r="M122" s="9"/>
      <c r="N122" s="9"/>
      <c r="O122" s="9"/>
      <c r="P122" s="9"/>
      <c r="Q122" s="9"/>
      <c r="R122" s="9"/>
      <c r="S122" s="9"/>
      <c r="T122" s="9"/>
      <c r="U122" s="9"/>
      <c r="V122" s="9"/>
      <c r="W122" s="9"/>
      <c r="X122" s="9"/>
      <c r="Y122" s="10"/>
      <c r="Z122" s="9"/>
      <c r="AA122" s="9"/>
      <c r="AB122" s="9"/>
      <c r="AC122" s="9"/>
      <c r="AD122" s="9"/>
      <c r="AE122" s="9"/>
      <c r="AF122" s="9"/>
      <c r="AG122" s="9"/>
      <c r="AH122" s="9"/>
    </row>
    <row r="123" spans="1:34" ht="15" customHeight="1">
      <c r="A123" s="9">
        <f>IF(ROW(A123)=2,1,A122+1)</f>
        <v>121</v>
      </c>
      <c r="B123" s="9"/>
      <c r="C123" s="9"/>
      <c r="D123" s="9"/>
      <c r="E123" s="15"/>
      <c r="F123" s="9"/>
      <c r="G123" s="9"/>
      <c r="H123" s="9"/>
      <c r="I123" s="432"/>
      <c r="J123" s="9"/>
      <c r="K123" s="9"/>
      <c r="L123" s="9"/>
      <c r="M123" s="9"/>
      <c r="N123" s="9"/>
      <c r="O123" s="9"/>
      <c r="P123" s="9"/>
      <c r="Q123" s="9"/>
      <c r="R123" s="9"/>
      <c r="S123" s="9"/>
      <c r="T123" s="9"/>
      <c r="U123" s="9"/>
      <c r="V123" s="9"/>
      <c r="W123" s="9"/>
      <c r="X123" s="9"/>
      <c r="Y123" s="10"/>
      <c r="Z123" s="9"/>
      <c r="AA123" s="9"/>
      <c r="AB123" s="9"/>
      <c r="AC123" s="9"/>
      <c r="AD123" s="9"/>
      <c r="AE123" s="9"/>
      <c r="AF123" s="9"/>
      <c r="AG123" s="9"/>
      <c r="AH123" s="9"/>
    </row>
    <row r="124" spans="1:34" ht="15" customHeight="1">
      <c r="A124" s="9">
        <f>IF(ROW(A124)=2,1,A123+1)</f>
        <v>122</v>
      </c>
      <c r="B124" s="9"/>
      <c r="C124" s="9"/>
      <c r="D124" s="9"/>
      <c r="E124" s="15"/>
      <c r="F124" s="9"/>
      <c r="G124" s="9"/>
      <c r="H124" s="9"/>
      <c r="I124" s="432"/>
      <c r="J124" s="9"/>
      <c r="K124" s="9"/>
      <c r="L124" s="9"/>
      <c r="M124" s="9"/>
      <c r="N124" s="9"/>
      <c r="O124" s="9"/>
      <c r="P124" s="9"/>
      <c r="Q124" s="9"/>
      <c r="R124" s="9"/>
      <c r="S124" s="9"/>
      <c r="T124" s="9"/>
      <c r="U124" s="9"/>
      <c r="V124" s="9"/>
      <c r="W124" s="9"/>
      <c r="X124" s="9"/>
      <c r="Y124" s="10"/>
      <c r="Z124" s="9"/>
      <c r="AA124" s="9"/>
      <c r="AB124" s="9"/>
      <c r="AC124" s="9"/>
      <c r="AD124" s="9"/>
      <c r="AE124" s="9"/>
      <c r="AF124" s="9"/>
      <c r="AG124" s="9"/>
      <c r="AH124" s="9"/>
    </row>
    <row r="125" spans="1:34" ht="15" customHeight="1">
      <c r="A125" s="9">
        <f>IF(ROW(A125)=2,1,A124+1)</f>
        <v>123</v>
      </c>
      <c r="B125" s="9"/>
      <c r="C125" s="9"/>
      <c r="D125" s="9"/>
      <c r="E125" s="15"/>
      <c r="F125" s="9"/>
      <c r="G125" s="9"/>
      <c r="H125" s="9"/>
      <c r="I125" s="432"/>
      <c r="J125" s="9"/>
      <c r="K125" s="9"/>
      <c r="L125" s="9"/>
      <c r="M125" s="9"/>
      <c r="N125" s="9"/>
      <c r="O125" s="9"/>
      <c r="P125" s="9"/>
      <c r="Q125" s="9"/>
      <c r="R125" s="9"/>
      <c r="S125" s="9"/>
      <c r="T125" s="9"/>
      <c r="U125" s="9"/>
      <c r="V125" s="9"/>
      <c r="W125" s="9"/>
      <c r="X125" s="9"/>
      <c r="Y125" s="10"/>
      <c r="Z125" s="9"/>
      <c r="AA125" s="9"/>
      <c r="AB125" s="9"/>
      <c r="AC125" s="9"/>
      <c r="AD125" s="9"/>
      <c r="AE125" s="9"/>
      <c r="AF125" s="9"/>
      <c r="AG125" s="9"/>
      <c r="AH125" s="9"/>
    </row>
    <row r="126" spans="1:34" ht="15" customHeight="1">
      <c r="A126" s="9">
        <f>IF(ROW(A126)=2,1,A125+1)</f>
        <v>124</v>
      </c>
      <c r="B126" s="9"/>
      <c r="C126" s="9"/>
      <c r="D126" s="9"/>
      <c r="E126" s="15"/>
      <c r="F126" s="9"/>
      <c r="G126" s="9"/>
      <c r="H126" s="9"/>
      <c r="I126" s="432"/>
      <c r="J126" s="9"/>
      <c r="K126" s="9"/>
      <c r="L126" s="9"/>
      <c r="M126" s="9"/>
      <c r="N126" s="9"/>
      <c r="O126" s="9"/>
      <c r="P126" s="9"/>
      <c r="Q126" s="9"/>
      <c r="R126" s="9"/>
      <c r="S126" s="9"/>
      <c r="T126" s="9"/>
      <c r="U126" s="9"/>
      <c r="V126" s="9"/>
      <c r="W126" s="9"/>
      <c r="X126" s="9"/>
      <c r="Y126" s="10"/>
      <c r="Z126" s="9"/>
      <c r="AA126" s="9"/>
      <c r="AB126" s="9"/>
      <c r="AC126" s="9"/>
      <c r="AD126" s="9"/>
      <c r="AE126" s="9"/>
      <c r="AF126" s="9"/>
      <c r="AG126" s="9"/>
      <c r="AH126" s="9"/>
    </row>
    <row r="127" spans="1:34" ht="15" customHeight="1">
      <c r="A127" s="9">
        <f>IF(ROW(A127)=2,1,A126+1)</f>
        <v>125</v>
      </c>
      <c r="B127" s="9"/>
      <c r="C127" s="9"/>
      <c r="D127" s="9"/>
      <c r="E127" s="15"/>
      <c r="F127" s="9"/>
      <c r="G127" s="9"/>
      <c r="H127" s="9"/>
      <c r="I127" s="432"/>
      <c r="J127" s="9"/>
      <c r="K127" s="9"/>
      <c r="L127" s="9"/>
      <c r="M127" s="9"/>
      <c r="N127" s="9"/>
      <c r="O127" s="9"/>
      <c r="P127" s="9"/>
      <c r="Q127" s="9"/>
      <c r="R127" s="9"/>
      <c r="S127" s="9"/>
      <c r="T127" s="9"/>
      <c r="U127" s="9"/>
      <c r="V127" s="9"/>
      <c r="W127" s="9"/>
      <c r="X127" s="9"/>
      <c r="Y127" s="10"/>
      <c r="Z127" s="9"/>
      <c r="AA127" s="9"/>
      <c r="AB127" s="9"/>
      <c r="AC127" s="9"/>
      <c r="AD127" s="9"/>
      <c r="AE127" s="9"/>
      <c r="AF127" s="9"/>
      <c r="AG127" s="9"/>
      <c r="AH127" s="9"/>
    </row>
    <row r="128" spans="1:34" ht="15" customHeight="1">
      <c r="A128" s="9">
        <f>IF(ROW(A128)=2,1,A127+1)</f>
        <v>126</v>
      </c>
      <c r="B128" s="9"/>
      <c r="C128" s="9"/>
      <c r="D128" s="9"/>
      <c r="E128" s="15"/>
      <c r="F128" s="9"/>
      <c r="G128" s="9"/>
      <c r="H128" s="9"/>
      <c r="I128" s="432"/>
      <c r="J128" s="9"/>
      <c r="K128" s="9"/>
      <c r="L128" s="9"/>
      <c r="M128" s="9"/>
      <c r="N128" s="9"/>
      <c r="O128" s="9"/>
      <c r="P128" s="9"/>
      <c r="Q128" s="9"/>
      <c r="R128" s="9"/>
      <c r="S128" s="9"/>
      <c r="T128" s="9"/>
      <c r="U128" s="9"/>
      <c r="V128" s="9"/>
      <c r="W128" s="9"/>
      <c r="X128" s="9"/>
      <c r="Y128" s="10"/>
      <c r="Z128" s="9"/>
      <c r="AA128" s="9"/>
      <c r="AB128" s="9"/>
      <c r="AC128" s="9"/>
      <c r="AD128" s="9"/>
      <c r="AE128" s="9"/>
      <c r="AF128" s="9"/>
      <c r="AG128" s="9"/>
      <c r="AH128" s="9"/>
    </row>
    <row r="129" spans="1:34" ht="15" customHeight="1">
      <c r="A129" s="9">
        <f>IF(ROW(A129)=2,1,A128+1)</f>
        <v>127</v>
      </c>
      <c r="B129" s="9"/>
      <c r="C129" s="9"/>
      <c r="D129" s="9"/>
      <c r="E129" s="15"/>
      <c r="F129" s="9"/>
      <c r="G129" s="9"/>
      <c r="H129" s="9"/>
      <c r="I129" s="432"/>
      <c r="J129" s="9"/>
      <c r="K129" s="9"/>
      <c r="L129" s="9"/>
      <c r="M129" s="9"/>
      <c r="N129" s="9"/>
      <c r="O129" s="9"/>
      <c r="P129" s="9"/>
      <c r="Q129" s="9"/>
      <c r="R129" s="9"/>
      <c r="S129" s="9"/>
      <c r="T129" s="9"/>
      <c r="U129" s="9"/>
      <c r="V129" s="9"/>
      <c r="W129" s="9"/>
      <c r="X129" s="9"/>
      <c r="Y129" s="10"/>
      <c r="Z129" s="9"/>
      <c r="AA129" s="9"/>
      <c r="AB129" s="9"/>
      <c r="AC129" s="9"/>
      <c r="AD129" s="9"/>
      <c r="AE129" s="9"/>
      <c r="AF129" s="9"/>
      <c r="AG129" s="9"/>
      <c r="AH129" s="9"/>
    </row>
    <row r="130" spans="1:34" ht="15" customHeight="1">
      <c r="A130" s="9">
        <f>IF(ROW(A130)=2,1,A129+1)</f>
        <v>128</v>
      </c>
      <c r="B130" s="9"/>
      <c r="C130" s="9"/>
      <c r="D130" s="9"/>
      <c r="E130" s="15"/>
      <c r="F130" s="9"/>
      <c r="G130" s="9"/>
      <c r="H130" s="9"/>
      <c r="I130" s="432"/>
      <c r="J130" s="9"/>
      <c r="K130" s="9"/>
      <c r="L130" s="9"/>
      <c r="M130" s="9"/>
      <c r="N130" s="9"/>
      <c r="O130" s="9"/>
      <c r="P130" s="9"/>
      <c r="Q130" s="9"/>
      <c r="R130" s="9"/>
      <c r="S130" s="9"/>
      <c r="T130" s="9"/>
      <c r="U130" s="9"/>
      <c r="V130" s="9"/>
      <c r="W130" s="9"/>
      <c r="X130" s="9"/>
      <c r="Y130" s="10"/>
      <c r="Z130" s="9"/>
      <c r="AA130" s="9"/>
      <c r="AB130" s="9"/>
      <c r="AC130" s="9"/>
      <c r="AD130" s="9"/>
      <c r="AE130" s="9"/>
      <c r="AF130" s="9"/>
      <c r="AG130" s="9"/>
      <c r="AH130" s="9"/>
    </row>
    <row r="131" spans="1:34" ht="15" customHeight="1">
      <c r="A131" s="9">
        <f>IF(ROW(A131)=2,1,A130+1)</f>
        <v>129</v>
      </c>
      <c r="B131" s="9"/>
      <c r="C131" s="9"/>
      <c r="D131" s="9"/>
      <c r="E131" s="15"/>
      <c r="F131" s="9"/>
      <c r="G131" s="9"/>
      <c r="H131" s="9"/>
      <c r="I131" s="432"/>
      <c r="J131" s="9"/>
      <c r="K131" s="9"/>
      <c r="L131" s="9"/>
      <c r="M131" s="9"/>
      <c r="N131" s="9"/>
      <c r="O131" s="9"/>
      <c r="P131" s="9"/>
      <c r="Q131" s="9"/>
      <c r="R131" s="9"/>
      <c r="S131" s="9"/>
      <c r="T131" s="9"/>
      <c r="U131" s="9"/>
      <c r="V131" s="9"/>
      <c r="W131" s="9"/>
      <c r="X131" s="9"/>
      <c r="Y131" s="10"/>
      <c r="Z131" s="9"/>
      <c r="AA131" s="9"/>
      <c r="AB131" s="9"/>
      <c r="AC131" s="9"/>
      <c r="AD131" s="9"/>
      <c r="AE131" s="9"/>
      <c r="AF131" s="9"/>
      <c r="AG131" s="9"/>
      <c r="AH131" s="9"/>
    </row>
    <row r="132" spans="1:34" ht="15" customHeight="1">
      <c r="A132" s="9">
        <f>IF(ROW(A132)=2,1,A131+1)</f>
        <v>130</v>
      </c>
      <c r="B132" s="9"/>
      <c r="C132" s="9"/>
      <c r="D132" s="9"/>
      <c r="E132" s="15"/>
      <c r="F132" s="9"/>
      <c r="G132" s="9"/>
      <c r="H132" s="9"/>
      <c r="I132" s="432"/>
      <c r="J132" s="9"/>
      <c r="K132" s="9"/>
      <c r="L132" s="9"/>
      <c r="M132" s="9"/>
      <c r="N132" s="9"/>
      <c r="O132" s="9"/>
      <c r="P132" s="9"/>
      <c r="Q132" s="9"/>
      <c r="R132" s="9"/>
      <c r="S132" s="9"/>
      <c r="T132" s="9"/>
      <c r="U132" s="9"/>
      <c r="V132" s="9"/>
      <c r="W132" s="9"/>
      <c r="X132" s="9"/>
      <c r="Y132" s="10"/>
      <c r="Z132" s="9"/>
      <c r="AA132" s="9"/>
      <c r="AB132" s="9"/>
      <c r="AC132" s="9"/>
      <c r="AD132" s="9"/>
      <c r="AE132" s="9"/>
      <c r="AF132" s="9"/>
      <c r="AG132" s="9"/>
      <c r="AH132" s="9"/>
    </row>
    <row r="133" spans="1:34" ht="15" customHeight="1">
      <c r="A133" s="9">
        <f>IF(ROW(A133)=2,1,A132+1)</f>
        <v>131</v>
      </c>
      <c r="B133" s="9"/>
      <c r="C133" s="9"/>
      <c r="D133" s="9"/>
      <c r="E133" s="15"/>
      <c r="F133" s="9"/>
      <c r="G133" s="9"/>
      <c r="H133" s="9"/>
      <c r="I133" s="432"/>
      <c r="J133" s="9"/>
      <c r="K133" s="9"/>
      <c r="L133" s="9"/>
      <c r="M133" s="9"/>
      <c r="N133" s="9"/>
      <c r="O133" s="9"/>
      <c r="P133" s="9"/>
      <c r="Q133" s="9"/>
      <c r="R133" s="9"/>
      <c r="S133" s="9"/>
      <c r="T133" s="9"/>
      <c r="U133" s="9"/>
      <c r="V133" s="9"/>
      <c r="W133" s="9"/>
      <c r="X133" s="9"/>
      <c r="Y133" s="10"/>
      <c r="Z133" s="9"/>
      <c r="AA133" s="9"/>
      <c r="AB133" s="9"/>
      <c r="AC133" s="9"/>
      <c r="AD133" s="9"/>
      <c r="AE133" s="9"/>
      <c r="AF133" s="9"/>
      <c r="AG133" s="9"/>
      <c r="AH133" s="9"/>
    </row>
    <row r="134" spans="1:34" ht="15" customHeight="1">
      <c r="A134" s="9">
        <f>IF(ROW(A134)=2,1,A133+1)</f>
        <v>132</v>
      </c>
      <c r="B134" s="9"/>
      <c r="C134" s="9"/>
      <c r="D134" s="9"/>
      <c r="E134" s="15"/>
      <c r="F134" s="9"/>
      <c r="G134" s="9"/>
      <c r="H134" s="9"/>
      <c r="I134" s="432"/>
      <c r="J134" s="9"/>
      <c r="K134" s="9"/>
      <c r="L134" s="9"/>
      <c r="M134" s="9"/>
      <c r="N134" s="9"/>
      <c r="O134" s="9"/>
      <c r="P134" s="9"/>
      <c r="Q134" s="9"/>
      <c r="R134" s="9"/>
      <c r="S134" s="9"/>
      <c r="T134" s="9"/>
      <c r="U134" s="9"/>
      <c r="V134" s="9"/>
      <c r="W134" s="9"/>
      <c r="X134" s="9"/>
      <c r="Y134" s="10"/>
      <c r="Z134" s="9"/>
      <c r="AA134" s="9"/>
      <c r="AB134" s="9"/>
      <c r="AC134" s="9"/>
      <c r="AD134" s="9"/>
      <c r="AE134" s="9"/>
      <c r="AF134" s="9"/>
      <c r="AG134" s="9"/>
      <c r="AH134" s="9"/>
    </row>
    <row r="135" spans="1:34" ht="15" customHeight="1">
      <c r="A135" s="9">
        <f>IF(ROW(A135)=2,1,A134+1)</f>
        <v>133</v>
      </c>
      <c r="B135" s="9"/>
      <c r="C135" s="9"/>
      <c r="D135" s="9"/>
      <c r="E135" s="15"/>
      <c r="F135" s="9"/>
      <c r="G135" s="9"/>
      <c r="H135" s="9"/>
      <c r="I135" s="432"/>
      <c r="J135" s="9"/>
      <c r="K135" s="9"/>
      <c r="L135" s="9"/>
      <c r="M135" s="9"/>
      <c r="N135" s="9"/>
      <c r="O135" s="9"/>
      <c r="P135" s="9"/>
      <c r="Q135" s="9"/>
      <c r="R135" s="9"/>
      <c r="S135" s="9"/>
      <c r="T135" s="9"/>
      <c r="U135" s="9"/>
      <c r="V135" s="9"/>
      <c r="W135" s="9"/>
      <c r="X135" s="9"/>
      <c r="Y135" s="10"/>
      <c r="Z135" s="9"/>
      <c r="AA135" s="9"/>
      <c r="AB135" s="9"/>
      <c r="AC135" s="9"/>
      <c r="AD135" s="9"/>
      <c r="AE135" s="9"/>
      <c r="AF135" s="9"/>
      <c r="AG135" s="9"/>
      <c r="AH135" s="9"/>
    </row>
    <row r="136" spans="1:34" ht="15" customHeight="1">
      <c r="A136" s="9">
        <f>IF(ROW(A136)=2,1,A135+1)</f>
        <v>134</v>
      </c>
      <c r="B136" s="9"/>
      <c r="C136" s="9"/>
      <c r="D136" s="9"/>
      <c r="E136" s="15"/>
      <c r="F136" s="9"/>
      <c r="G136" s="9"/>
      <c r="H136" s="9"/>
      <c r="I136" s="432"/>
      <c r="J136" s="9"/>
      <c r="K136" s="9"/>
      <c r="L136" s="9"/>
      <c r="M136" s="9"/>
      <c r="N136" s="9"/>
      <c r="O136" s="9"/>
      <c r="P136" s="9"/>
      <c r="Q136" s="9"/>
      <c r="R136" s="9"/>
      <c r="S136" s="9"/>
      <c r="T136" s="9"/>
      <c r="U136" s="9"/>
      <c r="V136" s="9"/>
      <c r="W136" s="9"/>
      <c r="X136" s="9"/>
      <c r="Y136" s="10"/>
      <c r="Z136" s="9"/>
      <c r="AA136" s="9"/>
      <c r="AB136" s="9"/>
      <c r="AC136" s="9"/>
      <c r="AD136" s="9"/>
      <c r="AE136" s="9"/>
      <c r="AF136" s="9"/>
      <c r="AG136" s="9"/>
      <c r="AH136" s="9"/>
    </row>
    <row r="137" spans="1:34" ht="15" customHeight="1">
      <c r="A137" s="9">
        <f>IF(ROW(A137)=2,1,A136+1)</f>
        <v>135</v>
      </c>
      <c r="B137" s="9"/>
      <c r="C137" s="9"/>
      <c r="D137" s="9"/>
      <c r="E137" s="15"/>
      <c r="F137" s="9"/>
      <c r="G137" s="9"/>
      <c r="H137" s="9"/>
      <c r="I137" s="432"/>
      <c r="J137" s="9"/>
      <c r="K137" s="9"/>
      <c r="L137" s="9"/>
      <c r="M137" s="9"/>
      <c r="N137" s="9"/>
      <c r="O137" s="9"/>
      <c r="P137" s="9"/>
      <c r="Q137" s="9"/>
      <c r="R137" s="9"/>
      <c r="S137" s="9"/>
      <c r="T137" s="9"/>
      <c r="U137" s="9"/>
      <c r="V137" s="9"/>
      <c r="W137" s="9"/>
      <c r="X137" s="9"/>
      <c r="Y137" s="10"/>
      <c r="Z137" s="9"/>
      <c r="AA137" s="9"/>
      <c r="AB137" s="9"/>
      <c r="AC137" s="9"/>
      <c r="AD137" s="9"/>
      <c r="AE137" s="9"/>
      <c r="AF137" s="9"/>
      <c r="AG137" s="9"/>
      <c r="AH137" s="9"/>
    </row>
    <row r="138" spans="1:34" ht="15" customHeight="1">
      <c r="A138" s="9">
        <f>IF(ROW(A138)=2,1,A137+1)</f>
        <v>136</v>
      </c>
      <c r="B138" s="9"/>
      <c r="C138" s="9"/>
      <c r="D138" s="9"/>
      <c r="E138" s="15"/>
      <c r="F138" s="9"/>
      <c r="G138" s="9"/>
      <c r="H138" s="9"/>
      <c r="I138" s="432"/>
      <c r="J138" s="9"/>
      <c r="K138" s="9"/>
      <c r="L138" s="9"/>
      <c r="M138" s="9"/>
      <c r="N138" s="9"/>
      <c r="O138" s="9"/>
      <c r="P138" s="9"/>
      <c r="Q138" s="9"/>
      <c r="R138" s="9"/>
      <c r="S138" s="9"/>
      <c r="T138" s="9"/>
      <c r="U138" s="9"/>
      <c r="V138" s="9"/>
      <c r="W138" s="9"/>
      <c r="X138" s="9"/>
      <c r="Y138" s="10"/>
      <c r="Z138" s="9"/>
      <c r="AA138" s="9"/>
      <c r="AB138" s="9"/>
      <c r="AC138" s="9"/>
      <c r="AD138" s="9"/>
      <c r="AE138" s="9"/>
      <c r="AF138" s="9"/>
      <c r="AG138" s="9"/>
      <c r="AH138" s="9"/>
    </row>
    <row r="139" spans="1:34" ht="15" customHeight="1">
      <c r="A139" s="9">
        <f>IF(ROW(A139)=2,1,A138+1)</f>
        <v>137</v>
      </c>
      <c r="B139" s="9"/>
      <c r="C139" s="9"/>
      <c r="D139" s="9"/>
      <c r="E139" s="15"/>
      <c r="F139" s="9"/>
      <c r="G139" s="9"/>
      <c r="H139" s="9"/>
      <c r="I139" s="432"/>
      <c r="J139" s="9"/>
      <c r="K139" s="9"/>
      <c r="L139" s="9"/>
      <c r="M139" s="9"/>
      <c r="N139" s="9"/>
      <c r="O139" s="9"/>
      <c r="P139" s="9"/>
      <c r="Q139" s="9"/>
      <c r="R139" s="9"/>
      <c r="S139" s="9"/>
      <c r="T139" s="9"/>
      <c r="U139" s="9"/>
      <c r="V139" s="9"/>
      <c r="W139" s="9"/>
      <c r="X139" s="9"/>
      <c r="Y139" s="10"/>
      <c r="Z139" s="9"/>
      <c r="AA139" s="9"/>
      <c r="AB139" s="9"/>
      <c r="AC139" s="9"/>
      <c r="AD139" s="9"/>
      <c r="AE139" s="9"/>
      <c r="AF139" s="9"/>
      <c r="AG139" s="9"/>
      <c r="AH139" s="9"/>
    </row>
    <row r="140" spans="1:34" ht="15" customHeight="1">
      <c r="A140" s="9">
        <f>IF(ROW(A140)=2,1,A139+1)</f>
        <v>138</v>
      </c>
      <c r="B140" s="9"/>
      <c r="C140" s="9"/>
      <c r="D140" s="9"/>
      <c r="E140" s="15"/>
      <c r="F140" s="9"/>
      <c r="G140" s="9"/>
      <c r="H140" s="9"/>
      <c r="I140" s="432"/>
      <c r="J140" s="9"/>
      <c r="K140" s="9"/>
      <c r="L140" s="9"/>
      <c r="M140" s="9"/>
      <c r="N140" s="9"/>
      <c r="O140" s="9"/>
      <c r="P140" s="9"/>
      <c r="Q140" s="9"/>
      <c r="R140" s="9"/>
      <c r="S140" s="9"/>
      <c r="T140" s="9"/>
      <c r="U140" s="9"/>
      <c r="V140" s="9"/>
      <c r="W140" s="9"/>
      <c r="X140" s="9"/>
      <c r="Y140" s="10"/>
      <c r="Z140" s="9"/>
      <c r="AA140" s="9"/>
      <c r="AB140" s="9"/>
      <c r="AC140" s="9"/>
      <c r="AD140" s="9"/>
      <c r="AE140" s="9"/>
      <c r="AF140" s="9"/>
      <c r="AG140" s="9"/>
      <c r="AH140" s="9"/>
    </row>
    <row r="141" spans="1:34" ht="15" customHeight="1">
      <c r="A141" s="9">
        <f>IF(ROW(A141)=2,1,A140+1)</f>
        <v>139</v>
      </c>
      <c r="B141" s="9"/>
      <c r="C141" s="9"/>
      <c r="D141" s="9"/>
      <c r="E141" s="15"/>
      <c r="F141" s="9"/>
      <c r="G141" s="9"/>
      <c r="H141" s="9"/>
      <c r="I141" s="432"/>
      <c r="J141" s="9"/>
      <c r="K141" s="9"/>
      <c r="L141" s="9"/>
      <c r="M141" s="9"/>
      <c r="N141" s="9"/>
      <c r="O141" s="9"/>
      <c r="P141" s="9"/>
      <c r="Q141" s="9"/>
      <c r="R141" s="9"/>
      <c r="S141" s="9"/>
      <c r="T141" s="9"/>
      <c r="U141" s="9"/>
      <c r="V141" s="9"/>
      <c r="W141" s="9"/>
      <c r="X141" s="9"/>
      <c r="Y141" s="10"/>
      <c r="Z141" s="9"/>
      <c r="AA141" s="9"/>
      <c r="AB141" s="9"/>
      <c r="AC141" s="9"/>
      <c r="AD141" s="9"/>
      <c r="AE141" s="9"/>
      <c r="AF141" s="9"/>
      <c r="AG141" s="9"/>
      <c r="AH141" s="9"/>
    </row>
    <row r="142" spans="1:34" ht="15" customHeight="1">
      <c r="A142" s="9">
        <f>IF(ROW(A142)=2,1,A141+1)</f>
        <v>140</v>
      </c>
      <c r="B142" s="9"/>
      <c r="C142" s="9"/>
      <c r="D142" s="9"/>
      <c r="E142" s="15"/>
      <c r="F142" s="9"/>
      <c r="G142" s="9"/>
      <c r="H142" s="9"/>
      <c r="I142" s="432"/>
      <c r="J142" s="9"/>
      <c r="K142" s="9"/>
      <c r="L142" s="9"/>
      <c r="M142" s="9"/>
      <c r="N142" s="9"/>
      <c r="O142" s="9"/>
      <c r="P142" s="9"/>
      <c r="Q142" s="9"/>
      <c r="R142" s="9"/>
      <c r="S142" s="9"/>
      <c r="T142" s="9"/>
      <c r="U142" s="9"/>
      <c r="V142" s="9"/>
      <c r="W142" s="9"/>
      <c r="X142" s="9"/>
      <c r="Y142" s="10"/>
      <c r="Z142" s="9"/>
      <c r="AA142" s="9"/>
      <c r="AB142" s="9"/>
      <c r="AC142" s="9"/>
      <c r="AD142" s="9"/>
      <c r="AE142" s="9"/>
      <c r="AF142" s="9"/>
      <c r="AG142" s="9"/>
      <c r="AH142" s="9"/>
    </row>
    <row r="143" spans="1:34" ht="15" customHeight="1">
      <c r="A143" s="9">
        <f>IF(ROW(A143)=2,1,A142+1)</f>
        <v>141</v>
      </c>
      <c r="B143" s="9"/>
      <c r="C143" s="9"/>
      <c r="D143" s="9"/>
      <c r="E143" s="15"/>
      <c r="F143" s="9"/>
      <c r="G143" s="9"/>
      <c r="H143" s="9"/>
      <c r="I143" s="432"/>
      <c r="J143" s="9"/>
      <c r="K143" s="9"/>
      <c r="L143" s="9"/>
      <c r="M143" s="9"/>
      <c r="N143" s="9"/>
      <c r="O143" s="9"/>
      <c r="P143" s="9"/>
      <c r="Q143" s="9"/>
      <c r="R143" s="9"/>
      <c r="S143" s="9"/>
      <c r="T143" s="9"/>
      <c r="U143" s="9"/>
      <c r="V143" s="9"/>
      <c r="W143" s="9"/>
      <c r="X143" s="9"/>
      <c r="Y143" s="10"/>
      <c r="Z143" s="9"/>
      <c r="AA143" s="9"/>
      <c r="AB143" s="9"/>
      <c r="AC143" s="9"/>
      <c r="AD143" s="9"/>
      <c r="AE143" s="9"/>
      <c r="AF143" s="9"/>
      <c r="AG143" s="9"/>
      <c r="AH143" s="9"/>
    </row>
    <row r="144" spans="1:34" ht="15" customHeight="1">
      <c r="A144" s="9">
        <f>IF(ROW(A144)=2,1,A143+1)</f>
        <v>142</v>
      </c>
      <c r="B144" s="9"/>
      <c r="C144" s="9"/>
      <c r="D144" s="9"/>
      <c r="E144" s="15"/>
      <c r="F144" s="9"/>
      <c r="G144" s="9"/>
      <c r="H144" s="9"/>
      <c r="I144" s="432"/>
      <c r="J144" s="9"/>
      <c r="K144" s="9"/>
      <c r="L144" s="9"/>
      <c r="M144" s="9"/>
      <c r="N144" s="9"/>
      <c r="O144" s="9"/>
      <c r="P144" s="9"/>
      <c r="Q144" s="9"/>
      <c r="R144" s="9"/>
      <c r="S144" s="9"/>
      <c r="T144" s="9"/>
      <c r="U144" s="9"/>
      <c r="V144" s="9"/>
      <c r="W144" s="9"/>
      <c r="X144" s="9"/>
      <c r="Y144" s="10"/>
      <c r="Z144" s="9"/>
      <c r="AA144" s="9"/>
      <c r="AB144" s="9"/>
      <c r="AC144" s="9"/>
      <c r="AD144" s="9"/>
      <c r="AE144" s="9"/>
      <c r="AF144" s="9"/>
      <c r="AG144" s="9"/>
      <c r="AH144" s="9"/>
    </row>
    <row r="145" spans="1:34" ht="15" customHeight="1">
      <c r="A145" s="9">
        <f>IF(ROW(A145)=2,1,A144+1)</f>
        <v>143</v>
      </c>
      <c r="B145" s="9"/>
      <c r="C145" s="9"/>
      <c r="D145" s="9"/>
      <c r="E145" s="15"/>
      <c r="F145" s="9"/>
      <c r="G145" s="9"/>
      <c r="H145" s="9"/>
      <c r="I145" s="432"/>
      <c r="J145" s="9"/>
      <c r="K145" s="9"/>
      <c r="L145" s="9"/>
      <c r="M145" s="9"/>
      <c r="N145" s="9"/>
      <c r="O145" s="9"/>
      <c r="P145" s="9"/>
      <c r="Q145" s="9"/>
      <c r="R145" s="9"/>
      <c r="S145" s="9"/>
      <c r="T145" s="9"/>
      <c r="U145" s="9"/>
      <c r="V145" s="9"/>
      <c r="W145" s="9"/>
      <c r="X145" s="9"/>
      <c r="Y145" s="10"/>
      <c r="Z145" s="9"/>
      <c r="AA145" s="9"/>
      <c r="AB145" s="9"/>
      <c r="AC145" s="9"/>
      <c r="AD145" s="9"/>
      <c r="AE145" s="9"/>
      <c r="AF145" s="9"/>
      <c r="AG145" s="9"/>
      <c r="AH145" s="9"/>
    </row>
    <row r="146" spans="1:34" ht="15" customHeight="1">
      <c r="A146" s="9">
        <f>IF(ROW(A146)=2,1,A145+1)</f>
        <v>144</v>
      </c>
      <c r="B146" s="9"/>
      <c r="C146" s="9"/>
      <c r="D146" s="9"/>
      <c r="E146" s="15"/>
      <c r="F146" s="9"/>
      <c r="G146" s="9"/>
      <c r="H146" s="9"/>
      <c r="I146" s="432"/>
      <c r="J146" s="9"/>
      <c r="K146" s="9"/>
      <c r="L146" s="9"/>
      <c r="M146" s="9"/>
      <c r="N146" s="9"/>
      <c r="O146" s="9"/>
      <c r="P146" s="9"/>
      <c r="Q146" s="9"/>
      <c r="R146" s="9"/>
      <c r="S146" s="9"/>
      <c r="T146" s="9"/>
      <c r="U146" s="9"/>
      <c r="V146" s="9"/>
      <c r="W146" s="9"/>
      <c r="X146" s="9"/>
      <c r="Y146" s="10"/>
      <c r="Z146" s="9"/>
      <c r="AA146" s="9"/>
      <c r="AB146" s="9"/>
      <c r="AC146" s="9"/>
      <c r="AD146" s="9"/>
      <c r="AE146" s="9"/>
      <c r="AF146" s="9"/>
      <c r="AG146" s="9"/>
      <c r="AH146" s="9"/>
    </row>
    <row r="147" spans="1:34" ht="15" customHeight="1">
      <c r="A147" s="9">
        <f>IF(ROW(A147)=2,1,A146+1)</f>
        <v>145</v>
      </c>
      <c r="B147" s="9"/>
      <c r="C147" s="9"/>
      <c r="D147" s="9"/>
      <c r="E147" s="15"/>
      <c r="F147" s="9"/>
      <c r="G147" s="9"/>
      <c r="H147" s="9"/>
      <c r="I147" s="432"/>
      <c r="J147" s="9"/>
      <c r="K147" s="9"/>
      <c r="L147" s="9"/>
      <c r="M147" s="9"/>
      <c r="N147" s="9"/>
      <c r="O147" s="9"/>
      <c r="P147" s="9"/>
      <c r="Q147" s="9"/>
      <c r="R147" s="9"/>
      <c r="S147" s="9"/>
      <c r="T147" s="9"/>
      <c r="U147" s="9"/>
      <c r="V147" s="9"/>
      <c r="W147" s="9"/>
      <c r="X147" s="9"/>
      <c r="Y147" s="10"/>
      <c r="Z147" s="9"/>
      <c r="AA147" s="9"/>
      <c r="AB147" s="9"/>
      <c r="AC147" s="9"/>
      <c r="AD147" s="9"/>
      <c r="AE147" s="9"/>
      <c r="AF147" s="9"/>
      <c r="AG147" s="9"/>
      <c r="AH147" s="9"/>
    </row>
    <row r="148" spans="1:34" ht="15" customHeight="1">
      <c r="A148" s="9">
        <f>IF(ROW(A148)=2,1,A147+1)</f>
        <v>146</v>
      </c>
      <c r="B148" s="9"/>
      <c r="C148" s="9"/>
      <c r="D148" s="9"/>
      <c r="E148" s="15"/>
      <c r="F148" s="9"/>
      <c r="G148" s="9"/>
      <c r="H148" s="9"/>
      <c r="I148" s="432"/>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row>
    <row r="149" spans="1:34" ht="15" customHeight="1">
      <c r="A149" s="9">
        <f>IF(ROW(A149)=2,1,A148+1)</f>
        <v>147</v>
      </c>
      <c r="B149" s="9"/>
      <c r="C149" s="9"/>
      <c r="D149" s="9"/>
      <c r="E149" s="15"/>
      <c r="F149" s="9"/>
      <c r="G149" s="9"/>
      <c r="H149" s="9"/>
      <c r="I149" s="432"/>
      <c r="J149" s="9"/>
      <c r="K149" s="9"/>
      <c r="L149" s="9"/>
      <c r="M149" s="9"/>
      <c r="N149" s="9"/>
      <c r="O149" s="9"/>
      <c r="P149" s="9"/>
      <c r="Q149" s="9"/>
      <c r="R149" s="9"/>
      <c r="S149" s="9"/>
      <c r="T149" s="9"/>
      <c r="U149" s="9"/>
      <c r="V149" s="9"/>
      <c r="W149" s="9"/>
      <c r="X149" s="9"/>
      <c r="Y149" s="10"/>
      <c r="Z149" s="9"/>
      <c r="AA149" s="9"/>
      <c r="AB149" s="9"/>
      <c r="AC149" s="9"/>
      <c r="AD149" s="9"/>
      <c r="AE149" s="9"/>
      <c r="AF149" s="9"/>
      <c r="AG149" s="9"/>
      <c r="AH149" s="9"/>
    </row>
    <row r="150" spans="1:34" ht="15" customHeight="1">
      <c r="A150" s="9">
        <f>IF(ROW(A150)=2,1,A149+1)</f>
        <v>148</v>
      </c>
      <c r="B150" s="9"/>
      <c r="C150" s="9"/>
      <c r="D150" s="9"/>
      <c r="E150" s="15"/>
      <c r="F150" s="9"/>
      <c r="G150" s="9"/>
      <c r="H150" s="9"/>
      <c r="I150" s="432"/>
      <c r="J150" s="9"/>
      <c r="K150" s="9"/>
      <c r="L150" s="9"/>
      <c r="M150" s="9"/>
      <c r="N150" s="9"/>
      <c r="O150" s="9"/>
      <c r="P150" s="9"/>
      <c r="Q150" s="9"/>
      <c r="R150" s="9"/>
      <c r="S150" s="9"/>
      <c r="T150" s="9"/>
      <c r="U150" s="9"/>
      <c r="V150" s="9"/>
      <c r="W150" s="9"/>
      <c r="X150" s="9"/>
      <c r="Y150" s="10"/>
      <c r="Z150" s="9"/>
      <c r="AA150" s="9"/>
      <c r="AB150" s="9"/>
      <c r="AC150" s="9"/>
      <c r="AD150" s="9"/>
      <c r="AE150" s="9"/>
      <c r="AF150" s="9"/>
      <c r="AG150" s="9"/>
      <c r="AH150" s="9"/>
    </row>
    <row r="151" spans="1:34" ht="15" customHeight="1">
      <c r="A151" s="9">
        <f>IF(ROW(A151)=2,1,A150+1)</f>
        <v>149</v>
      </c>
      <c r="B151" s="9"/>
      <c r="C151" s="9"/>
      <c r="D151" s="9"/>
      <c r="E151" s="15"/>
      <c r="F151" s="9"/>
      <c r="G151" s="9"/>
      <c r="H151" s="9"/>
      <c r="I151" s="432"/>
      <c r="J151" s="9"/>
      <c r="K151" s="9"/>
      <c r="L151" s="9"/>
      <c r="M151" s="9"/>
      <c r="N151" s="9"/>
      <c r="O151" s="9"/>
      <c r="P151" s="9"/>
      <c r="Q151" s="9"/>
      <c r="R151" s="9"/>
      <c r="S151" s="9"/>
      <c r="T151" s="9"/>
      <c r="U151" s="9"/>
      <c r="V151" s="9"/>
      <c r="W151" s="9"/>
      <c r="X151" s="9"/>
      <c r="Y151" s="10"/>
      <c r="Z151" s="9"/>
      <c r="AA151" s="9"/>
      <c r="AB151" s="9"/>
      <c r="AC151" s="9"/>
      <c r="AD151" s="9"/>
      <c r="AE151" s="9"/>
      <c r="AF151" s="9"/>
      <c r="AG151" s="9"/>
      <c r="AH151" s="9"/>
    </row>
    <row r="152" spans="1:34" ht="15" customHeight="1">
      <c r="A152" s="9">
        <f>IF(ROW(A152)=2,1,A151+1)</f>
        <v>150</v>
      </c>
      <c r="B152" s="9"/>
      <c r="C152" s="9"/>
      <c r="D152" s="9"/>
      <c r="E152" s="15"/>
      <c r="F152" s="9"/>
      <c r="G152" s="9"/>
      <c r="H152" s="9"/>
      <c r="I152" s="432"/>
      <c r="J152" s="9"/>
      <c r="K152" s="9"/>
      <c r="L152" s="9"/>
      <c r="M152" s="9"/>
      <c r="N152" s="9"/>
      <c r="O152" s="9"/>
      <c r="P152" s="9"/>
      <c r="Q152" s="9"/>
      <c r="R152" s="9"/>
      <c r="S152" s="9"/>
      <c r="T152" s="9"/>
      <c r="U152" s="9"/>
      <c r="V152" s="9"/>
      <c r="W152" s="9"/>
      <c r="X152" s="9"/>
      <c r="Y152" s="10"/>
      <c r="Z152" s="9"/>
      <c r="AA152" s="9"/>
      <c r="AB152" s="9"/>
      <c r="AC152" s="9"/>
      <c r="AD152" s="9"/>
      <c r="AE152" s="9"/>
      <c r="AF152" s="9"/>
      <c r="AG152" s="9"/>
      <c r="AH152" s="9"/>
    </row>
    <row r="153" spans="1:34" ht="15" customHeight="1">
      <c r="A153" s="9">
        <f>IF(ROW(A153)=2,1,A152+1)</f>
        <v>151</v>
      </c>
      <c r="B153" s="9"/>
      <c r="C153" s="9"/>
      <c r="D153" s="9"/>
      <c r="E153" s="15"/>
      <c r="F153" s="9"/>
      <c r="G153" s="9"/>
      <c r="H153" s="9"/>
      <c r="I153" s="432"/>
      <c r="J153" s="9"/>
      <c r="K153" s="9"/>
      <c r="L153" s="9"/>
      <c r="M153" s="9"/>
      <c r="N153" s="9"/>
      <c r="O153" s="9"/>
      <c r="P153" s="9"/>
      <c r="Q153" s="9"/>
      <c r="R153" s="9"/>
      <c r="S153" s="9"/>
      <c r="T153" s="9"/>
      <c r="U153" s="9"/>
      <c r="V153" s="9"/>
      <c r="W153" s="9"/>
      <c r="X153" s="9"/>
      <c r="Y153" s="10"/>
      <c r="Z153" s="9"/>
      <c r="AA153" s="9"/>
      <c r="AB153" s="9"/>
      <c r="AC153" s="9"/>
      <c r="AD153" s="9"/>
      <c r="AE153" s="9"/>
      <c r="AF153" s="9"/>
      <c r="AG153" s="9"/>
      <c r="AH153" s="9"/>
    </row>
    <row r="154" spans="1:34" ht="15" customHeight="1">
      <c r="A154" s="9">
        <f>IF(ROW(A154)=2,1,A153+1)</f>
        <v>152</v>
      </c>
      <c r="B154" s="9"/>
      <c r="C154" s="9"/>
      <c r="D154" s="9"/>
      <c r="E154" s="15"/>
      <c r="F154" s="9"/>
      <c r="G154" s="9"/>
      <c r="H154" s="9"/>
      <c r="I154" s="432"/>
      <c r="J154" s="9"/>
      <c r="K154" s="9"/>
      <c r="L154" s="9"/>
      <c r="M154" s="9"/>
      <c r="N154" s="9"/>
      <c r="O154" s="9"/>
      <c r="P154" s="9"/>
      <c r="Q154" s="9"/>
      <c r="R154" s="9"/>
      <c r="S154" s="9"/>
      <c r="T154" s="9"/>
      <c r="U154" s="9"/>
      <c r="V154" s="9"/>
      <c r="W154" s="9"/>
      <c r="X154" s="9"/>
      <c r="Y154" s="10"/>
      <c r="Z154" s="9"/>
      <c r="AA154" s="9"/>
      <c r="AB154" s="9"/>
      <c r="AC154" s="9"/>
      <c r="AD154" s="9"/>
      <c r="AE154" s="9"/>
      <c r="AF154" s="9"/>
      <c r="AG154" s="9"/>
      <c r="AH154" s="9"/>
    </row>
    <row r="155" spans="1:34" ht="15" customHeight="1">
      <c r="A155" s="9">
        <f>IF(ROW(A155)=2,1,A154+1)</f>
        <v>153</v>
      </c>
      <c r="B155" s="9"/>
      <c r="C155" s="9"/>
      <c r="D155" s="9"/>
      <c r="E155" s="15"/>
      <c r="F155" s="9"/>
      <c r="G155" s="9"/>
      <c r="H155" s="9"/>
      <c r="I155" s="432"/>
      <c r="J155" s="9"/>
      <c r="K155" s="9"/>
      <c r="L155" s="9"/>
      <c r="M155" s="9"/>
      <c r="N155" s="9"/>
      <c r="O155" s="9"/>
      <c r="P155" s="9"/>
      <c r="Q155" s="9"/>
      <c r="R155" s="9"/>
      <c r="S155" s="9"/>
      <c r="T155" s="9"/>
      <c r="U155" s="9"/>
      <c r="V155" s="9"/>
      <c r="W155" s="9"/>
      <c r="X155" s="9"/>
      <c r="Y155" s="10"/>
      <c r="Z155" s="9"/>
      <c r="AA155" s="9"/>
      <c r="AB155" s="9"/>
      <c r="AC155" s="9"/>
      <c r="AD155" s="9"/>
      <c r="AE155" s="9"/>
      <c r="AF155" s="9"/>
      <c r="AG155" s="9"/>
      <c r="AH155" s="9"/>
    </row>
    <row r="156" spans="1:34" ht="15" customHeight="1">
      <c r="A156" s="9">
        <f>IF(ROW(A156)=2,1,A155+1)</f>
        <v>154</v>
      </c>
      <c r="B156" s="9"/>
      <c r="C156" s="9"/>
      <c r="D156" s="9"/>
      <c r="E156" s="15"/>
      <c r="F156" s="9"/>
      <c r="G156" s="9"/>
      <c r="H156" s="9"/>
      <c r="I156" s="432"/>
      <c r="J156" s="9"/>
      <c r="K156" s="9"/>
      <c r="L156" s="9"/>
      <c r="M156" s="9"/>
      <c r="N156" s="9"/>
      <c r="O156" s="9"/>
      <c r="P156" s="9"/>
      <c r="Q156" s="9"/>
      <c r="R156" s="9"/>
      <c r="S156" s="9"/>
      <c r="T156" s="9"/>
      <c r="U156" s="9"/>
      <c r="V156" s="9"/>
      <c r="W156" s="9"/>
      <c r="X156" s="9"/>
      <c r="Y156" s="10"/>
      <c r="Z156" s="9"/>
      <c r="AA156" s="9"/>
      <c r="AB156" s="9"/>
      <c r="AC156" s="9"/>
      <c r="AD156" s="9"/>
      <c r="AE156" s="9"/>
      <c r="AF156" s="9"/>
      <c r="AG156" s="9"/>
      <c r="AH156" s="9"/>
    </row>
    <row r="157" spans="1:34" ht="15" customHeight="1">
      <c r="A157" s="9">
        <f>IF(ROW(A157)=2,1,A156+1)</f>
        <v>155</v>
      </c>
      <c r="B157" s="9"/>
      <c r="C157" s="9"/>
      <c r="D157" s="9"/>
      <c r="E157" s="15"/>
      <c r="F157" s="9"/>
      <c r="G157" s="9"/>
      <c r="H157" s="9"/>
      <c r="I157" s="432"/>
      <c r="J157" s="9"/>
      <c r="K157" s="9"/>
      <c r="L157" s="9"/>
      <c r="M157" s="9"/>
      <c r="N157" s="9"/>
      <c r="O157" s="9"/>
      <c r="P157" s="9"/>
      <c r="Q157" s="9"/>
      <c r="R157" s="9"/>
      <c r="S157" s="9"/>
      <c r="T157" s="9"/>
      <c r="U157" s="9"/>
      <c r="V157" s="9"/>
      <c r="W157" s="9"/>
      <c r="X157" s="9"/>
      <c r="Y157" s="10"/>
      <c r="Z157" s="9"/>
      <c r="AA157" s="9"/>
      <c r="AB157" s="9"/>
      <c r="AC157" s="9"/>
      <c r="AD157" s="9"/>
      <c r="AE157" s="9"/>
      <c r="AF157" s="9"/>
      <c r="AG157" s="9"/>
      <c r="AH157" s="9"/>
    </row>
    <row r="158" spans="1:34" ht="15" customHeight="1">
      <c r="A158" s="9">
        <f>IF(ROW(A158)=2,1,A157+1)</f>
        <v>156</v>
      </c>
      <c r="B158" s="9"/>
      <c r="C158" s="9"/>
      <c r="D158" s="9"/>
      <c r="E158" s="15"/>
      <c r="F158" s="9"/>
      <c r="G158" s="9"/>
      <c r="H158" s="9"/>
      <c r="I158" s="432"/>
      <c r="J158" s="9"/>
      <c r="K158" s="9"/>
      <c r="L158" s="9"/>
      <c r="M158" s="9"/>
      <c r="N158" s="9"/>
      <c r="O158" s="9"/>
      <c r="P158" s="9"/>
      <c r="Q158" s="9"/>
      <c r="R158" s="9"/>
      <c r="S158" s="9"/>
      <c r="T158" s="9"/>
      <c r="U158" s="9"/>
      <c r="V158" s="9"/>
      <c r="W158" s="9"/>
      <c r="X158" s="9"/>
      <c r="Y158" s="10"/>
      <c r="Z158" s="9"/>
      <c r="AA158" s="9"/>
      <c r="AB158" s="9"/>
      <c r="AC158" s="9"/>
      <c r="AD158" s="9"/>
      <c r="AE158" s="9"/>
      <c r="AF158" s="9"/>
      <c r="AG158" s="9"/>
      <c r="AH158" s="9"/>
    </row>
    <row r="159" spans="1:34" ht="15" customHeight="1">
      <c r="A159" s="9">
        <f>IF(ROW(A159)=2,1,A158+1)</f>
        <v>157</v>
      </c>
      <c r="B159" s="9"/>
      <c r="C159" s="9"/>
      <c r="D159" s="9"/>
      <c r="E159" s="15"/>
      <c r="F159" s="9"/>
      <c r="G159" s="9"/>
      <c r="H159" s="9"/>
      <c r="I159" s="432"/>
      <c r="J159" s="9"/>
      <c r="K159" s="9"/>
      <c r="L159" s="9"/>
      <c r="M159" s="9"/>
      <c r="N159" s="9"/>
      <c r="O159" s="9"/>
      <c r="P159" s="9"/>
      <c r="Q159" s="9"/>
      <c r="R159" s="9"/>
      <c r="S159" s="9"/>
      <c r="T159" s="9"/>
      <c r="U159" s="9"/>
      <c r="V159" s="9"/>
      <c r="W159" s="9"/>
      <c r="X159" s="9"/>
      <c r="Y159" s="10"/>
      <c r="Z159" s="9"/>
      <c r="AA159" s="9"/>
      <c r="AB159" s="9"/>
      <c r="AC159" s="9"/>
      <c r="AD159" s="9"/>
      <c r="AE159" s="9"/>
      <c r="AF159" s="9"/>
      <c r="AG159" s="9"/>
      <c r="AH159" s="9"/>
    </row>
    <row r="160" spans="1:34" ht="15" customHeight="1">
      <c r="A160" s="9">
        <f>IF(ROW(A160)=2,1,A159+1)</f>
        <v>158</v>
      </c>
      <c r="B160" s="9"/>
      <c r="C160" s="9"/>
      <c r="D160" s="9"/>
      <c r="E160" s="15"/>
      <c r="F160" s="9"/>
      <c r="G160" s="9"/>
      <c r="H160" s="9"/>
      <c r="I160" s="432"/>
      <c r="J160" s="9"/>
      <c r="K160" s="9"/>
      <c r="L160" s="9"/>
      <c r="M160" s="9"/>
      <c r="N160" s="9"/>
      <c r="O160" s="9"/>
      <c r="P160" s="9"/>
      <c r="Q160" s="9"/>
      <c r="R160" s="9"/>
      <c r="S160" s="9"/>
      <c r="T160" s="9"/>
      <c r="U160" s="9"/>
      <c r="V160" s="9"/>
      <c r="W160" s="9"/>
      <c r="X160" s="9"/>
      <c r="Y160" s="10"/>
      <c r="Z160" s="9"/>
      <c r="AA160" s="9"/>
      <c r="AB160" s="9"/>
      <c r="AC160" s="9"/>
      <c r="AD160" s="9"/>
      <c r="AE160" s="9"/>
      <c r="AF160" s="9"/>
      <c r="AG160" s="9"/>
      <c r="AH160" s="9"/>
    </row>
    <row r="161" spans="1:34" ht="15" customHeight="1">
      <c r="A161" s="9">
        <f>IF(ROW(A161)=2,1,A160+1)</f>
        <v>159</v>
      </c>
      <c r="B161" s="9"/>
      <c r="C161" s="9"/>
      <c r="D161" s="9"/>
      <c r="E161" s="15"/>
      <c r="F161" s="9"/>
      <c r="G161" s="9"/>
      <c r="H161" s="9"/>
      <c r="I161" s="432"/>
      <c r="J161" s="9"/>
      <c r="K161" s="9"/>
      <c r="L161" s="9"/>
      <c r="M161" s="9"/>
      <c r="N161" s="9"/>
      <c r="O161" s="9"/>
      <c r="P161" s="9"/>
      <c r="Q161" s="9"/>
      <c r="R161" s="9"/>
      <c r="S161" s="9"/>
      <c r="T161" s="9"/>
      <c r="U161" s="9"/>
      <c r="V161" s="9"/>
      <c r="W161" s="9"/>
      <c r="X161" s="9"/>
      <c r="Y161" s="10"/>
      <c r="Z161" s="9"/>
      <c r="AA161" s="9"/>
      <c r="AB161" s="9"/>
      <c r="AC161" s="9"/>
      <c r="AD161" s="9"/>
      <c r="AE161" s="9"/>
      <c r="AF161" s="9"/>
      <c r="AG161" s="9"/>
      <c r="AH161" s="9"/>
    </row>
    <row r="162" spans="1:34" ht="15" customHeight="1">
      <c r="A162" s="9">
        <f>IF(ROW(A162)=2,1,A161+1)</f>
        <v>160</v>
      </c>
      <c r="B162" s="9"/>
      <c r="C162" s="9"/>
      <c r="D162" s="9"/>
      <c r="E162" s="15"/>
      <c r="F162" s="9"/>
      <c r="G162" s="9"/>
      <c r="H162" s="9"/>
      <c r="I162" s="432"/>
      <c r="J162" s="9"/>
      <c r="K162" s="9"/>
      <c r="L162" s="9"/>
      <c r="M162" s="9"/>
      <c r="N162" s="9"/>
      <c r="O162" s="9"/>
      <c r="P162" s="9"/>
      <c r="Q162" s="9"/>
      <c r="R162" s="9"/>
      <c r="S162" s="9"/>
      <c r="T162" s="9"/>
      <c r="U162" s="9"/>
      <c r="V162" s="9"/>
      <c r="W162" s="9"/>
      <c r="X162" s="9"/>
      <c r="Y162" s="10"/>
      <c r="Z162" s="9"/>
      <c r="AA162" s="9"/>
      <c r="AB162" s="9"/>
      <c r="AC162" s="9"/>
      <c r="AD162" s="9"/>
      <c r="AE162" s="9"/>
      <c r="AF162" s="9"/>
      <c r="AG162" s="9"/>
      <c r="AH162" s="9"/>
    </row>
    <row r="163" spans="1:34" ht="15" customHeight="1">
      <c r="A163" s="9">
        <f>IF(ROW(A163)=2,1,A162+1)</f>
        <v>161</v>
      </c>
      <c r="B163" s="9"/>
      <c r="C163" s="9"/>
      <c r="D163" s="9"/>
      <c r="E163" s="9"/>
      <c r="F163" s="9"/>
      <c r="G163" s="9"/>
      <c r="H163" s="9"/>
      <c r="I163" s="432"/>
      <c r="J163" s="9"/>
      <c r="K163" s="9"/>
      <c r="L163" s="9"/>
      <c r="M163" s="9"/>
      <c r="N163" s="9"/>
      <c r="O163" s="9"/>
      <c r="P163" s="9"/>
      <c r="Q163" s="9"/>
      <c r="R163" s="9"/>
      <c r="S163" s="9"/>
      <c r="T163" s="9"/>
      <c r="U163" s="9"/>
      <c r="V163" s="9"/>
      <c r="W163" s="9"/>
      <c r="X163" s="9"/>
      <c r="Y163" s="10"/>
      <c r="Z163" s="9"/>
      <c r="AA163" s="9"/>
      <c r="AB163" s="9"/>
      <c r="AC163" s="9"/>
      <c r="AD163" s="9"/>
      <c r="AE163" s="9"/>
      <c r="AF163" s="9"/>
      <c r="AG163" s="9"/>
      <c r="AH163" s="9"/>
    </row>
    <row r="164" spans="1:34" ht="15" customHeight="1">
      <c r="A164" s="9">
        <f>IF(ROW(A164)=2,1,A163+1)</f>
        <v>162</v>
      </c>
      <c r="B164" s="9"/>
      <c r="C164" s="9"/>
      <c r="D164" s="9"/>
      <c r="E164" s="9"/>
      <c r="F164" s="9"/>
      <c r="G164" s="9"/>
      <c r="H164" s="9"/>
      <c r="I164" s="432"/>
      <c r="J164" s="9"/>
      <c r="K164" s="9"/>
      <c r="L164" s="9"/>
      <c r="M164" s="9"/>
      <c r="N164" s="9"/>
      <c r="O164" s="9"/>
      <c r="P164" s="9"/>
      <c r="Q164" s="9"/>
      <c r="R164" s="9"/>
      <c r="S164" s="9"/>
      <c r="T164" s="9"/>
      <c r="U164" s="9"/>
      <c r="V164" s="9"/>
      <c r="W164" s="9"/>
      <c r="X164" s="9"/>
      <c r="Y164" s="10"/>
      <c r="Z164" s="9"/>
      <c r="AA164" s="9"/>
      <c r="AB164" s="9"/>
      <c r="AC164" s="9"/>
      <c r="AD164" s="9"/>
      <c r="AE164" s="9"/>
      <c r="AF164" s="9"/>
      <c r="AG164" s="9"/>
      <c r="AH164" s="9"/>
    </row>
    <row r="165" spans="1:34" ht="15" customHeight="1">
      <c r="A165" s="9">
        <f>IF(ROW(A165)=2,1,A164+1)</f>
        <v>163</v>
      </c>
      <c r="B165" s="9"/>
      <c r="C165" s="9"/>
      <c r="D165" s="9"/>
      <c r="E165" s="9"/>
      <c r="F165" s="9"/>
      <c r="G165" s="9"/>
      <c r="H165" s="9"/>
      <c r="I165" s="432"/>
      <c r="J165" s="9"/>
      <c r="K165" s="9"/>
      <c r="L165" s="9"/>
      <c r="M165" s="9"/>
      <c r="N165" s="9"/>
      <c r="O165" s="9"/>
      <c r="P165" s="9"/>
      <c r="Q165" s="9"/>
      <c r="R165" s="9"/>
      <c r="S165" s="9"/>
      <c r="T165" s="9"/>
      <c r="U165" s="9"/>
      <c r="V165" s="9"/>
      <c r="W165" s="9"/>
      <c r="X165" s="9"/>
      <c r="Y165" s="10"/>
      <c r="Z165" s="9"/>
      <c r="AA165" s="9"/>
      <c r="AB165" s="9"/>
      <c r="AC165" s="9"/>
      <c r="AD165" s="9"/>
      <c r="AE165" s="9"/>
      <c r="AF165" s="9"/>
      <c r="AG165" s="9"/>
      <c r="AH165" s="9"/>
    </row>
    <row r="166" spans="1:34" ht="15" customHeight="1">
      <c r="A166" s="9">
        <f>IF(ROW(A166)=2,1,A165+1)</f>
        <v>164</v>
      </c>
      <c r="B166" s="9"/>
      <c r="C166" s="9"/>
      <c r="D166" s="9"/>
      <c r="E166" s="9"/>
      <c r="F166" s="9"/>
      <c r="G166" s="9"/>
      <c r="H166" s="9"/>
      <c r="I166" s="432"/>
      <c r="J166" s="9"/>
      <c r="K166" s="9"/>
      <c r="L166" s="9"/>
      <c r="M166" s="9"/>
      <c r="N166" s="9"/>
      <c r="O166" s="9"/>
      <c r="P166" s="9"/>
      <c r="Q166" s="9"/>
      <c r="R166" s="9"/>
      <c r="S166" s="9"/>
      <c r="T166" s="9"/>
      <c r="U166" s="9"/>
      <c r="V166" s="9"/>
      <c r="W166" s="9"/>
      <c r="X166" s="9"/>
      <c r="Y166" s="10"/>
      <c r="Z166" s="9"/>
      <c r="AA166" s="9"/>
      <c r="AB166" s="9"/>
      <c r="AC166" s="9"/>
      <c r="AD166" s="9"/>
      <c r="AE166" s="9"/>
      <c r="AF166" s="9"/>
      <c r="AG166" s="9"/>
      <c r="AH166" s="9"/>
    </row>
    <row r="167" spans="1:34" ht="15" customHeight="1">
      <c r="A167" s="9">
        <f>IF(ROW(A167)=2,1,A166+1)</f>
        <v>165</v>
      </c>
      <c r="B167" s="9"/>
      <c r="C167" s="9"/>
      <c r="D167" s="9"/>
      <c r="E167" s="9"/>
      <c r="F167" s="9"/>
      <c r="G167" s="9"/>
      <c r="H167" s="9"/>
      <c r="I167" s="432"/>
      <c r="J167" s="9"/>
      <c r="K167" s="9"/>
      <c r="L167" s="9"/>
      <c r="M167" s="9"/>
      <c r="N167" s="9"/>
      <c r="O167" s="9"/>
      <c r="P167" s="9"/>
      <c r="Q167" s="9"/>
      <c r="R167" s="9"/>
      <c r="S167" s="9"/>
      <c r="T167" s="9"/>
      <c r="U167" s="9"/>
      <c r="V167" s="9"/>
      <c r="W167" s="9"/>
      <c r="X167" s="9"/>
      <c r="Y167" s="10"/>
      <c r="Z167" s="9"/>
      <c r="AA167" s="9"/>
      <c r="AB167" s="9"/>
      <c r="AC167" s="9"/>
      <c r="AD167" s="9"/>
      <c r="AE167" s="9"/>
      <c r="AF167" s="9"/>
      <c r="AG167" s="9"/>
      <c r="AH167" s="9"/>
    </row>
    <row r="168" spans="1:34" ht="15" customHeight="1">
      <c r="A168" s="9">
        <f>IF(ROW(A168)=2,1,A167+1)</f>
        <v>166</v>
      </c>
      <c r="B168" s="9"/>
      <c r="C168" s="9"/>
      <c r="D168" s="9"/>
      <c r="E168" s="9"/>
      <c r="F168" s="9"/>
      <c r="G168" s="9"/>
      <c r="H168" s="9"/>
      <c r="I168" s="432"/>
      <c r="J168" s="9"/>
      <c r="K168" s="9"/>
      <c r="L168" s="9"/>
      <c r="M168" s="9"/>
      <c r="N168" s="9"/>
      <c r="O168" s="9"/>
      <c r="P168" s="9"/>
      <c r="Q168" s="9"/>
      <c r="R168" s="9"/>
      <c r="S168" s="9"/>
      <c r="T168" s="9"/>
      <c r="U168" s="9"/>
      <c r="V168" s="9"/>
      <c r="W168" s="9"/>
      <c r="X168" s="9"/>
      <c r="Y168" s="10"/>
      <c r="Z168" s="9"/>
      <c r="AA168" s="9"/>
      <c r="AB168" s="9"/>
      <c r="AC168" s="9"/>
      <c r="AD168" s="9"/>
      <c r="AE168" s="9"/>
      <c r="AF168" s="9"/>
      <c r="AG168" s="9"/>
      <c r="AH168" s="9"/>
    </row>
    <row r="169" spans="1:34" ht="15" customHeight="1">
      <c r="A169" s="9">
        <f>IF(ROW(A169)=2,1,A168+1)</f>
        <v>167</v>
      </c>
      <c r="B169" s="9"/>
      <c r="C169" s="9"/>
      <c r="D169" s="9"/>
      <c r="E169" s="9"/>
      <c r="F169" s="9"/>
      <c r="G169" s="9"/>
      <c r="H169" s="9"/>
      <c r="I169" s="432"/>
      <c r="J169" s="9"/>
      <c r="K169" s="9"/>
      <c r="L169" s="9"/>
      <c r="M169" s="9"/>
      <c r="N169" s="9"/>
      <c r="O169" s="9"/>
      <c r="P169" s="9"/>
      <c r="Q169" s="9"/>
      <c r="R169" s="9"/>
      <c r="S169" s="9"/>
      <c r="T169" s="9"/>
      <c r="U169" s="9"/>
      <c r="V169" s="9"/>
      <c r="W169" s="9"/>
      <c r="X169" s="9"/>
      <c r="Y169" s="10"/>
      <c r="Z169" s="9"/>
      <c r="AA169" s="9"/>
      <c r="AB169" s="9"/>
      <c r="AC169" s="9"/>
      <c r="AD169" s="9"/>
      <c r="AE169" s="9"/>
      <c r="AF169" s="9"/>
      <c r="AG169" s="9"/>
      <c r="AH169" s="9"/>
    </row>
    <row r="170" spans="1:34" ht="15" customHeight="1">
      <c r="A170" s="9">
        <f>IF(ROW(A170)=2,1,A169+1)</f>
        <v>168</v>
      </c>
      <c r="B170" s="9"/>
      <c r="C170" s="9"/>
      <c r="D170" s="9"/>
      <c r="E170" s="9"/>
      <c r="F170" s="9"/>
      <c r="G170" s="9"/>
      <c r="H170" s="9"/>
      <c r="I170" s="432"/>
      <c r="J170" s="9"/>
      <c r="K170" s="9"/>
      <c r="L170" s="9"/>
      <c r="M170" s="9"/>
      <c r="N170" s="9"/>
      <c r="O170" s="9"/>
      <c r="P170" s="9"/>
      <c r="Q170" s="9"/>
      <c r="R170" s="9"/>
      <c r="S170" s="9"/>
      <c r="T170" s="9"/>
      <c r="U170" s="9"/>
      <c r="V170" s="9"/>
      <c r="W170" s="9"/>
      <c r="X170" s="9"/>
      <c r="Y170" s="10"/>
      <c r="Z170" s="9"/>
      <c r="AA170" s="9"/>
      <c r="AB170" s="9"/>
      <c r="AC170" s="9"/>
      <c r="AD170" s="9"/>
      <c r="AE170" s="9"/>
      <c r="AF170" s="9"/>
      <c r="AG170" s="9"/>
      <c r="AH170" s="9"/>
    </row>
    <row r="171" spans="1:34" ht="15" customHeight="1">
      <c r="A171" s="9">
        <f>IF(ROW(A171)=2,1,A170+1)</f>
        <v>169</v>
      </c>
      <c r="B171" s="9"/>
      <c r="C171" s="9"/>
      <c r="D171" s="9"/>
      <c r="E171" s="15"/>
      <c r="F171" s="9"/>
      <c r="G171" s="9"/>
      <c r="H171" s="9"/>
      <c r="I171" s="428"/>
      <c r="J171" s="9"/>
      <c r="K171" s="9"/>
      <c r="L171" s="9"/>
      <c r="M171" s="9"/>
      <c r="N171" s="9"/>
      <c r="O171" s="9"/>
      <c r="P171" s="9"/>
      <c r="Q171" s="9"/>
      <c r="R171" s="9"/>
      <c r="S171" s="9"/>
      <c r="T171" s="9"/>
      <c r="U171" s="9"/>
      <c r="V171" s="9"/>
      <c r="W171" s="9"/>
      <c r="X171" s="9"/>
      <c r="Y171" s="10"/>
      <c r="Z171" s="9"/>
      <c r="AA171" s="9"/>
      <c r="AB171" s="9"/>
      <c r="AC171" s="9"/>
      <c r="AD171" s="9"/>
      <c r="AE171" s="9"/>
      <c r="AF171" s="9"/>
      <c r="AG171" s="9"/>
      <c r="AH171" s="9"/>
    </row>
    <row r="172" spans="1:34" ht="15" customHeight="1">
      <c r="A172" s="9">
        <f>IF(ROW(A172)=2,1,A171+1)</f>
        <v>170</v>
      </c>
      <c r="B172" s="9"/>
      <c r="C172" s="9"/>
      <c r="D172" s="9"/>
      <c r="E172" s="15"/>
      <c r="F172" s="9"/>
      <c r="G172" s="9"/>
      <c r="H172" s="9"/>
      <c r="I172" s="428"/>
      <c r="J172" s="9"/>
      <c r="K172" s="9"/>
      <c r="L172" s="9"/>
      <c r="M172" s="9"/>
      <c r="N172" s="9"/>
      <c r="O172" s="9"/>
      <c r="P172" s="9"/>
      <c r="Q172" s="9"/>
      <c r="R172" s="9"/>
      <c r="S172" s="9"/>
      <c r="T172" s="9"/>
      <c r="U172" s="9"/>
      <c r="V172" s="9"/>
      <c r="W172" s="9"/>
      <c r="X172" s="9"/>
      <c r="Y172" s="10"/>
      <c r="Z172" s="9"/>
      <c r="AA172" s="9"/>
      <c r="AB172" s="9"/>
      <c r="AC172" s="9"/>
      <c r="AD172" s="9"/>
      <c r="AE172" s="9"/>
      <c r="AF172" s="9"/>
      <c r="AG172" s="9"/>
      <c r="AH172" s="9"/>
    </row>
    <row r="173" spans="1:34" ht="15" customHeight="1">
      <c r="A173" s="9">
        <f>IF(ROW(A173)=2,1,A172+1)</f>
        <v>171</v>
      </c>
      <c r="B173" s="9"/>
      <c r="C173" s="9"/>
      <c r="D173" s="9"/>
      <c r="E173" s="9"/>
      <c r="F173" s="9"/>
      <c r="G173" s="9"/>
      <c r="H173" s="9"/>
      <c r="I173" s="432"/>
      <c r="J173" s="9"/>
      <c r="K173" s="9"/>
      <c r="L173" s="9"/>
      <c r="M173" s="9"/>
      <c r="N173" s="9"/>
      <c r="O173" s="9"/>
      <c r="P173" s="9"/>
      <c r="Q173" s="9"/>
      <c r="R173" s="9"/>
      <c r="S173" s="9"/>
      <c r="T173" s="9"/>
      <c r="U173" s="9"/>
      <c r="V173" s="9"/>
      <c r="W173" s="9"/>
      <c r="X173" s="9"/>
      <c r="Y173" s="10"/>
      <c r="Z173" s="9"/>
      <c r="AA173" s="9"/>
      <c r="AB173" s="9"/>
      <c r="AC173" s="9"/>
      <c r="AD173" s="9"/>
      <c r="AE173" s="9"/>
      <c r="AF173" s="9"/>
      <c r="AG173" s="9"/>
      <c r="AH173" s="9"/>
    </row>
    <row r="174" spans="1:34" ht="15" customHeight="1">
      <c r="A174" s="9">
        <f>IF(ROW(A174)=2,1,A173+1)</f>
        <v>172</v>
      </c>
      <c r="B174" s="9"/>
      <c r="C174" s="9"/>
      <c r="D174" s="9"/>
      <c r="E174" s="9"/>
      <c r="F174" s="9"/>
      <c r="G174" s="9"/>
      <c r="H174" s="9"/>
      <c r="I174" s="432"/>
      <c r="J174" s="9"/>
      <c r="K174" s="9"/>
      <c r="L174" s="9"/>
      <c r="M174" s="9"/>
      <c r="N174" s="9"/>
      <c r="O174" s="9"/>
      <c r="P174" s="9"/>
      <c r="Q174" s="9"/>
      <c r="R174" s="9"/>
      <c r="S174" s="9"/>
      <c r="T174" s="9"/>
      <c r="U174" s="9"/>
      <c r="V174" s="9"/>
      <c r="W174" s="9"/>
      <c r="X174" s="9"/>
      <c r="Y174" s="10"/>
      <c r="Z174" s="9"/>
      <c r="AA174" s="9"/>
      <c r="AB174" s="9"/>
      <c r="AC174" s="9"/>
      <c r="AD174" s="9"/>
      <c r="AE174" s="9"/>
      <c r="AF174" s="9"/>
      <c r="AG174" s="9"/>
      <c r="AH174" s="9"/>
    </row>
    <row r="175" spans="1:34" ht="15" customHeight="1">
      <c r="A175" s="9">
        <f>IF(ROW(A175)=2,1,A174+1)</f>
        <v>173</v>
      </c>
      <c r="B175" s="9"/>
      <c r="C175" s="9"/>
      <c r="D175" s="9"/>
      <c r="E175" s="9"/>
      <c r="F175" s="9"/>
      <c r="G175" s="9"/>
      <c r="H175" s="9"/>
      <c r="I175" s="432"/>
      <c r="J175" s="9"/>
      <c r="K175" s="9"/>
      <c r="L175" s="9"/>
      <c r="M175" s="9"/>
      <c r="N175" s="9"/>
      <c r="O175" s="9"/>
      <c r="P175" s="9"/>
      <c r="Q175" s="9"/>
      <c r="R175" s="9"/>
      <c r="S175" s="9"/>
      <c r="T175" s="9"/>
      <c r="U175" s="9"/>
      <c r="V175" s="9"/>
      <c r="W175" s="9"/>
      <c r="X175" s="9"/>
      <c r="Y175" s="10"/>
      <c r="Z175" s="9"/>
      <c r="AA175" s="9"/>
      <c r="AB175" s="9"/>
      <c r="AC175" s="9"/>
      <c r="AD175" s="9"/>
      <c r="AE175" s="9"/>
      <c r="AF175" s="9"/>
      <c r="AG175" s="9"/>
      <c r="AH175" s="9"/>
    </row>
    <row r="176" spans="1:34" ht="15" customHeight="1">
      <c r="A176" s="9">
        <f>IF(ROW(A176)=2,1,A175+1)</f>
        <v>174</v>
      </c>
      <c r="B176" s="9"/>
      <c r="C176" s="9"/>
      <c r="D176" s="9"/>
      <c r="E176" s="9"/>
      <c r="F176" s="9"/>
      <c r="G176" s="9"/>
      <c r="H176" s="9"/>
      <c r="I176" s="432"/>
      <c r="J176" s="9"/>
      <c r="K176" s="9"/>
      <c r="L176" s="9"/>
      <c r="M176" s="9"/>
      <c r="N176" s="9"/>
      <c r="O176" s="9"/>
      <c r="P176" s="9"/>
      <c r="Q176" s="9"/>
      <c r="R176" s="9"/>
      <c r="S176" s="9"/>
      <c r="T176" s="9"/>
      <c r="U176" s="9"/>
      <c r="V176" s="9"/>
      <c r="W176" s="9"/>
      <c r="X176" s="9"/>
      <c r="Y176" s="10"/>
      <c r="Z176" s="9"/>
      <c r="AA176" s="9"/>
      <c r="AB176" s="9"/>
      <c r="AC176" s="9"/>
      <c r="AD176" s="9"/>
      <c r="AE176" s="9"/>
      <c r="AF176" s="9"/>
      <c r="AG176" s="9"/>
      <c r="AH176" s="9"/>
    </row>
    <row r="177" spans="1:34" ht="15" customHeight="1">
      <c r="A177" s="9">
        <f>IF(ROW(A177)=2,1,A176+1)</f>
        <v>175</v>
      </c>
      <c r="B177" s="9"/>
      <c r="C177" s="9"/>
      <c r="D177" s="9"/>
      <c r="E177" s="9"/>
      <c r="F177" s="9"/>
      <c r="G177" s="9"/>
      <c r="H177" s="9"/>
      <c r="I177" s="432"/>
      <c r="J177" s="9"/>
      <c r="K177" s="9"/>
      <c r="L177" s="9"/>
      <c r="M177" s="9"/>
      <c r="N177" s="9"/>
      <c r="O177" s="9"/>
      <c r="P177" s="9"/>
      <c r="Q177" s="9"/>
      <c r="R177" s="9"/>
      <c r="S177" s="9"/>
      <c r="T177" s="9"/>
      <c r="U177" s="9"/>
      <c r="V177" s="9"/>
      <c r="W177" s="9"/>
      <c r="X177" s="9"/>
      <c r="Y177" s="10"/>
      <c r="Z177" s="9"/>
      <c r="AA177" s="9"/>
      <c r="AB177" s="9"/>
      <c r="AC177" s="9"/>
      <c r="AD177" s="9"/>
      <c r="AE177" s="9"/>
      <c r="AF177" s="9"/>
      <c r="AG177" s="9"/>
      <c r="AH177" s="9"/>
    </row>
    <row r="178" spans="1:34" ht="15" customHeight="1">
      <c r="A178" s="9">
        <f>IF(ROW(A178)=2,1,A177+1)</f>
        <v>176</v>
      </c>
      <c r="B178" s="9"/>
      <c r="C178" s="9"/>
      <c r="D178" s="9"/>
      <c r="E178" s="9"/>
      <c r="F178" s="9"/>
      <c r="G178" s="9"/>
      <c r="H178" s="9"/>
      <c r="I178" s="432"/>
      <c r="J178" s="9"/>
      <c r="K178" s="9"/>
      <c r="L178" s="9"/>
      <c r="M178" s="9"/>
      <c r="N178" s="9"/>
      <c r="O178" s="9"/>
      <c r="P178" s="9"/>
      <c r="Q178" s="9"/>
      <c r="R178" s="9"/>
      <c r="S178" s="9"/>
      <c r="T178" s="9"/>
      <c r="U178" s="9"/>
      <c r="V178" s="9"/>
      <c r="W178" s="9"/>
      <c r="X178" s="9"/>
      <c r="Y178" s="10"/>
      <c r="Z178" s="9"/>
      <c r="AA178" s="9"/>
      <c r="AB178" s="9"/>
      <c r="AC178" s="9"/>
      <c r="AD178" s="9"/>
      <c r="AE178" s="9"/>
      <c r="AF178" s="9"/>
      <c r="AG178" s="9"/>
      <c r="AH178" s="9"/>
    </row>
    <row r="179" spans="1:34" ht="15" customHeight="1">
      <c r="A179" s="9">
        <f>IF(ROW(A179)=2,1,A178+1)</f>
        <v>177</v>
      </c>
      <c r="B179" s="9"/>
      <c r="C179" s="9"/>
      <c r="D179" s="9"/>
      <c r="E179" s="9"/>
      <c r="F179" s="9"/>
      <c r="G179" s="9"/>
      <c r="H179" s="9"/>
      <c r="I179" s="432"/>
      <c r="J179" s="9"/>
      <c r="K179" s="9"/>
      <c r="L179" s="9"/>
      <c r="M179" s="9"/>
      <c r="N179" s="9"/>
      <c r="O179" s="9"/>
      <c r="P179" s="9"/>
      <c r="Q179" s="9"/>
      <c r="R179" s="9"/>
      <c r="S179" s="9"/>
      <c r="T179" s="9"/>
      <c r="U179" s="9"/>
      <c r="V179" s="9"/>
      <c r="W179" s="9"/>
      <c r="X179" s="9"/>
      <c r="Y179" s="10"/>
      <c r="Z179" s="9"/>
      <c r="AA179" s="9"/>
      <c r="AB179" s="9"/>
      <c r="AC179" s="9"/>
      <c r="AD179" s="9"/>
      <c r="AE179" s="9"/>
      <c r="AF179" s="9"/>
      <c r="AG179" s="9"/>
      <c r="AH179" s="9"/>
    </row>
    <row r="180" spans="1:34" ht="15" customHeight="1">
      <c r="A180" s="9">
        <f>IF(ROW(A180)=2,1,A179+1)</f>
        <v>178</v>
      </c>
      <c r="B180" s="9"/>
      <c r="C180" s="9"/>
      <c r="D180" s="9"/>
      <c r="E180" s="9"/>
      <c r="F180" s="9"/>
      <c r="G180" s="9"/>
      <c r="H180" s="9"/>
      <c r="I180" s="432"/>
      <c r="J180" s="9"/>
      <c r="K180" s="9"/>
      <c r="L180" s="9"/>
      <c r="M180" s="9"/>
      <c r="N180" s="9"/>
      <c r="O180" s="9"/>
      <c r="P180" s="9"/>
      <c r="Q180" s="9"/>
      <c r="R180" s="9"/>
      <c r="S180" s="9"/>
      <c r="T180" s="9"/>
      <c r="U180" s="9"/>
      <c r="V180" s="9"/>
      <c r="W180" s="9"/>
      <c r="X180" s="9"/>
      <c r="Y180" s="10"/>
      <c r="Z180" s="9"/>
      <c r="AA180" s="9"/>
      <c r="AB180" s="9"/>
      <c r="AC180" s="9"/>
      <c r="AD180" s="9"/>
      <c r="AE180" s="9"/>
      <c r="AF180" s="9"/>
      <c r="AG180" s="9"/>
      <c r="AH180" s="9"/>
    </row>
    <row r="181" spans="1:34" ht="15" customHeight="1">
      <c r="A181" s="9">
        <f>IF(ROW(A181)=2,1,A180+1)</f>
        <v>179</v>
      </c>
      <c r="B181" s="9"/>
      <c r="C181" s="9"/>
      <c r="D181" s="9"/>
      <c r="E181" s="9"/>
      <c r="F181" s="9"/>
      <c r="G181" s="9"/>
      <c r="H181" s="9"/>
      <c r="I181" s="432"/>
      <c r="J181" s="9"/>
      <c r="K181" s="9"/>
      <c r="L181" s="9"/>
      <c r="M181" s="9"/>
      <c r="N181" s="9"/>
      <c r="O181" s="9"/>
      <c r="P181" s="9"/>
      <c r="Q181" s="9"/>
      <c r="R181" s="9"/>
      <c r="S181" s="9"/>
      <c r="T181" s="9"/>
      <c r="U181" s="9"/>
      <c r="V181" s="9"/>
      <c r="W181" s="9"/>
      <c r="X181" s="9"/>
      <c r="Y181" s="10"/>
      <c r="Z181" s="9"/>
      <c r="AA181" s="9"/>
      <c r="AB181" s="9"/>
      <c r="AC181" s="9"/>
      <c r="AD181" s="9"/>
      <c r="AE181" s="9"/>
      <c r="AF181" s="9"/>
      <c r="AG181" s="9"/>
      <c r="AH181" s="9"/>
    </row>
  </sheetData>
  <conditionalFormatting sqref="I1:I1048576">
    <cfRule type="duplicateValues" dxfId="11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40C1D-F920-4296-B9F3-9482CA460FF3}">
  <dimension ref="A1:I64"/>
  <sheetViews>
    <sheetView workbookViewId="0"/>
  </sheetViews>
  <sheetFormatPr defaultColWidth="8.85546875" defaultRowHeight="15"/>
  <cols>
    <col min="1" max="1" width="15" customWidth="1"/>
    <col min="2" max="2" width="15.140625" customWidth="1"/>
    <col min="3" max="3" width="16.140625" customWidth="1"/>
    <col min="4" max="4" width="20.85546875" customWidth="1"/>
    <col min="5" max="5" width="20.42578125" customWidth="1"/>
    <col min="6" max="6" width="16.28515625" customWidth="1"/>
    <col min="7" max="8" width="11.42578125" bestFit="1" customWidth="1"/>
    <col min="9" max="9" width="17.42578125" bestFit="1" customWidth="1"/>
  </cols>
  <sheetData>
    <row r="1" spans="1:9">
      <c r="A1" t="s">
        <v>90</v>
      </c>
      <c r="B1" s="5" t="s">
        <v>91</v>
      </c>
      <c r="C1" s="5" t="s">
        <v>92</v>
      </c>
      <c r="D1" t="s">
        <v>93</v>
      </c>
      <c r="E1" s="6" t="s">
        <v>94</v>
      </c>
      <c r="F1" s="6" t="s">
        <v>95</v>
      </c>
      <c r="G1" s="6" t="s">
        <v>96</v>
      </c>
      <c r="H1" s="5" t="s">
        <v>97</v>
      </c>
      <c r="I1" s="5" t="s">
        <v>98</v>
      </c>
    </row>
    <row r="2" spans="1:9">
      <c r="A2" t="e">
        <f>#REF!</f>
        <v>#REF!</v>
      </c>
      <c r="B2" s="5" t="e">
        <f>#REF!</f>
        <v>#REF!</v>
      </c>
      <c r="C2" s="3" t="e">
        <f>#REF!</f>
        <v>#REF!</v>
      </c>
      <c r="D2" t="e">
        <f>#REF!</f>
        <v>#REF!</v>
      </c>
      <c r="E2" s="6"/>
      <c r="F2" s="6" t="e">
        <f>#REF!</f>
        <v>#REF!</v>
      </c>
      <c r="G2" s="6"/>
      <c r="H2" s="5"/>
      <c r="I2" s="5"/>
    </row>
    <row r="3" spans="1:9">
      <c r="A3" t="e">
        <f>#REF!</f>
        <v>#REF!</v>
      </c>
      <c r="B3" s="5" t="e">
        <f>#REF!</f>
        <v>#REF!</v>
      </c>
      <c r="C3" s="3" t="e">
        <f>#REF!</f>
        <v>#REF!</v>
      </c>
      <c r="D3" t="e">
        <f>#REF!</f>
        <v>#REF!</v>
      </c>
      <c r="E3" s="6"/>
      <c r="F3" s="6" t="e">
        <f>#REF!</f>
        <v>#REF!</v>
      </c>
      <c r="G3" s="6"/>
      <c r="H3" s="5"/>
      <c r="I3" s="5"/>
    </row>
    <row r="4" spans="1:9">
      <c r="A4" t="e">
        <f>#REF!</f>
        <v>#REF!</v>
      </c>
      <c r="B4" s="5" t="e">
        <f>#REF!</f>
        <v>#REF!</v>
      </c>
      <c r="C4" s="3" t="e">
        <f>#REF!</f>
        <v>#REF!</v>
      </c>
      <c r="D4" t="e">
        <f>#REF!</f>
        <v>#REF!</v>
      </c>
      <c r="E4" s="6"/>
      <c r="F4" s="6" t="e">
        <f>#REF!</f>
        <v>#REF!</v>
      </c>
      <c r="G4" s="6"/>
      <c r="H4" s="5"/>
      <c r="I4" s="5"/>
    </row>
    <row r="5" spans="1:9">
      <c r="A5" t="e">
        <f>#REF!</f>
        <v>#REF!</v>
      </c>
      <c r="B5" s="5" t="e">
        <f>#REF!</f>
        <v>#REF!</v>
      </c>
      <c r="C5" s="3" t="e">
        <f>#REF!</f>
        <v>#REF!</v>
      </c>
      <c r="D5" t="e">
        <f>#REF!</f>
        <v>#REF!</v>
      </c>
      <c r="E5" s="6"/>
      <c r="F5" s="6" t="e">
        <f>#REF!</f>
        <v>#REF!</v>
      </c>
      <c r="G5" s="6"/>
      <c r="H5" s="5"/>
      <c r="I5" s="5"/>
    </row>
    <row r="6" spans="1:9">
      <c r="A6" t="e">
        <f>#REF!</f>
        <v>#REF!</v>
      </c>
      <c r="B6" s="5" t="e">
        <f>#REF!</f>
        <v>#REF!</v>
      </c>
      <c r="C6" s="3" t="e">
        <f>#REF!</f>
        <v>#REF!</v>
      </c>
      <c r="D6" t="e">
        <f>#REF!</f>
        <v>#REF!</v>
      </c>
      <c r="E6" s="6"/>
      <c r="F6" s="6" t="e">
        <f>#REF!</f>
        <v>#REF!</v>
      </c>
      <c r="G6" s="6"/>
      <c r="H6" s="5"/>
      <c r="I6" s="5"/>
    </row>
    <row r="7" spans="1:9">
      <c r="A7" t="e">
        <f>#REF!</f>
        <v>#REF!</v>
      </c>
      <c r="B7" s="5" t="e">
        <f>#REF!</f>
        <v>#REF!</v>
      </c>
      <c r="C7" s="3" t="e">
        <f>#REF!</f>
        <v>#REF!</v>
      </c>
      <c r="D7" t="e">
        <f>#REF!</f>
        <v>#REF!</v>
      </c>
      <c r="E7" s="6"/>
      <c r="F7" s="6" t="e">
        <f>#REF!</f>
        <v>#REF!</v>
      </c>
      <c r="G7" s="6"/>
      <c r="H7" s="5"/>
      <c r="I7" s="5"/>
    </row>
    <row r="8" spans="1:9">
      <c r="A8" t="e">
        <f>#REF!</f>
        <v>#REF!</v>
      </c>
      <c r="B8" s="5" t="e">
        <f>#REF!</f>
        <v>#REF!</v>
      </c>
      <c r="C8" s="3" t="e">
        <f>#REF!</f>
        <v>#REF!</v>
      </c>
      <c r="D8" t="e">
        <f>#REF!</f>
        <v>#REF!</v>
      </c>
      <c r="E8" s="6"/>
      <c r="F8" s="6" t="e">
        <f>#REF!</f>
        <v>#REF!</v>
      </c>
      <c r="G8" s="6"/>
      <c r="H8" s="5"/>
      <c r="I8" s="5"/>
    </row>
    <row r="9" spans="1:9">
      <c r="A9" t="e">
        <f>#REF!</f>
        <v>#REF!</v>
      </c>
      <c r="B9" s="5" t="e">
        <f>#REF!</f>
        <v>#REF!</v>
      </c>
      <c r="C9" s="3" t="e">
        <f>#REF!</f>
        <v>#REF!</v>
      </c>
      <c r="D9" t="e">
        <f>#REF!</f>
        <v>#REF!</v>
      </c>
      <c r="E9" s="6"/>
      <c r="F9" s="6" t="e">
        <f>#REF!</f>
        <v>#REF!</v>
      </c>
      <c r="G9" s="6"/>
      <c r="H9" s="5"/>
      <c r="I9" s="5"/>
    </row>
    <row r="10" spans="1:9">
      <c r="A10" t="e">
        <f>#REF!</f>
        <v>#REF!</v>
      </c>
      <c r="B10" s="5" t="e">
        <f>#REF!</f>
        <v>#REF!</v>
      </c>
      <c r="C10" s="3" t="e">
        <f>#REF!</f>
        <v>#REF!</v>
      </c>
      <c r="D10" t="e">
        <f>#REF!</f>
        <v>#REF!</v>
      </c>
      <c r="E10" s="6"/>
      <c r="F10" s="6" t="e">
        <f>#REF!</f>
        <v>#REF!</v>
      </c>
      <c r="G10" s="6"/>
      <c r="H10" s="5"/>
      <c r="I10" s="5"/>
    </row>
    <row r="11" spans="1:9">
      <c r="A11" t="e">
        <f>#REF!</f>
        <v>#REF!</v>
      </c>
      <c r="B11" s="5" t="e">
        <f>#REF!</f>
        <v>#REF!</v>
      </c>
      <c r="C11" s="3" t="e">
        <f>#REF!</f>
        <v>#REF!</v>
      </c>
      <c r="D11" t="e">
        <f>#REF!</f>
        <v>#REF!</v>
      </c>
      <c r="E11" s="6"/>
      <c r="F11" s="6" t="e">
        <f>#REF!</f>
        <v>#REF!</v>
      </c>
      <c r="G11" s="6"/>
      <c r="H11" s="5"/>
      <c r="I11" s="5"/>
    </row>
    <row r="12" spans="1:9">
      <c r="A12" t="e">
        <f>#REF!</f>
        <v>#REF!</v>
      </c>
      <c r="B12" s="5" t="e">
        <f>#REF!</f>
        <v>#REF!</v>
      </c>
      <c r="C12" s="3" t="e">
        <f>#REF!</f>
        <v>#REF!</v>
      </c>
      <c r="D12" t="e">
        <f>#REF!</f>
        <v>#REF!</v>
      </c>
      <c r="E12" s="6"/>
      <c r="F12" s="6" t="e">
        <f>#REF!</f>
        <v>#REF!</v>
      </c>
      <c r="G12" s="6"/>
      <c r="H12" s="5"/>
      <c r="I12" s="5"/>
    </row>
    <row r="13" spans="1:9">
      <c r="A13" t="e">
        <f>#REF!</f>
        <v>#REF!</v>
      </c>
      <c r="B13" s="5" t="e">
        <f>#REF!</f>
        <v>#REF!</v>
      </c>
      <c r="C13" s="3" t="e">
        <f>#REF!</f>
        <v>#REF!</v>
      </c>
      <c r="D13" t="e">
        <f>#REF!</f>
        <v>#REF!</v>
      </c>
      <c r="E13" s="6"/>
      <c r="F13" s="6" t="e">
        <f>#REF!</f>
        <v>#REF!</v>
      </c>
      <c r="G13" s="6"/>
      <c r="H13" s="5"/>
      <c r="I13" s="5"/>
    </row>
    <row r="14" spans="1:9">
      <c r="A14" t="e">
        <f>#REF!</f>
        <v>#REF!</v>
      </c>
      <c r="B14" s="5" t="e">
        <f>#REF!</f>
        <v>#REF!</v>
      </c>
      <c r="C14" s="3" t="e">
        <f>#REF!</f>
        <v>#REF!</v>
      </c>
      <c r="D14" t="e">
        <f>#REF!</f>
        <v>#REF!</v>
      </c>
      <c r="E14" s="6"/>
      <c r="F14" s="6" t="e">
        <f>#REF!</f>
        <v>#REF!</v>
      </c>
      <c r="G14" s="6"/>
      <c r="H14" s="5"/>
      <c r="I14" s="5"/>
    </row>
    <row r="15" spans="1:9">
      <c r="A15" t="e">
        <f>#REF!</f>
        <v>#REF!</v>
      </c>
      <c r="B15" s="5" t="e">
        <f>#REF!</f>
        <v>#REF!</v>
      </c>
      <c r="C15" s="3" t="e">
        <f>#REF!</f>
        <v>#REF!</v>
      </c>
      <c r="D15" t="e">
        <f>#REF!</f>
        <v>#REF!</v>
      </c>
      <c r="E15" s="6"/>
      <c r="F15" s="6" t="e">
        <f>#REF!</f>
        <v>#REF!</v>
      </c>
      <c r="G15" s="6"/>
      <c r="H15" s="5"/>
      <c r="I15" s="5"/>
    </row>
    <row r="16" spans="1:9">
      <c r="A16" t="e">
        <f>#REF!</f>
        <v>#REF!</v>
      </c>
      <c r="B16" s="5" t="e">
        <f>#REF!</f>
        <v>#REF!</v>
      </c>
      <c r="C16" s="3" t="e">
        <f>#REF!</f>
        <v>#REF!</v>
      </c>
      <c r="D16" t="e">
        <f>#REF!</f>
        <v>#REF!</v>
      </c>
      <c r="E16" s="6"/>
      <c r="F16" s="6" t="e">
        <f>#REF!</f>
        <v>#REF!</v>
      </c>
      <c r="G16" s="6"/>
      <c r="H16" s="5"/>
      <c r="I16" s="5"/>
    </row>
    <row r="17" spans="1:9">
      <c r="A17" t="e">
        <f>#REF!</f>
        <v>#REF!</v>
      </c>
      <c r="B17" s="5" t="e">
        <f>#REF!</f>
        <v>#REF!</v>
      </c>
      <c r="C17" s="3" t="e">
        <f>#REF!</f>
        <v>#REF!</v>
      </c>
      <c r="D17" t="e">
        <f>#REF!</f>
        <v>#REF!</v>
      </c>
      <c r="E17" s="6"/>
      <c r="F17" s="6" t="e">
        <f>#REF!</f>
        <v>#REF!</v>
      </c>
      <c r="G17" s="6"/>
      <c r="H17" s="5"/>
      <c r="I17" s="5"/>
    </row>
    <row r="18" spans="1:9">
      <c r="A18" t="e">
        <f>#REF!</f>
        <v>#REF!</v>
      </c>
      <c r="B18" s="5" t="e">
        <f>#REF!</f>
        <v>#REF!</v>
      </c>
      <c r="C18" s="3" t="e">
        <f>#REF!</f>
        <v>#REF!</v>
      </c>
      <c r="D18" t="e">
        <f>#REF!</f>
        <v>#REF!</v>
      </c>
      <c r="E18" s="6"/>
      <c r="F18" s="6" t="e">
        <f>#REF!</f>
        <v>#REF!</v>
      </c>
      <c r="G18" s="6"/>
      <c r="H18" s="5"/>
      <c r="I18" s="5"/>
    </row>
    <row r="19" spans="1:9">
      <c r="A19" t="e">
        <f>#REF!</f>
        <v>#REF!</v>
      </c>
      <c r="B19" s="5" t="e">
        <f>#REF!</f>
        <v>#REF!</v>
      </c>
      <c r="C19" s="3" t="e">
        <f>#REF!</f>
        <v>#REF!</v>
      </c>
      <c r="D19" t="e">
        <f>#REF!</f>
        <v>#REF!</v>
      </c>
      <c r="E19" s="6"/>
      <c r="F19" s="6" t="e">
        <f>#REF!</f>
        <v>#REF!</v>
      </c>
      <c r="G19" s="6"/>
      <c r="H19" s="5"/>
      <c r="I19" s="5"/>
    </row>
    <row r="20" spans="1:9">
      <c r="A20" t="e">
        <f>#REF!</f>
        <v>#REF!</v>
      </c>
      <c r="B20" s="5" t="e">
        <f>#REF!</f>
        <v>#REF!</v>
      </c>
      <c r="C20" s="3" t="e">
        <f>#REF!</f>
        <v>#REF!</v>
      </c>
      <c r="D20" t="e">
        <f>#REF!</f>
        <v>#REF!</v>
      </c>
      <c r="E20" s="6"/>
      <c r="F20" s="6" t="e">
        <f>#REF!</f>
        <v>#REF!</v>
      </c>
      <c r="G20" s="6"/>
      <c r="H20" s="5"/>
      <c r="I20" s="5"/>
    </row>
    <row r="21" spans="1:9">
      <c r="A21" t="e">
        <f>#REF!</f>
        <v>#REF!</v>
      </c>
      <c r="B21" s="5" t="e">
        <f>#REF!</f>
        <v>#REF!</v>
      </c>
      <c r="C21" s="3" t="e">
        <f>#REF!</f>
        <v>#REF!</v>
      </c>
      <c r="D21" t="e">
        <f>#REF!</f>
        <v>#REF!</v>
      </c>
      <c r="E21" s="6"/>
      <c r="F21" s="6" t="e">
        <f>#REF!</f>
        <v>#REF!</v>
      </c>
      <c r="G21" s="6"/>
      <c r="H21" s="5"/>
      <c r="I21" s="5"/>
    </row>
    <row r="22" spans="1:9">
      <c r="A22" t="e">
        <f>#REF!</f>
        <v>#REF!</v>
      </c>
      <c r="B22" s="5" t="e">
        <f>#REF!</f>
        <v>#REF!</v>
      </c>
      <c r="C22" s="3" t="e">
        <f>#REF!</f>
        <v>#REF!</v>
      </c>
      <c r="D22" t="e">
        <f>#REF!</f>
        <v>#REF!</v>
      </c>
      <c r="E22" s="6"/>
      <c r="F22" s="6" t="e">
        <f>#REF!</f>
        <v>#REF!</v>
      </c>
      <c r="G22" s="6"/>
      <c r="H22" s="5"/>
      <c r="I22" s="5"/>
    </row>
    <row r="23" spans="1:9">
      <c r="A23" t="e">
        <f>#REF!</f>
        <v>#REF!</v>
      </c>
      <c r="B23" s="5" t="e">
        <f>#REF!</f>
        <v>#REF!</v>
      </c>
      <c r="C23" s="3" t="e">
        <f>#REF!</f>
        <v>#REF!</v>
      </c>
      <c r="D23" t="e">
        <f>#REF!</f>
        <v>#REF!</v>
      </c>
      <c r="E23" s="6"/>
      <c r="F23" s="6" t="e">
        <f>#REF!</f>
        <v>#REF!</v>
      </c>
      <c r="G23" s="6"/>
      <c r="H23" s="5"/>
      <c r="I23" s="5"/>
    </row>
    <row r="24" spans="1:9">
      <c r="A24" t="e">
        <f>#REF!</f>
        <v>#REF!</v>
      </c>
      <c r="B24" s="5" t="e">
        <f>#REF!</f>
        <v>#REF!</v>
      </c>
      <c r="C24" s="3" t="e">
        <f>#REF!</f>
        <v>#REF!</v>
      </c>
      <c r="D24" t="e">
        <f>#REF!</f>
        <v>#REF!</v>
      </c>
      <c r="E24" s="6"/>
      <c r="F24" s="6" t="e">
        <f>#REF!</f>
        <v>#REF!</v>
      </c>
      <c r="G24" s="6"/>
      <c r="H24" s="5"/>
      <c r="I24" s="5"/>
    </row>
    <row r="25" spans="1:9">
      <c r="A25" t="e">
        <f>#REF!</f>
        <v>#REF!</v>
      </c>
      <c r="B25" s="5" t="e">
        <f>#REF!</f>
        <v>#REF!</v>
      </c>
      <c r="C25" s="3" t="e">
        <f>#REF!</f>
        <v>#REF!</v>
      </c>
      <c r="D25" t="e">
        <f>#REF!</f>
        <v>#REF!</v>
      </c>
      <c r="E25" s="6"/>
      <c r="F25" s="6" t="e">
        <f>#REF!</f>
        <v>#REF!</v>
      </c>
      <c r="G25" s="6"/>
      <c r="H25" s="5"/>
      <c r="I25" s="5"/>
    </row>
    <row r="26" spans="1:9">
      <c r="A26" t="e">
        <f>#REF!</f>
        <v>#REF!</v>
      </c>
      <c r="B26" s="5" t="e">
        <f>#REF!</f>
        <v>#REF!</v>
      </c>
      <c r="C26" s="3" t="e">
        <f>#REF!</f>
        <v>#REF!</v>
      </c>
      <c r="D26" t="e">
        <f>#REF!</f>
        <v>#REF!</v>
      </c>
      <c r="E26" s="6"/>
      <c r="F26" s="6" t="e">
        <f>#REF!</f>
        <v>#REF!</v>
      </c>
      <c r="G26" s="6"/>
      <c r="H26" s="5"/>
      <c r="I26" s="5"/>
    </row>
    <row r="27" spans="1:9">
      <c r="A27" t="e">
        <f>#REF!</f>
        <v>#REF!</v>
      </c>
      <c r="B27" s="5" t="e">
        <f>#REF!</f>
        <v>#REF!</v>
      </c>
      <c r="C27" s="3" t="e">
        <f>#REF!</f>
        <v>#REF!</v>
      </c>
      <c r="D27" t="e">
        <f>#REF!</f>
        <v>#REF!</v>
      </c>
      <c r="E27" s="6"/>
      <c r="F27" s="6" t="e">
        <f>#REF!</f>
        <v>#REF!</v>
      </c>
      <c r="G27" s="6"/>
      <c r="H27" s="5"/>
      <c r="I27" s="5"/>
    </row>
    <row r="28" spans="1:9">
      <c r="A28" t="e">
        <f>#REF!</f>
        <v>#REF!</v>
      </c>
      <c r="B28" s="5" t="e">
        <f>#REF!</f>
        <v>#REF!</v>
      </c>
      <c r="C28" s="3" t="e">
        <f>#REF!</f>
        <v>#REF!</v>
      </c>
      <c r="D28" t="e">
        <f>#REF!</f>
        <v>#REF!</v>
      </c>
      <c r="E28" s="6"/>
      <c r="F28" s="6" t="e">
        <f>#REF!</f>
        <v>#REF!</v>
      </c>
      <c r="G28" s="6"/>
      <c r="H28" s="5"/>
      <c r="I28" s="5"/>
    </row>
    <row r="29" spans="1:9">
      <c r="A29" t="e">
        <f>#REF!</f>
        <v>#REF!</v>
      </c>
      <c r="B29" s="5" t="e">
        <f>#REF!</f>
        <v>#REF!</v>
      </c>
      <c r="C29" s="3" t="e">
        <f>#REF!</f>
        <v>#REF!</v>
      </c>
      <c r="D29" t="e">
        <f>#REF!</f>
        <v>#REF!</v>
      </c>
      <c r="E29" s="6"/>
      <c r="F29" s="6" t="e">
        <f>#REF!</f>
        <v>#REF!</v>
      </c>
      <c r="G29" s="6"/>
      <c r="H29" s="5"/>
      <c r="I29" s="5"/>
    </row>
    <row r="30" spans="1:9">
      <c r="A30" t="e">
        <f>#REF!</f>
        <v>#REF!</v>
      </c>
      <c r="B30" s="5" t="e">
        <f>#REF!</f>
        <v>#REF!</v>
      </c>
      <c r="C30" s="3" t="e">
        <f>#REF!</f>
        <v>#REF!</v>
      </c>
      <c r="D30" t="e">
        <f>#REF!</f>
        <v>#REF!</v>
      </c>
      <c r="E30" s="6"/>
      <c r="F30" s="6" t="e">
        <f>#REF!</f>
        <v>#REF!</v>
      </c>
      <c r="G30" s="6"/>
      <c r="H30" s="5"/>
      <c r="I30" s="5"/>
    </row>
    <row r="31" spans="1:9">
      <c r="A31" t="e">
        <f>#REF!</f>
        <v>#REF!</v>
      </c>
      <c r="B31" s="5" t="e">
        <f>#REF!</f>
        <v>#REF!</v>
      </c>
      <c r="C31" s="3" t="e">
        <f>#REF!</f>
        <v>#REF!</v>
      </c>
      <c r="D31" t="e">
        <f>#REF!</f>
        <v>#REF!</v>
      </c>
      <c r="E31" s="6"/>
      <c r="F31" s="6" t="e">
        <f>#REF!</f>
        <v>#REF!</v>
      </c>
      <c r="G31" s="6"/>
      <c r="H31" s="5"/>
      <c r="I31" s="5"/>
    </row>
    <row r="32" spans="1:9">
      <c r="A32" t="e">
        <f>#REF!</f>
        <v>#REF!</v>
      </c>
      <c r="B32" s="5" t="e">
        <f>#REF!</f>
        <v>#REF!</v>
      </c>
      <c r="C32" s="3" t="e">
        <f>#REF!</f>
        <v>#REF!</v>
      </c>
      <c r="D32" t="e">
        <f>#REF!</f>
        <v>#REF!</v>
      </c>
      <c r="E32" s="6"/>
      <c r="F32" s="6" t="e">
        <f>#REF!</f>
        <v>#REF!</v>
      </c>
      <c r="G32" s="6"/>
      <c r="H32" s="5"/>
      <c r="I32" s="5"/>
    </row>
    <row r="33" spans="1:9">
      <c r="A33" t="e">
        <f>#REF!</f>
        <v>#REF!</v>
      </c>
      <c r="B33" s="5" t="e">
        <f>#REF!</f>
        <v>#REF!</v>
      </c>
      <c r="C33" s="3" t="e">
        <f>#REF!</f>
        <v>#REF!</v>
      </c>
      <c r="D33" t="e">
        <f>#REF!</f>
        <v>#REF!</v>
      </c>
      <c r="E33" s="6"/>
      <c r="F33" s="6" t="e">
        <f>#REF!</f>
        <v>#REF!</v>
      </c>
      <c r="G33" s="6"/>
      <c r="H33" s="5"/>
      <c r="I33" s="5"/>
    </row>
    <row r="34" spans="1:9">
      <c r="A34" t="e">
        <f>#REF!</f>
        <v>#REF!</v>
      </c>
      <c r="B34" s="5" t="e">
        <f>#REF!</f>
        <v>#REF!</v>
      </c>
      <c r="C34" s="3" t="e">
        <f>#REF!</f>
        <v>#REF!</v>
      </c>
      <c r="D34" t="e">
        <f>#REF!</f>
        <v>#REF!</v>
      </c>
      <c r="E34" s="6"/>
      <c r="F34" s="6" t="e">
        <f>#REF!</f>
        <v>#REF!</v>
      </c>
      <c r="G34" s="6"/>
      <c r="H34" s="5"/>
      <c r="I34" s="5"/>
    </row>
    <row r="35" spans="1:9">
      <c r="A35" t="e">
        <f>#REF!</f>
        <v>#REF!</v>
      </c>
      <c r="B35" s="5" t="e">
        <f>#REF!</f>
        <v>#REF!</v>
      </c>
      <c r="C35" s="3" t="e">
        <f>#REF!</f>
        <v>#REF!</v>
      </c>
      <c r="D35" t="e">
        <f>#REF!</f>
        <v>#REF!</v>
      </c>
      <c r="E35" s="6"/>
      <c r="F35" s="6" t="e">
        <f>#REF!</f>
        <v>#REF!</v>
      </c>
      <c r="G35" s="6"/>
      <c r="H35" s="5"/>
      <c r="I35" s="5"/>
    </row>
    <row r="36" spans="1:9">
      <c r="A36" t="e">
        <f>#REF!</f>
        <v>#REF!</v>
      </c>
      <c r="B36" s="5" t="e">
        <f>#REF!</f>
        <v>#REF!</v>
      </c>
      <c r="C36" s="3" t="e">
        <f>#REF!</f>
        <v>#REF!</v>
      </c>
      <c r="D36" t="e">
        <f>#REF!</f>
        <v>#REF!</v>
      </c>
      <c r="E36" s="6"/>
      <c r="F36" s="6" t="e">
        <f>#REF!</f>
        <v>#REF!</v>
      </c>
      <c r="G36" s="6"/>
      <c r="H36" s="5"/>
      <c r="I36" s="5"/>
    </row>
    <row r="37" spans="1:9">
      <c r="A37" t="e">
        <f>#REF!</f>
        <v>#REF!</v>
      </c>
      <c r="B37" s="5" t="e">
        <f>#REF!</f>
        <v>#REF!</v>
      </c>
      <c r="C37" s="3" t="e">
        <f>#REF!</f>
        <v>#REF!</v>
      </c>
      <c r="D37" t="e">
        <f>#REF!</f>
        <v>#REF!</v>
      </c>
      <c r="E37" s="6"/>
      <c r="F37" s="6" t="e">
        <f>#REF!</f>
        <v>#REF!</v>
      </c>
      <c r="G37" s="6"/>
      <c r="H37" s="5"/>
      <c r="I37" s="5"/>
    </row>
    <row r="38" spans="1:9">
      <c r="A38" t="e">
        <f>#REF!</f>
        <v>#REF!</v>
      </c>
      <c r="B38" s="5" t="e">
        <f>#REF!</f>
        <v>#REF!</v>
      </c>
      <c r="C38" s="3" t="e">
        <f>#REF!</f>
        <v>#REF!</v>
      </c>
      <c r="D38" t="e">
        <f>#REF!</f>
        <v>#REF!</v>
      </c>
      <c r="E38" s="6"/>
      <c r="F38" s="6" t="e">
        <f>#REF!</f>
        <v>#REF!</v>
      </c>
      <c r="G38" s="6"/>
      <c r="H38" s="5"/>
      <c r="I38" s="5"/>
    </row>
    <row r="39" spans="1:9">
      <c r="A39" t="e">
        <f>#REF!</f>
        <v>#REF!</v>
      </c>
      <c r="B39" s="5" t="e">
        <f>#REF!</f>
        <v>#REF!</v>
      </c>
      <c r="C39" s="3" t="e">
        <f>#REF!</f>
        <v>#REF!</v>
      </c>
      <c r="D39" t="e">
        <f>#REF!</f>
        <v>#REF!</v>
      </c>
      <c r="E39" s="6"/>
      <c r="F39" s="6" t="e">
        <f>#REF!</f>
        <v>#REF!</v>
      </c>
      <c r="G39" s="6"/>
      <c r="H39" s="5"/>
      <c r="I39" s="5"/>
    </row>
    <row r="40" spans="1:9">
      <c r="A40" t="e">
        <f>#REF!</f>
        <v>#REF!</v>
      </c>
      <c r="B40" s="5" t="e">
        <f>#REF!</f>
        <v>#REF!</v>
      </c>
      <c r="C40" s="3" t="e">
        <f>#REF!</f>
        <v>#REF!</v>
      </c>
      <c r="D40" t="e">
        <f>#REF!</f>
        <v>#REF!</v>
      </c>
      <c r="E40" s="6"/>
      <c r="F40" s="6" t="e">
        <f>#REF!</f>
        <v>#REF!</v>
      </c>
      <c r="G40" s="6"/>
      <c r="H40" s="5"/>
      <c r="I40" s="5"/>
    </row>
    <row r="41" spans="1:9">
      <c r="A41" t="e">
        <f>#REF!</f>
        <v>#REF!</v>
      </c>
      <c r="B41" s="5" t="e">
        <f>#REF!</f>
        <v>#REF!</v>
      </c>
      <c r="C41" s="3" t="e">
        <f>#REF!</f>
        <v>#REF!</v>
      </c>
      <c r="D41" t="e">
        <f>#REF!</f>
        <v>#REF!</v>
      </c>
      <c r="E41" s="6"/>
      <c r="F41" s="6" t="e">
        <f>#REF!</f>
        <v>#REF!</v>
      </c>
      <c r="G41" s="6"/>
      <c r="H41" s="5"/>
      <c r="I41" s="5"/>
    </row>
    <row r="42" spans="1:9">
      <c r="A42" t="e">
        <f>#REF!</f>
        <v>#REF!</v>
      </c>
      <c r="B42" s="5" t="e">
        <f>#REF!</f>
        <v>#REF!</v>
      </c>
      <c r="C42" s="3" t="e">
        <f>#REF!</f>
        <v>#REF!</v>
      </c>
      <c r="D42" t="e">
        <f>#REF!</f>
        <v>#REF!</v>
      </c>
      <c r="E42" s="6"/>
      <c r="F42" s="6" t="e">
        <f>#REF!</f>
        <v>#REF!</v>
      </c>
      <c r="G42" s="6"/>
      <c r="H42" s="5"/>
      <c r="I42" s="5"/>
    </row>
    <row r="43" spans="1:9">
      <c r="A43" t="e">
        <f>#REF!</f>
        <v>#REF!</v>
      </c>
      <c r="B43" s="5" t="e">
        <f>#REF!</f>
        <v>#REF!</v>
      </c>
      <c r="C43" s="3" t="e">
        <f>#REF!</f>
        <v>#REF!</v>
      </c>
      <c r="D43" t="e">
        <f>#REF!</f>
        <v>#REF!</v>
      </c>
      <c r="E43" s="6"/>
      <c r="F43" s="6" t="e">
        <f>#REF!</f>
        <v>#REF!</v>
      </c>
      <c r="G43" s="6"/>
      <c r="H43" s="5"/>
      <c r="I43" s="5"/>
    </row>
    <row r="44" spans="1:9">
      <c r="A44" t="e">
        <f>#REF!</f>
        <v>#REF!</v>
      </c>
      <c r="B44" s="5" t="e">
        <f>#REF!</f>
        <v>#REF!</v>
      </c>
      <c r="C44" s="3" t="e">
        <f>#REF!</f>
        <v>#REF!</v>
      </c>
      <c r="D44" t="e">
        <f>#REF!</f>
        <v>#REF!</v>
      </c>
      <c r="E44" s="6"/>
      <c r="F44" s="6" t="e">
        <f>#REF!</f>
        <v>#REF!</v>
      </c>
      <c r="G44" s="6"/>
      <c r="H44" s="5"/>
      <c r="I44" s="5"/>
    </row>
    <row r="45" spans="1:9">
      <c r="A45" t="e">
        <f>#REF!</f>
        <v>#REF!</v>
      </c>
      <c r="B45" s="5" t="e">
        <f>#REF!</f>
        <v>#REF!</v>
      </c>
      <c r="C45" s="3" t="e">
        <f>#REF!</f>
        <v>#REF!</v>
      </c>
      <c r="D45" t="e">
        <f>#REF!</f>
        <v>#REF!</v>
      </c>
      <c r="E45" s="6"/>
      <c r="F45" s="6" t="e">
        <f>#REF!</f>
        <v>#REF!</v>
      </c>
      <c r="G45" s="6"/>
      <c r="H45" s="5"/>
      <c r="I45" s="5"/>
    </row>
    <row r="46" spans="1:9">
      <c r="A46" t="e">
        <f>#REF!</f>
        <v>#REF!</v>
      </c>
      <c r="B46" s="5" t="e">
        <f>#REF!</f>
        <v>#REF!</v>
      </c>
      <c r="C46" s="3" t="e">
        <f>#REF!</f>
        <v>#REF!</v>
      </c>
      <c r="D46" t="e">
        <f>#REF!</f>
        <v>#REF!</v>
      </c>
      <c r="E46" s="6"/>
      <c r="F46" s="6" t="e">
        <f>#REF!</f>
        <v>#REF!</v>
      </c>
      <c r="G46" s="6"/>
      <c r="H46" s="5"/>
      <c r="I46" s="5"/>
    </row>
    <row r="47" spans="1:9">
      <c r="A47" t="e">
        <f>#REF!</f>
        <v>#REF!</v>
      </c>
      <c r="B47" s="5" t="e">
        <f>#REF!</f>
        <v>#REF!</v>
      </c>
      <c r="C47" s="3" t="e">
        <f>#REF!</f>
        <v>#REF!</v>
      </c>
      <c r="D47" t="e">
        <f>#REF!</f>
        <v>#REF!</v>
      </c>
      <c r="E47" s="6"/>
      <c r="F47" s="6" t="e">
        <f>#REF!</f>
        <v>#REF!</v>
      </c>
      <c r="G47" s="6"/>
      <c r="H47" s="5"/>
      <c r="I47" s="5"/>
    </row>
    <row r="48" spans="1:9">
      <c r="A48" t="e">
        <f>#REF!</f>
        <v>#REF!</v>
      </c>
      <c r="B48" s="5" t="e">
        <f>#REF!</f>
        <v>#REF!</v>
      </c>
      <c r="C48" s="3" t="e">
        <f>#REF!</f>
        <v>#REF!</v>
      </c>
      <c r="D48" t="e">
        <f>#REF!</f>
        <v>#REF!</v>
      </c>
      <c r="E48" s="6"/>
      <c r="F48" s="6" t="e">
        <f>#REF!</f>
        <v>#REF!</v>
      </c>
      <c r="G48" s="6"/>
      <c r="H48" s="5"/>
      <c r="I48" s="5"/>
    </row>
    <row r="49" spans="1:9">
      <c r="A49" t="e">
        <f>#REF!</f>
        <v>#REF!</v>
      </c>
      <c r="B49" s="5" t="e">
        <f>#REF!</f>
        <v>#REF!</v>
      </c>
      <c r="C49" s="3" t="e">
        <f>#REF!</f>
        <v>#REF!</v>
      </c>
      <c r="D49" t="e">
        <f>#REF!</f>
        <v>#REF!</v>
      </c>
      <c r="E49" s="6"/>
      <c r="F49" s="6" t="e">
        <f>#REF!</f>
        <v>#REF!</v>
      </c>
      <c r="G49" s="6"/>
      <c r="H49" s="5"/>
      <c r="I49" s="5"/>
    </row>
    <row r="50" spans="1:9">
      <c r="A50" t="e">
        <f>#REF!</f>
        <v>#REF!</v>
      </c>
      <c r="B50" s="5" t="e">
        <f>#REF!</f>
        <v>#REF!</v>
      </c>
      <c r="C50" s="3" t="e">
        <f>#REF!</f>
        <v>#REF!</v>
      </c>
      <c r="D50" t="e">
        <f>#REF!</f>
        <v>#REF!</v>
      </c>
      <c r="E50" s="6"/>
      <c r="F50" s="6" t="e">
        <f>#REF!</f>
        <v>#REF!</v>
      </c>
      <c r="G50" s="6"/>
      <c r="H50" s="5"/>
      <c r="I50" s="5"/>
    </row>
    <row r="51" spans="1:9">
      <c r="A51" t="e">
        <f>#REF!</f>
        <v>#REF!</v>
      </c>
      <c r="B51" s="5" t="e">
        <f>#REF!</f>
        <v>#REF!</v>
      </c>
      <c r="C51" s="3" t="e">
        <f>#REF!</f>
        <v>#REF!</v>
      </c>
      <c r="D51" t="e">
        <f>#REF!</f>
        <v>#REF!</v>
      </c>
      <c r="E51" s="6"/>
      <c r="F51" s="6" t="e">
        <f>#REF!</f>
        <v>#REF!</v>
      </c>
      <c r="G51" s="6"/>
      <c r="H51" s="5"/>
      <c r="I51" s="5"/>
    </row>
    <row r="52" spans="1:9">
      <c r="A52" t="e">
        <f>#REF!</f>
        <v>#REF!</v>
      </c>
      <c r="B52" s="5" t="e">
        <f>#REF!</f>
        <v>#REF!</v>
      </c>
      <c r="C52" s="3" t="e">
        <f>#REF!</f>
        <v>#REF!</v>
      </c>
      <c r="D52" t="e">
        <f>#REF!</f>
        <v>#REF!</v>
      </c>
      <c r="E52" s="6"/>
      <c r="F52" s="6" t="e">
        <f>#REF!</f>
        <v>#REF!</v>
      </c>
      <c r="G52" s="6"/>
      <c r="H52" s="5"/>
      <c r="I52" s="5"/>
    </row>
    <row r="53" spans="1:9">
      <c r="A53" t="e">
        <f>#REF!</f>
        <v>#REF!</v>
      </c>
      <c r="B53" s="5" t="e">
        <f>#REF!</f>
        <v>#REF!</v>
      </c>
      <c r="C53" s="3" t="e">
        <f>#REF!</f>
        <v>#REF!</v>
      </c>
      <c r="D53" t="e">
        <f>#REF!</f>
        <v>#REF!</v>
      </c>
      <c r="E53" s="6"/>
      <c r="F53" s="6" t="e">
        <f>#REF!</f>
        <v>#REF!</v>
      </c>
      <c r="G53" s="6"/>
      <c r="H53" s="5"/>
      <c r="I53" s="5"/>
    </row>
    <row r="54" spans="1:9">
      <c r="A54" t="e">
        <f>#REF!</f>
        <v>#REF!</v>
      </c>
      <c r="B54" s="5" t="e">
        <f>#REF!</f>
        <v>#REF!</v>
      </c>
      <c r="C54" s="3" t="e">
        <f>#REF!</f>
        <v>#REF!</v>
      </c>
      <c r="D54" t="e">
        <f>#REF!</f>
        <v>#REF!</v>
      </c>
      <c r="E54" s="6"/>
      <c r="F54" s="6" t="e">
        <f>#REF!</f>
        <v>#REF!</v>
      </c>
      <c r="G54" s="6"/>
      <c r="H54" s="5"/>
      <c r="I54" s="5"/>
    </row>
    <row r="55" spans="1:9">
      <c r="A55" t="e">
        <f>#REF!</f>
        <v>#REF!</v>
      </c>
      <c r="B55" s="5" t="e">
        <f>#REF!</f>
        <v>#REF!</v>
      </c>
      <c r="C55" s="3" t="e">
        <f>#REF!</f>
        <v>#REF!</v>
      </c>
      <c r="D55" t="e">
        <f>#REF!</f>
        <v>#REF!</v>
      </c>
      <c r="E55" s="6"/>
      <c r="F55" s="6" t="e">
        <f>#REF!</f>
        <v>#REF!</v>
      </c>
      <c r="G55" s="6"/>
      <c r="H55" s="5"/>
      <c r="I55" s="5"/>
    </row>
    <row r="56" spans="1:9">
      <c r="A56" t="e">
        <f>#REF!</f>
        <v>#REF!</v>
      </c>
      <c r="B56" s="5" t="e">
        <f>#REF!</f>
        <v>#REF!</v>
      </c>
      <c r="C56" s="3" t="e">
        <f>#REF!</f>
        <v>#REF!</v>
      </c>
      <c r="D56" t="e">
        <f>#REF!</f>
        <v>#REF!</v>
      </c>
      <c r="E56" s="6"/>
      <c r="F56" s="6" t="e">
        <f>#REF!</f>
        <v>#REF!</v>
      </c>
      <c r="G56" s="6"/>
      <c r="H56" s="5"/>
      <c r="I56" s="5"/>
    </row>
    <row r="57" spans="1:9">
      <c r="A57" t="e">
        <f>#REF!</f>
        <v>#REF!</v>
      </c>
      <c r="B57" s="5" t="e">
        <f>#REF!</f>
        <v>#REF!</v>
      </c>
      <c r="C57" s="3" t="e">
        <f>#REF!</f>
        <v>#REF!</v>
      </c>
      <c r="D57" t="e">
        <f>#REF!</f>
        <v>#REF!</v>
      </c>
      <c r="E57" s="6"/>
      <c r="F57" s="6" t="e">
        <f>#REF!</f>
        <v>#REF!</v>
      </c>
      <c r="G57" s="6"/>
      <c r="H57" s="5"/>
      <c r="I57" s="5"/>
    </row>
    <row r="58" spans="1:9">
      <c r="A58" t="e">
        <f>#REF!</f>
        <v>#REF!</v>
      </c>
      <c r="B58" s="5" t="e">
        <f>#REF!</f>
        <v>#REF!</v>
      </c>
      <c r="C58" s="3" t="e">
        <f>#REF!</f>
        <v>#REF!</v>
      </c>
      <c r="D58" t="e">
        <f>#REF!</f>
        <v>#REF!</v>
      </c>
      <c r="E58" s="6"/>
      <c r="F58" s="6" t="e">
        <f>#REF!</f>
        <v>#REF!</v>
      </c>
      <c r="G58" s="6"/>
      <c r="H58" s="5"/>
      <c r="I58" s="5"/>
    </row>
    <row r="59" spans="1:9">
      <c r="B59" s="5"/>
      <c r="C59" s="3"/>
      <c r="E59" s="6"/>
      <c r="F59" s="6"/>
      <c r="G59" s="6"/>
      <c r="H59" s="5"/>
      <c r="I59" s="5"/>
    </row>
    <row r="60" spans="1:9">
      <c r="B60" s="5"/>
      <c r="C60" s="3"/>
      <c r="E60" s="6"/>
      <c r="F60" s="6"/>
      <c r="G60" s="6"/>
      <c r="H60" s="5"/>
      <c r="I60" s="5"/>
    </row>
    <row r="61" spans="1:9">
      <c r="B61" s="5"/>
      <c r="C61" s="3"/>
      <c r="E61" s="6"/>
      <c r="F61" s="6"/>
      <c r="G61" s="6"/>
      <c r="H61" s="5"/>
      <c r="I61" s="5"/>
    </row>
    <row r="62" spans="1:9">
      <c r="B62" s="5"/>
      <c r="C62" s="3"/>
      <c r="E62" s="6"/>
      <c r="F62" s="6"/>
      <c r="G62" s="6"/>
      <c r="H62" s="5"/>
      <c r="I62" s="5"/>
    </row>
    <row r="63" spans="1:9">
      <c r="B63" s="5"/>
      <c r="C63" s="3"/>
      <c r="E63" s="6"/>
      <c r="F63" s="6"/>
      <c r="G63" s="6"/>
      <c r="H63" s="5"/>
      <c r="I63" s="5"/>
    </row>
    <row r="64" spans="1:9">
      <c r="B64" s="5"/>
      <c r="C64" s="3"/>
      <c r="E64" s="6"/>
      <c r="F64" s="6"/>
      <c r="G64" s="6"/>
      <c r="H64" s="5"/>
      <c r="I64" s="5"/>
    </row>
  </sheetData>
  <conditionalFormatting sqref="B1">
    <cfRule type="duplicateValues" dxfId="73" priority="1"/>
    <cfRule type="duplicateValues" dxfId="72" priority="2"/>
    <cfRule type="duplicateValues" dxfId="71" priority="3"/>
    <cfRule type="duplicateValues" dxfId="70" priority="4"/>
    <cfRule type="duplicateValues" dxfId="69" priority="5"/>
  </conditionalFormatting>
  <conditionalFormatting sqref="B2:B64">
    <cfRule type="duplicateValues" dxfId="68" priority="6"/>
    <cfRule type="duplicateValues" dxfId="67" priority="7"/>
    <cfRule type="duplicateValues" dxfId="66" priority="8"/>
    <cfRule type="duplicateValues" dxfId="65" priority="9"/>
    <cfRule type="duplicateValues" dxfId="64" priority="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FC3A-C5B9-4B62-9F30-41BAC1951B6C}">
  <dimension ref="A1:L11"/>
  <sheetViews>
    <sheetView workbookViewId="0">
      <selection activeCell="H13" sqref="H13"/>
    </sheetView>
  </sheetViews>
  <sheetFormatPr defaultColWidth="8.85546875" defaultRowHeight="15"/>
  <cols>
    <col min="6" max="6" width="5.85546875" customWidth="1"/>
    <col min="7" max="7" width="17.42578125" customWidth="1"/>
    <col min="8" max="8" width="41.7109375" customWidth="1"/>
    <col min="9" max="9" width="17" customWidth="1"/>
    <col min="10" max="10" width="18.7109375" customWidth="1"/>
    <col min="11" max="11" width="26.42578125" customWidth="1"/>
    <col min="12" max="12" width="40.140625" customWidth="1"/>
  </cols>
  <sheetData>
    <row r="1" spans="1:12">
      <c r="A1" s="1"/>
      <c r="B1" s="1"/>
      <c r="C1" s="1"/>
      <c r="D1" s="1"/>
      <c r="E1" s="1"/>
      <c r="F1" s="1"/>
      <c r="G1" s="1"/>
    </row>
    <row r="10" spans="1:12">
      <c r="F10" t="s">
        <v>0</v>
      </c>
      <c r="G10" t="s">
        <v>99</v>
      </c>
      <c r="H10" t="s">
        <v>100</v>
      </c>
      <c r="I10" t="s">
        <v>101</v>
      </c>
      <c r="J10" t="s">
        <v>102</v>
      </c>
      <c r="K10" t="s">
        <v>95</v>
      </c>
      <c r="L10" t="s">
        <v>103</v>
      </c>
    </row>
    <row r="11" spans="1:12">
      <c r="F11">
        <v>1</v>
      </c>
      <c r="G11" t="s">
        <v>104</v>
      </c>
      <c r="H11" t="s">
        <v>105</v>
      </c>
      <c r="I11" s="4">
        <v>45336</v>
      </c>
      <c r="J11" s="4">
        <v>45341</v>
      </c>
      <c r="K11" t="s">
        <v>106</v>
      </c>
      <c r="L11" t="s">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1ADD-8ABA-451E-9C46-0575C4BB1785}">
  <dimension ref="A1:C2"/>
  <sheetViews>
    <sheetView workbookViewId="0">
      <selection activeCell="C7" sqref="C7"/>
    </sheetView>
  </sheetViews>
  <sheetFormatPr defaultColWidth="8.85546875" defaultRowHeight="15"/>
  <cols>
    <col min="2" max="2" width="27" customWidth="1"/>
    <col min="3" max="3" width="66.28515625" customWidth="1"/>
  </cols>
  <sheetData>
    <row r="1" spans="1:3">
      <c r="A1" t="s">
        <v>108</v>
      </c>
    </row>
    <row r="2" spans="1:3">
      <c r="A2">
        <v>1</v>
      </c>
      <c r="C2"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3956F-883B-4363-B883-9CE193B30C6E}">
  <dimension ref="A1:B12"/>
  <sheetViews>
    <sheetView workbookViewId="0">
      <selection activeCell="B2" sqref="B2"/>
    </sheetView>
  </sheetViews>
  <sheetFormatPr defaultColWidth="8.85546875" defaultRowHeight="15"/>
  <cols>
    <col min="1" max="1" width="30.7109375" customWidth="1"/>
    <col min="2" max="2" width="127.7109375" bestFit="1" customWidth="1"/>
  </cols>
  <sheetData>
    <row r="1" spans="1:2">
      <c r="B1" s="11" t="s">
        <v>110</v>
      </c>
    </row>
    <row r="2" spans="1:2">
      <c r="A2" s="508" t="s">
        <v>111</v>
      </c>
      <c r="B2" t="s">
        <v>112</v>
      </c>
    </row>
    <row r="3" spans="1:2">
      <c r="A3" s="508"/>
      <c r="B3" t="s">
        <v>113</v>
      </c>
    </row>
    <row r="4" spans="1:2">
      <c r="A4" s="508"/>
      <c r="B4" t="s">
        <v>114</v>
      </c>
    </row>
    <row r="5" spans="1:2">
      <c r="A5" s="508"/>
      <c r="B5" t="s">
        <v>115</v>
      </c>
    </row>
    <row r="6" spans="1:2">
      <c r="A6" s="508"/>
    </row>
    <row r="7" spans="1:2">
      <c r="A7" s="508" t="s">
        <v>116</v>
      </c>
      <c r="B7" s="11" t="s">
        <v>117</v>
      </c>
    </row>
    <row r="8" spans="1:2">
      <c r="A8" s="508"/>
      <c r="B8" t="s">
        <v>118</v>
      </c>
    </row>
    <row r="9" spans="1:2">
      <c r="A9" s="508"/>
      <c r="B9" t="s">
        <v>119</v>
      </c>
    </row>
    <row r="10" spans="1:2">
      <c r="A10" s="508"/>
      <c r="B10" t="s">
        <v>120</v>
      </c>
    </row>
    <row r="11" spans="1:2">
      <c r="A11" s="508"/>
    </row>
    <row r="12" spans="1:2" ht="234.75" customHeight="1">
      <c r="A12" s="6" t="s">
        <v>121</v>
      </c>
      <c r="B12" s="12" t="s">
        <v>122</v>
      </c>
    </row>
  </sheetData>
  <mergeCells count="2">
    <mergeCell ref="A2:A6"/>
    <mergeCell ref="A7:A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DEBF-9CAE-4AE0-8365-77F32A87E0BB}">
  <dimension ref="A1:AV1046918"/>
  <sheetViews>
    <sheetView zoomScale="80" zoomScaleNormal="80" workbookViewId="0">
      <pane ySplit="1" topLeftCell="A1902" activePane="bottomLeft" state="frozen"/>
      <selection pane="bottomLeft" activeCell="G1908" sqref="G1908"/>
    </sheetView>
  </sheetViews>
  <sheetFormatPr defaultColWidth="9.140625" defaultRowHeight="15" customHeight="1"/>
  <cols>
    <col min="1" max="1" width="6.42578125" customWidth="1"/>
    <col min="2" max="2" width="55.28515625" customWidth="1"/>
    <col min="3" max="3" width="8.7109375" style="23" customWidth="1"/>
    <col min="4" max="4" width="19" style="19" customWidth="1"/>
    <col min="5" max="5" width="14.42578125" customWidth="1"/>
    <col min="6" max="6" width="24.7109375" customWidth="1"/>
    <col min="7" max="7" width="16.28515625" style="5" customWidth="1"/>
    <col min="8" max="8" width="10.42578125" customWidth="1"/>
    <col min="9" max="9" width="21.42578125" customWidth="1"/>
    <col min="10" max="10" width="11.5703125" style="18" customWidth="1"/>
    <col min="11" max="11" width="30.5703125" customWidth="1"/>
    <col min="12" max="12" width="15.85546875" style="20" customWidth="1"/>
    <col min="13" max="13" width="22.85546875" style="18" customWidth="1"/>
    <col min="14" max="14" width="15.85546875" customWidth="1"/>
    <col min="15" max="15" width="23.7109375" style="5" customWidth="1"/>
    <col min="16" max="16" width="23.28515625" customWidth="1"/>
    <col min="17" max="17" width="16.42578125" style="22" customWidth="1"/>
    <col min="18" max="18" width="18.5703125" customWidth="1"/>
    <col min="19" max="19" width="51.42578125" style="21" customWidth="1"/>
    <col min="20" max="20" width="13.42578125" style="18" customWidth="1"/>
    <col min="21" max="21" width="12" customWidth="1"/>
    <col min="22" max="22" width="37" style="21" customWidth="1"/>
    <col min="23" max="23" width="16.42578125" customWidth="1"/>
    <col min="24" max="24" width="8.42578125" customWidth="1"/>
    <col min="25" max="26" width="9.140625" customWidth="1"/>
    <col min="27" max="27" width="30.7109375" customWidth="1"/>
    <col min="28" max="28" width="12.7109375" bestFit="1" customWidth="1"/>
    <col min="29" max="29" width="26.42578125" customWidth="1"/>
    <col min="30" max="30" width="30.7109375" bestFit="1" customWidth="1"/>
    <col min="31" max="31" width="27.7109375" customWidth="1"/>
    <col min="38" max="42" width="9.140625" customWidth="1"/>
    <col min="43" max="43" width="21.140625" customWidth="1"/>
    <col min="44" max="44" width="9.140625" customWidth="1"/>
    <col min="47" max="47" width="27.42578125" customWidth="1"/>
  </cols>
  <sheetData>
    <row r="1" spans="1:48" s="6" customFormat="1" ht="41.45" customHeight="1">
      <c r="A1" s="211" t="s">
        <v>123</v>
      </c>
      <c r="B1" s="262" t="s">
        <v>124</v>
      </c>
      <c r="C1" s="263" t="s">
        <v>4</v>
      </c>
      <c r="D1" s="263" t="s">
        <v>8</v>
      </c>
      <c r="E1" s="263" t="s">
        <v>125</v>
      </c>
      <c r="F1" s="263" t="s">
        <v>126</v>
      </c>
      <c r="G1" s="263" t="s">
        <v>1</v>
      </c>
      <c r="H1" s="263" t="s">
        <v>127</v>
      </c>
      <c r="I1" s="263" t="s">
        <v>128</v>
      </c>
      <c r="J1" s="321" t="s">
        <v>129</v>
      </c>
      <c r="K1" s="263" t="s">
        <v>130</v>
      </c>
      <c r="L1" s="264" t="s">
        <v>15</v>
      </c>
      <c r="M1" s="321" t="s">
        <v>131</v>
      </c>
      <c r="N1" s="263" t="s">
        <v>132</v>
      </c>
      <c r="O1" s="263" t="s">
        <v>133</v>
      </c>
      <c r="P1" s="263" t="s">
        <v>134</v>
      </c>
      <c r="Q1" s="264" t="s">
        <v>135</v>
      </c>
      <c r="R1" s="263" t="s">
        <v>136</v>
      </c>
      <c r="S1" s="263" t="s">
        <v>137</v>
      </c>
      <c r="T1" s="265" t="s">
        <v>138</v>
      </c>
      <c r="U1" s="263" t="s">
        <v>139</v>
      </c>
      <c r="V1" s="263" t="s">
        <v>140</v>
      </c>
      <c r="W1" s="263" t="s">
        <v>141</v>
      </c>
      <c r="X1" s="263" t="s">
        <v>142</v>
      </c>
      <c r="Y1" s="263" t="s">
        <v>143</v>
      </c>
      <c r="Z1" s="266" t="s">
        <v>32</v>
      </c>
      <c r="AA1" s="48" t="s">
        <v>144</v>
      </c>
      <c r="AB1" s="48" t="s">
        <v>145</v>
      </c>
      <c r="AC1" s="48" t="s">
        <v>96</v>
      </c>
      <c r="AD1" s="49" t="s">
        <v>146</v>
      </c>
      <c r="AE1" s="50" t="s">
        <v>147</v>
      </c>
      <c r="AF1" s="16"/>
      <c r="AG1" s="16"/>
      <c r="AH1" s="16"/>
      <c r="AI1" s="16"/>
      <c r="AJ1" s="16"/>
      <c r="AK1" s="16"/>
      <c r="AL1" s="16"/>
      <c r="AM1" s="16"/>
      <c r="AN1" s="16"/>
      <c r="AO1" s="16"/>
      <c r="AP1" s="16"/>
      <c r="AQ1" s="16"/>
      <c r="AR1" s="16"/>
      <c r="AS1" s="16"/>
      <c r="AT1" s="16"/>
    </row>
    <row r="2" spans="1:48" s="6" customFormat="1" hidden="1">
      <c r="A2" s="212">
        <f>ROW() - ROW(Table1[[#Headers],[s]])</f>
        <v>1</v>
      </c>
      <c r="B2" t="s">
        <v>148</v>
      </c>
      <c r="C2" s="267">
        <v>46023</v>
      </c>
      <c r="D2" s="19" t="s">
        <v>149</v>
      </c>
      <c r="E2" t="s">
        <v>150</v>
      </c>
      <c r="F2" t="e" vm="1">
        <v>#VALUE!</v>
      </c>
      <c r="G2" s="5" t="s">
        <v>151</v>
      </c>
      <c r="H2" t="s">
        <v>152</v>
      </c>
      <c r="I2" s="232" t="s">
        <v>43</v>
      </c>
      <c r="J2" s="18" t="s">
        <v>153</v>
      </c>
      <c r="K2" t="s">
        <v>154</v>
      </c>
      <c r="L2" s="20">
        <v>46022.316666666666</v>
      </c>
      <c r="M2" s="18" t="s">
        <v>155</v>
      </c>
      <c r="N2" s="18" t="s">
        <v>155</v>
      </c>
      <c r="O2" s="20">
        <v>46022.618055555555</v>
      </c>
      <c r="P2" s="20">
        <v>46022.618055555555</v>
      </c>
      <c r="Q2" s="20">
        <v>46022.634722222225</v>
      </c>
      <c r="R2"/>
      <c r="S2" s="21" t="s">
        <v>156</v>
      </c>
      <c r="T2" s="18" t="s">
        <v>157</v>
      </c>
      <c r="U2"/>
      <c r="V2" s="21" t="s">
        <v>156</v>
      </c>
      <c r="W2"/>
      <c r="X2"/>
      <c r="Y2" t="s">
        <v>158</v>
      </c>
      <c r="Z2" t="s">
        <v>70</v>
      </c>
      <c r="AA2" s="42"/>
      <c r="AB2" s="47"/>
      <c r="AC2" s="42"/>
      <c r="AD2" s="42"/>
      <c r="AE2" s="54"/>
      <c r="AF2" s="16"/>
      <c r="AG2" s="16"/>
      <c r="AH2" s="16"/>
      <c r="AI2" s="16"/>
      <c r="AJ2" s="16"/>
      <c r="AK2" s="16"/>
      <c r="AL2" s="16"/>
      <c r="AM2" s="16"/>
      <c r="AN2" s="16"/>
      <c r="AO2" s="16"/>
      <c r="AP2" s="16"/>
      <c r="AQ2" s="16"/>
      <c r="AR2" s="16"/>
      <c r="AS2" s="16"/>
      <c r="AT2" s="16"/>
    </row>
    <row r="3" spans="1:48" s="6" customFormat="1" hidden="1">
      <c r="A3" s="212">
        <f>ROW() - ROW(Table1[[#Headers],[s]])</f>
        <v>2</v>
      </c>
      <c r="B3" s="42" t="s">
        <v>159</v>
      </c>
      <c r="C3" s="51">
        <v>46023</v>
      </c>
      <c r="D3" s="52" t="s">
        <v>160</v>
      </c>
      <c r="E3" s="42" t="s">
        <v>161</v>
      </c>
      <c r="F3" s="42" t="e" vm="2">
        <v>#VALUE!</v>
      </c>
      <c r="G3" s="43" t="s">
        <v>151</v>
      </c>
      <c r="H3" s="42" t="s">
        <v>152</v>
      </c>
      <c r="I3" s="46" t="s">
        <v>43</v>
      </c>
      <c r="J3" s="55" t="s">
        <v>153</v>
      </c>
      <c r="K3" s="42" t="s">
        <v>154</v>
      </c>
      <c r="L3" s="44">
        <v>46022.415972222225</v>
      </c>
      <c r="M3" s="55" t="s">
        <v>162</v>
      </c>
      <c r="N3" s="55" t="s">
        <v>162</v>
      </c>
      <c r="O3" s="44">
        <v>46022.472222222219</v>
      </c>
      <c r="P3" s="44">
        <v>46022.472222222219</v>
      </c>
      <c r="Q3" s="44">
        <v>46022.57916666667</v>
      </c>
      <c r="R3" s="42"/>
      <c r="S3" s="53" t="s">
        <v>163</v>
      </c>
      <c r="T3" s="55" t="s">
        <v>164</v>
      </c>
      <c r="U3" s="42"/>
      <c r="V3" s="53" t="s">
        <v>163</v>
      </c>
      <c r="W3" s="42"/>
      <c r="X3" s="42"/>
      <c r="Y3" s="42" t="s">
        <v>158</v>
      </c>
      <c r="Z3" s="42" t="s">
        <v>67</v>
      </c>
      <c r="AA3" s="42"/>
      <c r="AB3" s="47"/>
      <c r="AC3" s="42"/>
      <c r="AD3" s="42"/>
      <c r="AE3" s="54"/>
      <c r="AF3" s="16"/>
      <c r="AG3" s="16"/>
      <c r="AH3" s="16"/>
      <c r="AI3" s="16"/>
      <c r="AJ3" s="16"/>
      <c r="AK3" s="16"/>
      <c r="AL3" s="16"/>
      <c r="AM3" s="16"/>
      <c r="AN3" s="16"/>
      <c r="AO3" s="16"/>
      <c r="AP3" s="16"/>
      <c r="AQ3" s="16"/>
      <c r="AR3" s="16"/>
      <c r="AS3" s="16"/>
      <c r="AT3" s="16"/>
    </row>
    <row r="4" spans="1:48" s="6" customFormat="1" hidden="1">
      <c r="A4" s="212">
        <f>ROW() - ROW(Table1[[#Headers],[s]])</f>
        <v>3</v>
      </c>
      <c r="B4" s="42" t="s">
        <v>165</v>
      </c>
      <c r="C4" s="51">
        <v>46023</v>
      </c>
      <c r="D4" s="52" t="s">
        <v>166</v>
      </c>
      <c r="E4" s="42" t="e" vm="3">
        <v>#VALUE!</v>
      </c>
      <c r="F4" s="42" t="e" vm="2">
        <v>#VALUE!</v>
      </c>
      <c r="G4" s="43" t="s">
        <v>151</v>
      </c>
      <c r="H4" s="42" t="s">
        <v>152</v>
      </c>
      <c r="I4" s="46" t="s">
        <v>43</v>
      </c>
      <c r="J4" s="55" t="s">
        <v>153</v>
      </c>
      <c r="K4" s="42" t="s">
        <v>154</v>
      </c>
      <c r="L4" s="44">
        <v>46022.427777777775</v>
      </c>
      <c r="M4" s="55" t="s">
        <v>162</v>
      </c>
      <c r="N4" s="55" t="s">
        <v>162</v>
      </c>
      <c r="O4" s="44">
        <v>46022.480555555558</v>
      </c>
      <c r="P4" s="44">
        <v>46022.480555555558</v>
      </c>
      <c r="Q4" s="44">
        <v>46022.614583333336</v>
      </c>
      <c r="R4" s="42"/>
      <c r="S4" s="53" t="s">
        <v>167</v>
      </c>
      <c r="T4" s="55" t="s">
        <v>164</v>
      </c>
      <c r="U4" s="42"/>
      <c r="V4" s="53" t="s">
        <v>167</v>
      </c>
      <c r="W4" s="42"/>
      <c r="X4" s="42"/>
      <c r="Y4" s="42" t="s">
        <v>158</v>
      </c>
      <c r="Z4" s="42" t="s">
        <v>67</v>
      </c>
      <c r="AA4" s="42"/>
      <c r="AB4" s="47"/>
      <c r="AC4" s="42"/>
      <c r="AD4" s="42"/>
      <c r="AE4" s="54"/>
      <c r="AF4" s="16"/>
      <c r="AG4" s="16"/>
      <c r="AH4" s="16"/>
      <c r="AI4" s="16"/>
      <c r="AJ4" s="16"/>
      <c r="AK4" s="16"/>
      <c r="AL4" s="16"/>
      <c r="AM4" s="16"/>
      <c r="AN4" s="16"/>
      <c r="AO4" s="16"/>
      <c r="AP4" s="16"/>
      <c r="AQ4" s="16"/>
      <c r="AR4" s="16"/>
      <c r="AS4" s="16"/>
      <c r="AT4" s="16"/>
    </row>
    <row r="5" spans="1:48" s="6" customFormat="1" hidden="1">
      <c r="A5" s="212">
        <f>ROW() - ROW(Table1[[#Headers],[s]])</f>
        <v>4</v>
      </c>
      <c r="B5" s="42" t="s">
        <v>168</v>
      </c>
      <c r="C5" s="51">
        <v>46023</v>
      </c>
      <c r="D5" s="52" t="s">
        <v>169</v>
      </c>
      <c r="E5" s="42" t="e" vm="4">
        <v>#VALUE!</v>
      </c>
      <c r="F5" s="42" t="e" vm="5">
        <v>#VALUE!</v>
      </c>
      <c r="G5" s="43" t="s">
        <v>151</v>
      </c>
      <c r="H5" s="42" t="s">
        <v>152</v>
      </c>
      <c r="I5" s="46" t="s">
        <v>43</v>
      </c>
      <c r="J5" s="55" t="s">
        <v>153</v>
      </c>
      <c r="K5" s="42" t="s">
        <v>170</v>
      </c>
      <c r="L5" s="44">
        <v>46022.613194444442</v>
      </c>
      <c r="M5" s="55" t="s">
        <v>55</v>
      </c>
      <c r="N5" s="55" t="s">
        <v>55</v>
      </c>
      <c r="O5" s="44">
        <v>46022.686805555553</v>
      </c>
      <c r="P5" s="44">
        <v>46022.71875</v>
      </c>
      <c r="Q5" s="44">
        <v>46022.802083333336</v>
      </c>
      <c r="R5" s="42"/>
      <c r="S5" s="53" t="s">
        <v>171</v>
      </c>
      <c r="T5" s="55" t="s">
        <v>164</v>
      </c>
      <c r="U5" s="42"/>
      <c r="V5" s="53" t="s">
        <v>171</v>
      </c>
      <c r="W5" s="42"/>
      <c r="X5" s="42"/>
      <c r="Y5" s="42" t="s">
        <v>158</v>
      </c>
      <c r="Z5" s="42" t="s">
        <v>67</v>
      </c>
      <c r="AA5" s="42"/>
      <c r="AB5" s="47"/>
      <c r="AC5" s="42"/>
      <c r="AD5" s="42"/>
      <c r="AE5" s="54"/>
      <c r="AF5" s="16"/>
      <c r="AG5" s="16"/>
      <c r="AH5" s="16"/>
      <c r="AI5" s="16"/>
      <c r="AJ5" s="16"/>
      <c r="AK5" s="16"/>
      <c r="AL5" s="16"/>
      <c r="AM5" s="16"/>
      <c r="AN5" s="16"/>
      <c r="AO5" s="16"/>
      <c r="AP5" s="16"/>
      <c r="AQ5" s="16"/>
      <c r="AR5" s="16"/>
      <c r="AS5" s="16"/>
      <c r="AT5" s="16"/>
    </row>
    <row r="6" spans="1:48" s="6" customFormat="1" ht="15" hidden="1" customHeight="1">
      <c r="A6" s="212">
        <f>ROW() - ROW(Table1[[#Headers],[s]])</f>
        <v>5</v>
      </c>
      <c r="B6" s="42" t="s">
        <v>172</v>
      </c>
      <c r="C6" s="51" t="s">
        <v>60</v>
      </c>
      <c r="D6" s="52" t="s">
        <v>173</v>
      </c>
      <c r="E6" s="42" t="e" vm="6">
        <v>#VALUE!</v>
      </c>
      <c r="F6" s="42" t="e" vm="7">
        <v>#VALUE!</v>
      </c>
      <c r="G6" s="43" t="s">
        <v>174</v>
      </c>
      <c r="H6" s="42" t="s">
        <v>152</v>
      </c>
      <c r="I6" s="42" t="s">
        <v>175</v>
      </c>
      <c r="J6" s="55" t="s">
        <v>153</v>
      </c>
      <c r="K6" s="42" t="s">
        <v>154</v>
      </c>
      <c r="L6" s="44">
        <v>46022.240277777775</v>
      </c>
      <c r="M6" s="55" t="s">
        <v>176</v>
      </c>
      <c r="N6" s="55" t="s">
        <v>176</v>
      </c>
      <c r="O6" s="44">
        <v>46024.333333333336</v>
      </c>
      <c r="P6" s="44">
        <v>46024.354166666664</v>
      </c>
      <c r="Q6" s="44">
        <v>46024.375</v>
      </c>
      <c r="R6" s="42"/>
      <c r="S6" s="290" t="s">
        <v>177</v>
      </c>
      <c r="T6" s="55" t="s">
        <v>178</v>
      </c>
      <c r="U6" s="42"/>
      <c r="V6" s="290" t="s">
        <v>177</v>
      </c>
      <c r="W6" s="42"/>
      <c r="X6" s="42"/>
      <c r="Y6" s="42" t="s">
        <v>179</v>
      </c>
      <c r="Z6" s="42" t="s">
        <v>179</v>
      </c>
      <c r="AA6" s="42"/>
      <c r="AB6" s="47"/>
      <c r="AC6" s="42"/>
      <c r="AD6" s="42"/>
      <c r="AE6" s="54"/>
      <c r="AF6"/>
      <c r="AG6"/>
      <c r="AH6"/>
      <c r="AI6"/>
      <c r="AJ6"/>
      <c r="AK6"/>
      <c r="AL6"/>
      <c r="AM6"/>
      <c r="AN6"/>
      <c r="AO6"/>
      <c r="AP6"/>
      <c r="AQ6"/>
      <c r="AR6"/>
      <c r="AS6"/>
      <c r="AT6"/>
      <c r="AU6"/>
      <c r="AV6"/>
    </row>
    <row r="7" spans="1:48" s="6" customFormat="1" ht="15" hidden="1" customHeight="1">
      <c r="A7" s="212">
        <f>ROW() - ROW(Table1[[#Headers],[s]])</f>
        <v>6</v>
      </c>
      <c r="B7" s="42" t="s">
        <v>180</v>
      </c>
      <c r="C7" s="51">
        <v>46023</v>
      </c>
      <c r="D7" s="52" t="s">
        <v>181</v>
      </c>
      <c r="E7" s="42" t="e" vm="6">
        <v>#VALUE!</v>
      </c>
      <c r="F7" s="42" t="e" vm="7">
        <v>#VALUE!</v>
      </c>
      <c r="G7" s="43" t="s">
        <v>174</v>
      </c>
      <c r="H7" s="42" t="s">
        <v>152</v>
      </c>
      <c r="I7" s="42" t="s">
        <v>175</v>
      </c>
      <c r="J7" s="55" t="s">
        <v>153</v>
      </c>
      <c r="K7" s="42" t="s">
        <v>154</v>
      </c>
      <c r="L7" s="44">
        <v>46022.246527777781</v>
      </c>
      <c r="M7" s="55" t="s">
        <v>176</v>
      </c>
      <c r="N7" s="55" t="s">
        <v>176</v>
      </c>
      <c r="O7" s="44">
        <v>46024.333333333336</v>
      </c>
      <c r="P7" s="44">
        <v>46024.354166666664</v>
      </c>
      <c r="Q7" s="44">
        <v>46024.416666666664</v>
      </c>
      <c r="R7" s="42"/>
      <c r="S7" s="53" t="s">
        <v>182</v>
      </c>
      <c r="T7" s="55" t="s">
        <v>178</v>
      </c>
      <c r="U7" s="42"/>
      <c r="V7" s="53" t="s">
        <v>183</v>
      </c>
      <c r="W7" s="42"/>
      <c r="X7" s="42"/>
      <c r="Y7" s="42" t="s">
        <v>158</v>
      </c>
      <c r="Z7" s="42" t="s">
        <v>70</v>
      </c>
      <c r="AA7" s="42"/>
      <c r="AB7" s="47"/>
      <c r="AC7" s="42"/>
      <c r="AD7" s="42"/>
      <c r="AE7" s="54"/>
      <c r="AF7"/>
      <c r="AG7"/>
      <c r="AH7"/>
      <c r="AI7"/>
      <c r="AJ7"/>
      <c r="AK7"/>
      <c r="AL7"/>
      <c r="AM7"/>
      <c r="AN7"/>
      <c r="AO7"/>
      <c r="AP7"/>
      <c r="AQ7" s="26"/>
      <c r="AR7"/>
      <c r="AS7"/>
      <c r="AT7"/>
      <c r="AU7"/>
      <c r="AV7"/>
    </row>
    <row r="8" spans="1:48" ht="15" customHeight="1">
      <c r="A8" s="212">
        <f>ROW() - ROW(Table1[[#Headers],[s]])</f>
        <v>7</v>
      </c>
      <c r="B8" s="42" t="s">
        <v>184</v>
      </c>
      <c r="C8" s="51">
        <v>46023</v>
      </c>
      <c r="D8" s="52" t="s">
        <v>185</v>
      </c>
      <c r="E8" s="42" t="e" vm="8">
        <v>#VALUE!</v>
      </c>
      <c r="F8" s="42" t="e" vm="5">
        <v>#VALUE!</v>
      </c>
      <c r="G8" s="43" t="s">
        <v>186</v>
      </c>
      <c r="H8" s="42" t="s">
        <v>152</v>
      </c>
      <c r="I8" s="42" t="s">
        <v>43</v>
      </c>
      <c r="J8" s="55" t="s">
        <v>153</v>
      </c>
      <c r="K8" s="42" t="s">
        <v>154</v>
      </c>
      <c r="L8" s="44">
        <v>46023.550694444442</v>
      </c>
      <c r="M8" s="55" t="s">
        <v>187</v>
      </c>
      <c r="N8" s="55" t="s">
        <v>187</v>
      </c>
      <c r="O8" s="56">
        <v>46023.625</v>
      </c>
      <c r="P8" s="57">
        <v>46023.631944444445</v>
      </c>
      <c r="Q8" s="58">
        <v>46023.638888888891</v>
      </c>
      <c r="R8" s="42"/>
      <c r="S8" s="53" t="s">
        <v>188</v>
      </c>
      <c r="T8" s="55" t="s">
        <v>178</v>
      </c>
      <c r="U8" s="42"/>
      <c r="V8" s="53" t="s">
        <v>189</v>
      </c>
      <c r="W8" s="42"/>
      <c r="X8" s="42"/>
      <c r="Y8" s="42" t="s">
        <v>158</v>
      </c>
      <c r="Z8" s="42" t="s">
        <v>70</v>
      </c>
      <c r="AA8" s="42"/>
      <c r="AB8" s="47"/>
      <c r="AC8" s="42"/>
      <c r="AD8" s="42"/>
      <c r="AE8" s="54"/>
      <c r="AQ8" s="17"/>
    </row>
    <row r="9" spans="1:48" ht="15" hidden="1" customHeight="1">
      <c r="A9" s="212">
        <f>ROW() - ROW(Table1[[#Headers],[s]])</f>
        <v>8</v>
      </c>
      <c r="B9" s="42" t="s">
        <v>190</v>
      </c>
      <c r="C9" s="51">
        <v>46023</v>
      </c>
      <c r="D9" s="59" t="s">
        <v>191</v>
      </c>
      <c r="E9" s="60" t="e" vm="9">
        <v>#VALUE!</v>
      </c>
      <c r="F9" s="42" t="e" vm="10">
        <v>#VALUE!</v>
      </c>
      <c r="G9" s="43" t="s">
        <v>174</v>
      </c>
      <c r="H9" s="42" t="s">
        <v>152</v>
      </c>
      <c r="I9" s="42" t="s">
        <v>175</v>
      </c>
      <c r="J9" s="55" t="s">
        <v>153</v>
      </c>
      <c r="K9" s="42" t="s">
        <v>154</v>
      </c>
      <c r="L9" s="44">
        <v>46023.536111111112</v>
      </c>
      <c r="M9" s="55" t="s">
        <v>78</v>
      </c>
      <c r="N9" s="55" t="s">
        <v>78</v>
      </c>
      <c r="O9" s="44">
        <v>46024.333333333336</v>
      </c>
      <c r="P9" s="44">
        <v>46024.354166666664</v>
      </c>
      <c r="Q9" s="44">
        <v>46024.416666666664</v>
      </c>
      <c r="R9" s="42"/>
      <c r="S9" s="53" t="s">
        <v>192</v>
      </c>
      <c r="T9" s="55" t="s">
        <v>193</v>
      </c>
      <c r="U9" s="42"/>
      <c r="V9" s="53" t="s">
        <v>194</v>
      </c>
      <c r="W9" s="42"/>
      <c r="X9" s="42"/>
      <c r="Y9" s="42" t="s">
        <v>158</v>
      </c>
      <c r="Z9" s="42" t="s">
        <v>70</v>
      </c>
      <c r="AA9" s="42"/>
      <c r="AB9" s="47"/>
      <c r="AC9" s="42"/>
      <c r="AD9" s="42"/>
      <c r="AE9" s="54"/>
      <c r="AQ9" s="26" t="e" vm="11">
        <v>#VALUE!</v>
      </c>
    </row>
    <row r="10" spans="1:48" ht="15" hidden="1" customHeight="1">
      <c r="A10" s="212">
        <f>ROW() - ROW(Table1[[#Headers],[s]])</f>
        <v>9</v>
      </c>
      <c r="B10" s="42" t="s">
        <v>195</v>
      </c>
      <c r="C10" s="61" t="s">
        <v>60</v>
      </c>
      <c r="D10" s="59" t="s">
        <v>196</v>
      </c>
      <c r="E10" s="60" t="e" vm="9">
        <v>#VALUE!</v>
      </c>
      <c r="F10" s="42" t="e" vm="10">
        <v>#VALUE!</v>
      </c>
      <c r="G10" s="43" t="s">
        <v>174</v>
      </c>
      <c r="H10" s="42" t="s">
        <v>152</v>
      </c>
      <c r="I10" s="61" t="s">
        <v>60</v>
      </c>
      <c r="J10" s="55" t="s">
        <v>153</v>
      </c>
      <c r="K10" s="42" t="s">
        <v>154</v>
      </c>
      <c r="L10" s="44">
        <v>46023.536111111112</v>
      </c>
      <c r="M10" s="55" t="s">
        <v>78</v>
      </c>
      <c r="N10" s="55" t="s">
        <v>78</v>
      </c>
      <c r="O10" s="44"/>
      <c r="P10" s="42"/>
      <c r="Q10" s="58"/>
      <c r="R10" s="42"/>
      <c r="S10" s="53" t="s">
        <v>197</v>
      </c>
      <c r="T10" s="55"/>
      <c r="U10" s="42"/>
      <c r="V10" s="53" t="s">
        <v>197</v>
      </c>
      <c r="W10" s="42"/>
      <c r="X10" s="42"/>
      <c r="Y10" s="42" t="s">
        <v>179</v>
      </c>
      <c r="Z10" s="42" t="s">
        <v>179</v>
      </c>
      <c r="AA10" s="42"/>
      <c r="AB10" s="47"/>
      <c r="AC10" s="42"/>
      <c r="AD10" s="42"/>
      <c r="AE10" s="54"/>
      <c r="AQ10" s="17" t="e" vm="12">
        <v>#VALUE!</v>
      </c>
    </row>
    <row r="11" spans="1:48" ht="15" hidden="1" customHeight="1">
      <c r="A11" s="212">
        <f>ROW() - ROW(Table1[[#Headers],[s]])</f>
        <v>10</v>
      </c>
      <c r="B11" s="42" t="s">
        <v>198</v>
      </c>
      <c r="C11" s="51">
        <v>46023</v>
      </c>
      <c r="D11" s="52" t="s">
        <v>199</v>
      </c>
      <c r="E11" s="42" t="e" vm="13">
        <v>#VALUE!</v>
      </c>
      <c r="F11" s="42" t="e" vm="12">
        <v>#VALUE!</v>
      </c>
      <c r="G11" s="43" t="s">
        <v>200</v>
      </c>
      <c r="H11" s="42" t="s">
        <v>152</v>
      </c>
      <c r="I11" s="42" t="s">
        <v>43</v>
      </c>
      <c r="J11" s="55" t="s">
        <v>153</v>
      </c>
      <c r="K11" s="42" t="s">
        <v>154</v>
      </c>
      <c r="L11" s="44">
        <v>46024.736111111109</v>
      </c>
      <c r="M11" s="55" t="s">
        <v>53</v>
      </c>
      <c r="N11" s="55" t="s">
        <v>53</v>
      </c>
      <c r="O11" s="56">
        <v>46025.5</v>
      </c>
      <c r="P11" s="57">
        <v>46025.5</v>
      </c>
      <c r="Q11" s="58">
        <v>46025.541666666664</v>
      </c>
      <c r="R11" s="42"/>
      <c r="S11" s="53" t="s">
        <v>201</v>
      </c>
      <c r="T11" s="55"/>
      <c r="U11" s="42"/>
      <c r="V11" s="53" t="s">
        <v>202</v>
      </c>
      <c r="W11" s="42"/>
      <c r="X11" s="42"/>
      <c r="Y11" s="42" t="s">
        <v>203</v>
      </c>
      <c r="Z11" s="42" t="s">
        <v>70</v>
      </c>
      <c r="AA11" s="42"/>
      <c r="AB11" s="47"/>
      <c r="AC11" s="42"/>
      <c r="AD11" s="42"/>
      <c r="AE11" s="54"/>
      <c r="AQ11" s="17" t="e" vm="2">
        <v>#VALUE!</v>
      </c>
    </row>
    <row r="12" spans="1:48" ht="15" hidden="1" customHeight="1">
      <c r="A12" s="212">
        <f>ROW() - ROW(Table1[[#Headers],[s]])</f>
        <v>11</v>
      </c>
      <c r="B12" s="42" t="s">
        <v>204</v>
      </c>
      <c r="C12" s="51">
        <v>46023</v>
      </c>
      <c r="D12" s="52" t="s">
        <v>205</v>
      </c>
      <c r="E12" s="42" t="e" vm="14">
        <v>#VALUE!</v>
      </c>
      <c r="F12" s="42" t="e" vm="1">
        <v>#VALUE!</v>
      </c>
      <c r="G12" s="43" t="s">
        <v>200</v>
      </c>
      <c r="H12" s="42" t="s">
        <v>152</v>
      </c>
      <c r="I12" s="42" t="s">
        <v>43</v>
      </c>
      <c r="J12" s="55" t="s">
        <v>153</v>
      </c>
      <c r="K12" s="42" t="s">
        <v>154</v>
      </c>
      <c r="L12" s="44">
        <v>46025.320138888892</v>
      </c>
      <c r="M12" s="55" t="s">
        <v>206</v>
      </c>
      <c r="N12" s="55" t="s">
        <v>206</v>
      </c>
      <c r="O12" s="56">
        <v>46025.583333333336</v>
      </c>
      <c r="P12" s="57">
        <v>46025.625</v>
      </c>
      <c r="Q12" s="58">
        <v>46025.666666666664</v>
      </c>
      <c r="R12" s="42"/>
      <c r="S12" s="53" t="s">
        <v>207</v>
      </c>
      <c r="T12" s="55"/>
      <c r="U12" s="42"/>
      <c r="V12" s="53" t="s">
        <v>208</v>
      </c>
      <c r="W12" s="42"/>
      <c r="X12" s="42"/>
      <c r="Y12" s="42" t="s">
        <v>203</v>
      </c>
      <c r="Z12" s="42" t="s">
        <v>70</v>
      </c>
      <c r="AA12" s="42"/>
      <c r="AB12" s="47"/>
      <c r="AC12" s="42"/>
      <c r="AD12" s="42"/>
      <c r="AE12" s="54"/>
      <c r="AQ12" s="17" t="e" vm="5">
        <v>#VALUE!</v>
      </c>
    </row>
    <row r="13" spans="1:48" ht="15" hidden="1" customHeight="1">
      <c r="A13" s="60">
        <f>ROW() - ROW(Table1[[#Headers],[s]])</f>
        <v>12</v>
      </c>
      <c r="B13" s="42" t="s">
        <v>209</v>
      </c>
      <c r="C13" s="51">
        <v>46023</v>
      </c>
      <c r="D13" s="52" t="s">
        <v>210</v>
      </c>
      <c r="E13" s="42" t="e" vm="15">
        <v>#VALUE!</v>
      </c>
      <c r="F13" s="42" t="e" vm="16">
        <v>#VALUE!</v>
      </c>
      <c r="G13" s="43" t="s">
        <v>200</v>
      </c>
      <c r="H13" s="42" t="s">
        <v>152</v>
      </c>
      <c r="I13" s="42" t="s">
        <v>211</v>
      </c>
      <c r="J13" s="55" t="s">
        <v>153</v>
      </c>
      <c r="K13" s="42" t="s">
        <v>154</v>
      </c>
      <c r="L13" s="44">
        <v>46025.61041666667</v>
      </c>
      <c r="M13" s="55" t="s">
        <v>212</v>
      </c>
      <c r="N13" s="55" t="s">
        <v>212</v>
      </c>
      <c r="O13" s="56">
        <v>46026.375</v>
      </c>
      <c r="P13" s="57">
        <v>46026.416666666664</v>
      </c>
      <c r="Q13" s="58">
        <v>46026.583333333336</v>
      </c>
      <c r="R13" s="42"/>
      <c r="S13" s="53" t="s">
        <v>213</v>
      </c>
      <c r="T13" s="55"/>
      <c r="U13" s="42"/>
      <c r="V13" s="53" t="s">
        <v>214</v>
      </c>
      <c r="W13" s="42"/>
      <c r="X13" s="42"/>
      <c r="Y13" s="42" t="s">
        <v>203</v>
      </c>
      <c r="Z13" s="42" t="s">
        <v>67</v>
      </c>
      <c r="AA13" s="42"/>
      <c r="AB13" s="42"/>
      <c r="AC13" s="42"/>
      <c r="AD13" s="42"/>
      <c r="AE13" s="54"/>
      <c r="AQ13" s="17" t="e" vm="17">
        <v>#VALUE!</v>
      </c>
    </row>
    <row r="14" spans="1:48" ht="15" hidden="1" customHeight="1">
      <c r="A14" s="212">
        <f>ROW() - ROW(Table1[[#Headers],[s]])</f>
        <v>13</v>
      </c>
      <c r="B14" s="42" t="s">
        <v>215</v>
      </c>
      <c r="C14" s="51">
        <v>46023</v>
      </c>
      <c r="D14" s="52" t="s">
        <v>216</v>
      </c>
      <c r="E14" s="42" t="e" vm="18">
        <v>#VALUE!</v>
      </c>
      <c r="F14" s="42" t="e" vm="19">
        <v>#VALUE!</v>
      </c>
      <c r="G14" s="43" t="s">
        <v>36</v>
      </c>
      <c r="H14" s="42" t="s">
        <v>152</v>
      </c>
      <c r="I14" s="42" t="s">
        <v>43</v>
      </c>
      <c r="J14" s="55" t="s">
        <v>153</v>
      </c>
      <c r="K14" s="42" t="s">
        <v>154</v>
      </c>
      <c r="L14" s="44">
        <v>46025.70416666667</v>
      </c>
      <c r="M14" s="55" t="s">
        <v>217</v>
      </c>
      <c r="N14" s="330" t="s">
        <v>217</v>
      </c>
      <c r="O14" s="43"/>
      <c r="P14" s="42"/>
      <c r="Q14" s="58">
        <v>46027.614583333336</v>
      </c>
      <c r="R14" s="42"/>
      <c r="S14" s="53" t="s">
        <v>218</v>
      </c>
      <c r="T14" s="55" t="s">
        <v>50</v>
      </c>
      <c r="U14" s="42"/>
      <c r="V14" s="53" t="s">
        <v>219</v>
      </c>
      <c r="W14" s="42"/>
      <c r="X14" s="42"/>
      <c r="Y14" s="42" t="s">
        <v>203</v>
      </c>
      <c r="Z14" s="42" t="s">
        <v>70</v>
      </c>
      <c r="AA14" s="42"/>
      <c r="AB14" s="47"/>
      <c r="AC14" s="42"/>
      <c r="AD14" s="42"/>
      <c r="AE14" s="54"/>
      <c r="AQ14" s="17" t="e" vm="16">
        <v>#VALUE!</v>
      </c>
    </row>
    <row r="15" spans="1:48" ht="15" hidden="1" customHeight="1">
      <c r="A15" s="212">
        <f>ROW() - ROW(Table1[[#Headers],[s]])</f>
        <v>14</v>
      </c>
      <c r="B15" s="42" t="s">
        <v>220</v>
      </c>
      <c r="C15" s="51">
        <v>46023</v>
      </c>
      <c r="D15" s="52" t="s">
        <v>221</v>
      </c>
      <c r="E15" s="42" t="e" vm="20">
        <v>#VALUE!</v>
      </c>
      <c r="F15" s="42" t="e" vm="21">
        <v>#VALUE!</v>
      </c>
      <c r="G15" s="43" t="s">
        <v>200</v>
      </c>
      <c r="H15" s="42" t="s">
        <v>152</v>
      </c>
      <c r="I15" s="42" t="s">
        <v>43</v>
      </c>
      <c r="J15" s="55" t="s">
        <v>153</v>
      </c>
      <c r="K15" s="42" t="s">
        <v>154</v>
      </c>
      <c r="L15" s="44">
        <v>46026.305555555555</v>
      </c>
      <c r="M15" s="55" t="s">
        <v>39</v>
      </c>
      <c r="N15" s="55" t="s">
        <v>39</v>
      </c>
      <c r="O15" s="56">
        <v>46026.5</v>
      </c>
      <c r="P15" s="57">
        <v>46026.541666666664</v>
      </c>
      <c r="Q15" s="58">
        <v>46026.541666666664</v>
      </c>
      <c r="R15" s="42"/>
      <c r="S15" s="53" t="s">
        <v>222</v>
      </c>
      <c r="T15" s="55"/>
      <c r="U15" s="42"/>
      <c r="V15" s="53" t="s">
        <v>223</v>
      </c>
      <c r="W15" s="42"/>
      <c r="X15" s="42"/>
      <c r="Y15" s="42" t="s">
        <v>203</v>
      </c>
      <c r="Z15" s="42" t="s">
        <v>70</v>
      </c>
      <c r="AA15" s="42"/>
      <c r="AB15" s="47"/>
      <c r="AC15" s="42"/>
      <c r="AD15" s="42"/>
      <c r="AE15" s="54"/>
      <c r="AQ15" s="17" t="e" vm="22">
        <v>#VALUE!</v>
      </c>
    </row>
    <row r="16" spans="1:48" ht="15" hidden="1" customHeight="1">
      <c r="A16" s="212">
        <f>ROW() - ROW(Table1[[#Headers],[s]])</f>
        <v>15</v>
      </c>
      <c r="B16" s="42" t="s">
        <v>224</v>
      </c>
      <c r="C16" s="51">
        <v>46023</v>
      </c>
      <c r="D16" s="62" t="s">
        <v>225</v>
      </c>
      <c r="E16" s="42" t="s">
        <v>226</v>
      </c>
      <c r="F16" s="42" t="e" vm="17">
        <v>#VALUE!</v>
      </c>
      <c r="G16" s="43" t="s">
        <v>200</v>
      </c>
      <c r="H16" s="42" t="s">
        <v>152</v>
      </c>
      <c r="I16" s="42" t="s">
        <v>43</v>
      </c>
      <c r="J16" s="55" t="s">
        <v>153</v>
      </c>
      <c r="K16" s="42" t="s">
        <v>154</v>
      </c>
      <c r="L16" s="44">
        <v>46026.424305555556</v>
      </c>
      <c r="M16" s="55" t="s">
        <v>227</v>
      </c>
      <c r="N16" s="55" t="s">
        <v>227</v>
      </c>
      <c r="O16" s="56">
        <v>46026.5</v>
      </c>
      <c r="P16" s="57">
        <v>46026.541666666664</v>
      </c>
      <c r="Q16" s="58">
        <v>46026.625</v>
      </c>
      <c r="R16" s="42"/>
      <c r="S16" s="53" t="s">
        <v>228</v>
      </c>
      <c r="T16" s="55"/>
      <c r="U16" s="42"/>
      <c r="V16" s="53" t="s">
        <v>229</v>
      </c>
      <c r="W16" s="42"/>
      <c r="X16" s="42"/>
      <c r="Y16" s="42" t="s">
        <v>203</v>
      </c>
      <c r="Z16" s="60" t="s">
        <v>67</v>
      </c>
      <c r="AA16" s="42"/>
      <c r="AB16" s="47"/>
      <c r="AC16" s="42"/>
      <c r="AD16" s="42"/>
      <c r="AE16" s="54"/>
      <c r="AQ16" s="17" t="e" vm="23">
        <v>#VALUE!</v>
      </c>
    </row>
    <row r="17" spans="1:47" ht="15" hidden="1" customHeight="1">
      <c r="A17" s="212">
        <f>ROW() - ROW(Table1[[#Headers],[s]])</f>
        <v>16</v>
      </c>
      <c r="B17" s="42" t="s">
        <v>230</v>
      </c>
      <c r="C17" s="51">
        <v>46023</v>
      </c>
      <c r="D17" s="52" t="s">
        <v>231</v>
      </c>
      <c r="E17" s="42" t="e" vm="24">
        <v>#VALUE!</v>
      </c>
      <c r="F17" s="42" t="e" vm="25">
        <v>#VALUE!</v>
      </c>
      <c r="G17" s="43" t="s">
        <v>200</v>
      </c>
      <c r="H17" s="42" t="s">
        <v>152</v>
      </c>
      <c r="I17" s="42" t="s">
        <v>43</v>
      </c>
      <c r="J17" s="55" t="s">
        <v>153</v>
      </c>
      <c r="K17" s="42" t="s">
        <v>154</v>
      </c>
      <c r="L17" s="44">
        <v>46026.419444444444</v>
      </c>
      <c r="M17" s="55" t="s">
        <v>232</v>
      </c>
      <c r="N17" s="55" t="s">
        <v>232</v>
      </c>
      <c r="O17" s="57">
        <v>46026.5</v>
      </c>
      <c r="P17" s="57">
        <v>46026.520833333336</v>
      </c>
      <c r="Q17" s="57">
        <v>46026.708333333336</v>
      </c>
      <c r="R17" s="42"/>
      <c r="S17" s="53" t="s">
        <v>233</v>
      </c>
      <c r="T17" s="55"/>
      <c r="U17" s="42"/>
      <c r="V17" s="53" t="s">
        <v>234</v>
      </c>
      <c r="W17" s="42"/>
      <c r="X17" s="42"/>
      <c r="Y17" s="42" t="s">
        <v>203</v>
      </c>
      <c r="Z17" s="42" t="s">
        <v>67</v>
      </c>
      <c r="AA17" s="42"/>
      <c r="AB17" s="47"/>
      <c r="AC17" s="42"/>
      <c r="AD17" s="42" t="s">
        <v>235</v>
      </c>
      <c r="AE17" s="54"/>
      <c r="AK17" t="s">
        <v>152</v>
      </c>
      <c r="AM17" t="s">
        <v>158</v>
      </c>
      <c r="AQ17" s="17" t="e" vm="26">
        <v>#VALUE!</v>
      </c>
    </row>
    <row r="18" spans="1:47" ht="15" hidden="1" customHeight="1">
      <c r="A18" s="212">
        <f>ROW() - ROW(Table1[[#Headers],[s]])</f>
        <v>17</v>
      </c>
      <c r="B18" s="42" t="s">
        <v>236</v>
      </c>
      <c r="C18" s="51">
        <v>46023</v>
      </c>
      <c r="D18" s="52" t="s">
        <v>237</v>
      </c>
      <c r="E18" s="42" t="e" vm="27">
        <v>#VALUE!</v>
      </c>
      <c r="F18" s="42" t="e" vm="10">
        <v>#VALUE!</v>
      </c>
      <c r="G18" s="43" t="s">
        <v>200</v>
      </c>
      <c r="H18" s="42" t="s">
        <v>152</v>
      </c>
      <c r="I18" s="42" t="s">
        <v>43</v>
      </c>
      <c r="J18" s="55" t="s">
        <v>153</v>
      </c>
      <c r="K18" s="42" t="s">
        <v>154</v>
      </c>
      <c r="L18" s="44">
        <v>46026.556944444441</v>
      </c>
      <c r="M18" s="55" t="s">
        <v>78</v>
      </c>
      <c r="N18" s="55" t="s">
        <v>78</v>
      </c>
      <c r="O18" s="56">
        <v>46026.583333333336</v>
      </c>
      <c r="P18" s="57">
        <v>46026.604166666664</v>
      </c>
      <c r="Q18" s="58">
        <v>46026.75</v>
      </c>
      <c r="R18" s="42"/>
      <c r="S18" s="53" t="s">
        <v>238</v>
      </c>
      <c r="T18" s="55"/>
      <c r="U18" s="42"/>
      <c r="V18" s="53" t="s">
        <v>239</v>
      </c>
      <c r="W18" s="42"/>
      <c r="X18" s="42"/>
      <c r="Y18" s="42" t="s">
        <v>203</v>
      </c>
      <c r="Z18" s="42" t="s">
        <v>70</v>
      </c>
      <c r="AA18" s="42"/>
      <c r="AB18" s="47"/>
      <c r="AC18" s="42"/>
      <c r="AD18" s="42"/>
      <c r="AE18" s="54"/>
      <c r="AK18" t="s">
        <v>240</v>
      </c>
      <c r="AM18" t="s">
        <v>70</v>
      </c>
      <c r="AQ18" s="17" t="e" vm="19">
        <v>#VALUE!</v>
      </c>
    </row>
    <row r="19" spans="1:47" ht="15" hidden="1" customHeight="1">
      <c r="A19" s="212">
        <f>ROW() - ROW(Table1[[#Headers],[s]])</f>
        <v>18</v>
      </c>
      <c r="B19" s="42" t="s">
        <v>241</v>
      </c>
      <c r="C19" s="51">
        <v>46023</v>
      </c>
      <c r="D19" s="52" t="s">
        <v>242</v>
      </c>
      <c r="E19" s="42" t="e" vm="28">
        <v>#VALUE!</v>
      </c>
      <c r="F19" s="42" t="e" vm="2">
        <v>#VALUE!</v>
      </c>
      <c r="G19" s="43" t="s">
        <v>200</v>
      </c>
      <c r="H19" s="42" t="s">
        <v>152</v>
      </c>
      <c r="I19" s="42" t="s">
        <v>43</v>
      </c>
      <c r="J19" s="55" t="s">
        <v>153</v>
      </c>
      <c r="K19" s="42" t="s">
        <v>154</v>
      </c>
      <c r="L19" s="44">
        <v>46026.611111111109</v>
      </c>
      <c r="M19" s="55" t="s">
        <v>162</v>
      </c>
      <c r="N19" s="55" t="s">
        <v>162</v>
      </c>
      <c r="O19" s="56">
        <v>46026.666666666664</v>
      </c>
      <c r="P19" s="57">
        <v>46026.6875</v>
      </c>
      <c r="Q19" s="58">
        <v>46026.75</v>
      </c>
      <c r="R19" s="42"/>
      <c r="S19" s="53" t="s">
        <v>243</v>
      </c>
      <c r="T19" s="55"/>
      <c r="U19" s="42"/>
      <c r="V19" s="53" t="s">
        <v>244</v>
      </c>
      <c r="W19" s="42"/>
      <c r="X19" s="42"/>
      <c r="Y19" s="42" t="s">
        <v>203</v>
      </c>
      <c r="Z19" s="42" t="s">
        <v>67</v>
      </c>
      <c r="AA19" s="42"/>
      <c r="AB19" s="47"/>
      <c r="AC19" s="42"/>
      <c r="AD19" s="42"/>
      <c r="AE19" s="54"/>
      <c r="AK19" t="s">
        <v>245</v>
      </c>
      <c r="AM19" t="s">
        <v>179</v>
      </c>
      <c r="AQ19" s="17" t="e" vm="7">
        <v>#VALUE!</v>
      </c>
    </row>
    <row r="20" spans="1:47" ht="15" hidden="1" customHeight="1">
      <c r="A20" s="60">
        <f>ROW() - ROW(Table1[[#Headers],[s]])</f>
        <v>19</v>
      </c>
      <c r="B20" s="60" t="s">
        <v>246</v>
      </c>
      <c r="C20" s="61">
        <v>46023</v>
      </c>
      <c r="D20" s="63" t="s">
        <v>247</v>
      </c>
      <c r="E20" s="60" t="e" vm="29">
        <v>#VALUE!</v>
      </c>
      <c r="F20" s="60" t="e" vm="10">
        <v>#VALUE!</v>
      </c>
      <c r="G20" s="64" t="s">
        <v>36</v>
      </c>
      <c r="H20" s="42" t="s">
        <v>152</v>
      </c>
      <c r="I20" s="42" t="s">
        <v>43</v>
      </c>
      <c r="J20" s="55" t="s">
        <v>153</v>
      </c>
      <c r="K20" s="60" t="s">
        <v>154</v>
      </c>
      <c r="L20" s="65">
        <v>46027.434027777781</v>
      </c>
      <c r="M20" s="55" t="s">
        <v>78</v>
      </c>
      <c r="N20" s="55" t="s">
        <v>78</v>
      </c>
      <c r="O20" s="64"/>
      <c r="P20" s="60"/>
      <c r="Q20" s="66">
        <v>46027.6875</v>
      </c>
      <c r="R20" s="60"/>
      <c r="S20" s="68" t="s">
        <v>248</v>
      </c>
      <c r="T20" s="67" t="s">
        <v>178</v>
      </c>
      <c r="U20" s="60"/>
      <c r="V20" s="68" t="s">
        <v>249</v>
      </c>
      <c r="W20" s="60"/>
      <c r="X20" s="60"/>
      <c r="Y20" s="42" t="s">
        <v>203</v>
      </c>
      <c r="Z20" s="42" t="s">
        <v>70</v>
      </c>
      <c r="AA20" s="60"/>
      <c r="AB20" s="60"/>
      <c r="AC20" s="60"/>
      <c r="AD20" s="60"/>
      <c r="AE20" s="69"/>
      <c r="AF20" s="17"/>
      <c r="AG20" s="17"/>
      <c r="AH20" s="17"/>
      <c r="AI20" s="17"/>
      <c r="AJ20" s="17"/>
      <c r="AK20" s="17"/>
      <c r="AL20" s="17"/>
      <c r="AM20" s="17"/>
      <c r="AN20" s="17"/>
      <c r="AO20" s="17"/>
      <c r="AP20" s="17"/>
      <c r="AQ20" s="17" t="e" vm="30">
        <v>#VALUE!</v>
      </c>
      <c r="AR20" s="17"/>
      <c r="AS20" s="17"/>
      <c r="AT20" s="17"/>
      <c r="AU20" s="17" t="s">
        <v>250</v>
      </c>
    </row>
    <row r="21" spans="1:47" ht="15" hidden="1" customHeight="1">
      <c r="A21" s="60">
        <f>ROW() - ROW(Table1[[#Headers],[s]])</f>
        <v>20</v>
      </c>
      <c r="B21" s="60" t="s">
        <v>251</v>
      </c>
      <c r="C21" s="61">
        <v>46023</v>
      </c>
      <c r="D21" s="63" t="s">
        <v>252</v>
      </c>
      <c r="E21" s="60" t="e" vm="9">
        <v>#VALUE!</v>
      </c>
      <c r="F21" s="60" t="e" vm="10">
        <v>#VALUE!</v>
      </c>
      <c r="G21" s="64" t="s">
        <v>36</v>
      </c>
      <c r="H21" s="60" t="s">
        <v>245</v>
      </c>
      <c r="I21" s="42" t="s">
        <v>43</v>
      </c>
      <c r="J21" s="67" t="s">
        <v>253</v>
      </c>
      <c r="K21" s="60" t="s">
        <v>154</v>
      </c>
      <c r="L21" s="65">
        <v>46027.492361111108</v>
      </c>
      <c r="M21" s="55" t="s">
        <v>78</v>
      </c>
      <c r="N21" s="55" t="s">
        <v>78</v>
      </c>
      <c r="O21" s="64"/>
      <c r="P21" s="60"/>
      <c r="Q21" s="66">
        <v>46027.917361111111</v>
      </c>
      <c r="R21" s="60"/>
      <c r="S21" s="68" t="s">
        <v>254</v>
      </c>
      <c r="T21" s="67" t="s">
        <v>50</v>
      </c>
      <c r="U21" s="60"/>
      <c r="V21" s="68" t="s">
        <v>255</v>
      </c>
      <c r="W21" s="60"/>
      <c r="X21" s="60"/>
      <c r="Y21" s="42" t="s">
        <v>70</v>
      </c>
      <c r="Z21" s="42" t="s">
        <v>70</v>
      </c>
      <c r="AA21" s="60"/>
      <c r="AB21" s="60"/>
      <c r="AC21" s="60"/>
      <c r="AD21" s="60"/>
      <c r="AE21" s="69"/>
      <c r="AF21" s="17"/>
      <c r="AG21" s="17"/>
      <c r="AH21" s="17"/>
      <c r="AI21" s="17"/>
      <c r="AJ21" s="17"/>
      <c r="AK21" s="17"/>
      <c r="AL21" s="17"/>
      <c r="AM21" s="17" t="s">
        <v>153</v>
      </c>
      <c r="AN21" s="17"/>
      <c r="AO21" s="17"/>
      <c r="AP21" s="17"/>
      <c r="AQ21" s="17" t="e" vm="31">
        <v>#VALUE!</v>
      </c>
      <c r="AR21" s="17"/>
      <c r="AS21" s="17"/>
      <c r="AT21" s="17"/>
      <c r="AU21" s="17" t="s">
        <v>256</v>
      </c>
    </row>
    <row r="22" spans="1:47" ht="15" hidden="1" customHeight="1">
      <c r="A22" s="60">
        <f>ROW() - ROW(Table1[[#Headers],[s]])</f>
        <v>21</v>
      </c>
      <c r="B22" s="60" t="s">
        <v>257</v>
      </c>
      <c r="C22" s="61">
        <v>46023</v>
      </c>
      <c r="D22" s="63" t="s">
        <v>258</v>
      </c>
      <c r="E22" s="60" t="e" vm="32">
        <v>#VALUE!</v>
      </c>
      <c r="F22" s="42" t="e" vm="7">
        <v>#VALUE!</v>
      </c>
      <c r="G22" s="64" t="s">
        <v>36</v>
      </c>
      <c r="H22" s="42" t="s">
        <v>152</v>
      </c>
      <c r="I22" s="42" t="s">
        <v>43</v>
      </c>
      <c r="J22" s="55" t="s">
        <v>153</v>
      </c>
      <c r="K22" s="42" t="s">
        <v>154</v>
      </c>
      <c r="L22" s="65">
        <v>46022.455555555556</v>
      </c>
      <c r="M22" s="67" t="s">
        <v>68</v>
      </c>
      <c r="N22" s="67" t="s">
        <v>68</v>
      </c>
      <c r="O22" s="64"/>
      <c r="P22" s="60"/>
      <c r="Q22" s="66">
        <v>46027.479166666664</v>
      </c>
      <c r="R22" s="60"/>
      <c r="S22" s="68" t="s">
        <v>259</v>
      </c>
      <c r="T22" s="67" t="s">
        <v>164</v>
      </c>
      <c r="U22" s="60"/>
      <c r="V22" s="68" t="s">
        <v>260</v>
      </c>
      <c r="W22" s="60"/>
      <c r="X22" s="60"/>
      <c r="Y22" s="42" t="s">
        <v>203</v>
      </c>
      <c r="Z22" s="42" t="s">
        <v>70</v>
      </c>
      <c r="AA22" s="60"/>
      <c r="AB22" s="60"/>
      <c r="AC22" s="60"/>
      <c r="AD22" s="60"/>
      <c r="AE22" s="69"/>
      <c r="AF22" s="17"/>
      <c r="AG22" s="17"/>
      <c r="AH22" s="17"/>
      <c r="AI22" s="17"/>
      <c r="AJ22" s="17"/>
      <c r="AK22" s="17"/>
      <c r="AL22" s="17"/>
      <c r="AM22" s="17" t="s">
        <v>261</v>
      </c>
      <c r="AN22" s="17"/>
      <c r="AO22" s="17"/>
      <c r="AP22" s="17"/>
      <c r="AQ22" s="17" t="e" vm="33">
        <v>#VALUE!</v>
      </c>
      <c r="AR22" s="17"/>
      <c r="AS22" s="17"/>
      <c r="AT22" s="17"/>
      <c r="AU22" s="17" t="s">
        <v>262</v>
      </c>
    </row>
    <row r="23" spans="1:47" ht="15" hidden="1" customHeight="1">
      <c r="A23" s="60">
        <f>ROW() - ROW(Table1[[#Headers],[s]])</f>
        <v>22</v>
      </c>
      <c r="B23" s="60" t="s">
        <v>263</v>
      </c>
      <c r="C23" s="61">
        <v>46023</v>
      </c>
      <c r="D23" s="63" t="s">
        <v>264</v>
      </c>
      <c r="E23" s="60" t="e" vm="34">
        <v>#VALUE!</v>
      </c>
      <c r="F23" s="68" t="e" vm="35">
        <v>#VALUE!</v>
      </c>
      <c r="G23" s="64" t="s">
        <v>36</v>
      </c>
      <c r="H23" s="42" t="s">
        <v>152</v>
      </c>
      <c r="I23" s="42" t="s">
        <v>43</v>
      </c>
      <c r="J23" s="55" t="s">
        <v>153</v>
      </c>
      <c r="K23" s="60" t="s">
        <v>154</v>
      </c>
      <c r="L23" s="65">
        <v>46027.702777777777</v>
      </c>
      <c r="M23" s="55" t="s">
        <v>155</v>
      </c>
      <c r="N23" s="55" t="s">
        <v>155</v>
      </c>
      <c r="O23" s="64"/>
      <c r="P23" s="60"/>
      <c r="Q23" s="66">
        <v>46027.90625</v>
      </c>
      <c r="R23" s="60"/>
      <c r="S23" s="68" t="s">
        <v>265</v>
      </c>
      <c r="T23" s="67" t="s">
        <v>266</v>
      </c>
      <c r="U23" s="60"/>
      <c r="V23" s="68" t="s">
        <v>267</v>
      </c>
      <c r="W23" s="60"/>
      <c r="X23" s="60"/>
      <c r="Y23" s="42" t="s">
        <v>203</v>
      </c>
      <c r="Z23" s="42" t="s">
        <v>70</v>
      </c>
      <c r="AA23" s="60"/>
      <c r="AB23" s="60"/>
      <c r="AC23" s="60"/>
      <c r="AD23" s="60"/>
      <c r="AE23" s="69"/>
      <c r="AF23" s="17"/>
      <c r="AG23" s="17"/>
      <c r="AH23" s="17"/>
      <c r="AI23" s="17"/>
      <c r="AJ23" s="17"/>
      <c r="AK23" s="17"/>
      <c r="AL23" s="17"/>
      <c r="AM23" s="17" t="s">
        <v>268</v>
      </c>
      <c r="AN23" s="17"/>
      <c r="AO23" s="17"/>
      <c r="AP23" s="17"/>
      <c r="AQ23" s="17" t="e" vm="21">
        <v>#VALUE!</v>
      </c>
      <c r="AR23" s="17"/>
      <c r="AS23" s="17"/>
      <c r="AT23" s="17"/>
      <c r="AU23" s="17" t="s">
        <v>269</v>
      </c>
    </row>
    <row r="24" spans="1:47" ht="15" hidden="1" customHeight="1">
      <c r="A24" s="60">
        <f>ROW() - ROW(Table1[[#Headers],[s]])</f>
        <v>23</v>
      </c>
      <c r="B24" s="60" t="s">
        <v>270</v>
      </c>
      <c r="C24" s="61">
        <v>46023</v>
      </c>
      <c r="D24" s="63" t="s">
        <v>271</v>
      </c>
      <c r="E24" s="60" t="e" vm="29">
        <v>#VALUE!</v>
      </c>
      <c r="F24" s="60" t="e" vm="10">
        <v>#VALUE!</v>
      </c>
      <c r="G24" s="64" t="s">
        <v>151</v>
      </c>
      <c r="H24" s="42" t="s">
        <v>152</v>
      </c>
      <c r="I24" s="70" t="s">
        <v>43</v>
      </c>
      <c r="J24" s="55" t="s">
        <v>153</v>
      </c>
      <c r="K24" s="60" t="s">
        <v>154</v>
      </c>
      <c r="L24" s="65">
        <v>46027.715277777781</v>
      </c>
      <c r="M24" s="55" t="s">
        <v>78</v>
      </c>
      <c r="N24" s="55" t="s">
        <v>78</v>
      </c>
      <c r="O24" s="71">
        <v>46028.690972222219</v>
      </c>
      <c r="P24" s="72">
        <v>46028.693749999999</v>
      </c>
      <c r="Q24" s="66">
        <v>46028.722222222219</v>
      </c>
      <c r="R24" s="60"/>
      <c r="S24" s="68" t="s">
        <v>272</v>
      </c>
      <c r="T24" s="67" t="s">
        <v>164</v>
      </c>
      <c r="U24" s="60"/>
      <c r="V24" s="68" t="s">
        <v>273</v>
      </c>
      <c r="W24" s="60"/>
      <c r="X24" s="60"/>
      <c r="Y24" s="42" t="s">
        <v>203</v>
      </c>
      <c r="Z24" s="42" t="s">
        <v>70</v>
      </c>
      <c r="AA24" s="60"/>
      <c r="AB24" s="60"/>
      <c r="AC24" s="60"/>
      <c r="AD24" s="60"/>
      <c r="AE24" s="69"/>
      <c r="AF24" s="17"/>
      <c r="AG24" s="17"/>
      <c r="AH24" s="17"/>
      <c r="AI24" s="17"/>
      <c r="AJ24" s="17"/>
      <c r="AK24" s="17"/>
      <c r="AL24" s="17"/>
      <c r="AM24" s="17" t="s">
        <v>253</v>
      </c>
      <c r="AN24" s="17"/>
      <c r="AO24" s="17"/>
      <c r="AP24" s="17"/>
      <c r="AQ24" s="17" t="e" vm="10">
        <v>#VALUE!</v>
      </c>
      <c r="AR24" s="17"/>
      <c r="AS24" s="17"/>
      <c r="AT24" s="17"/>
      <c r="AU24" s="17" t="s">
        <v>274</v>
      </c>
    </row>
    <row r="25" spans="1:47" ht="15" hidden="1" customHeight="1">
      <c r="A25" s="60">
        <f>ROW() - ROW(Table1[[#Headers],[s]])</f>
        <v>24</v>
      </c>
      <c r="B25" s="60" t="s">
        <v>275</v>
      </c>
      <c r="C25" s="61">
        <v>46023</v>
      </c>
      <c r="D25" s="63" t="s">
        <v>276</v>
      </c>
      <c r="E25" s="60" t="s">
        <v>277</v>
      </c>
      <c r="F25" s="60" t="e" vm="10">
        <v>#VALUE!</v>
      </c>
      <c r="G25" s="43" t="s">
        <v>151</v>
      </c>
      <c r="H25" s="42" t="s">
        <v>152</v>
      </c>
      <c r="I25" s="70" t="s">
        <v>43</v>
      </c>
      <c r="J25" s="55" t="s">
        <v>153</v>
      </c>
      <c r="K25" s="60" t="s">
        <v>154</v>
      </c>
      <c r="L25" s="65">
        <v>46027.719444444447</v>
      </c>
      <c r="M25" s="55" t="s">
        <v>78</v>
      </c>
      <c r="N25" s="55" t="s">
        <v>78</v>
      </c>
      <c r="O25" s="71">
        <v>46028.745138888888</v>
      </c>
      <c r="P25" s="72">
        <v>46028.773611111108</v>
      </c>
      <c r="Q25" s="66">
        <v>46028.818749999999</v>
      </c>
      <c r="R25" s="60"/>
      <c r="S25" s="68" t="s">
        <v>278</v>
      </c>
      <c r="T25" s="67" t="s">
        <v>164</v>
      </c>
      <c r="U25" s="60"/>
      <c r="V25" s="68" t="s">
        <v>278</v>
      </c>
      <c r="W25" s="60"/>
      <c r="X25" s="60"/>
      <c r="Y25" s="42" t="s">
        <v>203</v>
      </c>
      <c r="Z25" s="42" t="s">
        <v>70</v>
      </c>
      <c r="AA25" s="60"/>
      <c r="AB25" s="60"/>
      <c r="AC25" s="60"/>
      <c r="AD25" s="60"/>
      <c r="AE25" s="69"/>
      <c r="AF25" s="17"/>
      <c r="AG25" s="17"/>
      <c r="AH25" s="17"/>
      <c r="AI25" s="17"/>
      <c r="AJ25" s="17" t="s">
        <v>279</v>
      </c>
      <c r="AK25" s="17"/>
      <c r="AL25" s="17"/>
      <c r="AM25" s="17" t="s">
        <v>280</v>
      </c>
      <c r="AN25" s="17"/>
      <c r="AO25" s="17"/>
      <c r="AP25" s="17"/>
      <c r="AQ25" s="17" t="e" vm="35">
        <v>#VALUE!</v>
      </c>
      <c r="AR25" s="17"/>
      <c r="AS25" s="17"/>
      <c r="AT25" s="17"/>
      <c r="AU25" s="17" t="s">
        <v>281</v>
      </c>
    </row>
    <row r="26" spans="1:47" ht="15" customHeight="1">
      <c r="A26" s="60">
        <f>ROW() - ROW(Table1[[#Headers],[s]])</f>
        <v>25</v>
      </c>
      <c r="B26" s="60" t="s">
        <v>282</v>
      </c>
      <c r="C26" s="61">
        <v>46023</v>
      </c>
      <c r="D26" s="63" t="s">
        <v>283</v>
      </c>
      <c r="E26" s="60" t="e" vm="36">
        <v>#VALUE!</v>
      </c>
      <c r="F26" s="68" t="e" vm="11">
        <v>#VALUE!</v>
      </c>
      <c r="G26" s="43" t="s">
        <v>186</v>
      </c>
      <c r="H26" s="60" t="s">
        <v>245</v>
      </c>
      <c r="I26" s="42" t="s">
        <v>43</v>
      </c>
      <c r="J26" s="67" t="s">
        <v>253</v>
      </c>
      <c r="K26" s="60" t="s">
        <v>154</v>
      </c>
      <c r="L26" s="65">
        <v>46028.5625</v>
      </c>
      <c r="M26" s="55" t="s">
        <v>155</v>
      </c>
      <c r="N26" s="55" t="s">
        <v>155</v>
      </c>
      <c r="O26" s="71">
        <v>46028.703472222223</v>
      </c>
      <c r="P26" s="72">
        <v>46029.4375</v>
      </c>
      <c r="Q26" s="66">
        <v>46029.555555555555</v>
      </c>
      <c r="R26" s="60"/>
      <c r="S26" s="68" t="s">
        <v>284</v>
      </c>
      <c r="T26" s="67" t="s">
        <v>266</v>
      </c>
      <c r="U26" s="60"/>
      <c r="V26" s="68" t="s">
        <v>285</v>
      </c>
      <c r="W26" s="60"/>
      <c r="X26" s="60"/>
      <c r="Y26" s="42" t="s">
        <v>70</v>
      </c>
      <c r="Z26" s="60" t="s">
        <v>67</v>
      </c>
      <c r="AA26" s="60" t="s">
        <v>286</v>
      </c>
      <c r="AB26" s="60"/>
      <c r="AC26" s="60"/>
      <c r="AD26" s="60"/>
      <c r="AE26" s="69"/>
      <c r="AF26" s="17"/>
      <c r="AG26" s="17"/>
      <c r="AH26" s="17"/>
      <c r="AI26" s="17"/>
      <c r="AJ26" s="17"/>
      <c r="AK26" s="17"/>
      <c r="AL26" s="17"/>
      <c r="AM26" s="17" t="s">
        <v>287</v>
      </c>
      <c r="AN26" s="17"/>
      <c r="AO26" s="17"/>
      <c r="AP26" s="17"/>
      <c r="AQ26" s="17" t="e" vm="37">
        <v>#VALUE!</v>
      </c>
      <c r="AR26" s="17"/>
      <c r="AS26" s="17"/>
      <c r="AT26" s="17"/>
      <c r="AU26" s="17" t="s">
        <v>288</v>
      </c>
    </row>
    <row r="27" spans="1:47" ht="15" hidden="1" customHeight="1">
      <c r="A27" s="60">
        <f>ROW() - ROW(Table1[[#Headers],[s]])</f>
        <v>26</v>
      </c>
      <c r="B27" s="60" t="s">
        <v>289</v>
      </c>
      <c r="C27" s="61">
        <v>46023</v>
      </c>
      <c r="D27" s="63" t="s">
        <v>290</v>
      </c>
      <c r="E27" s="60" t="e" vm="38">
        <v>#VALUE!</v>
      </c>
      <c r="F27" s="60" t="e" vm="10">
        <v>#VALUE!</v>
      </c>
      <c r="G27" s="64" t="s">
        <v>151</v>
      </c>
      <c r="H27" s="42" t="s">
        <v>152</v>
      </c>
      <c r="I27" s="70" t="s">
        <v>43</v>
      </c>
      <c r="J27" s="55" t="s">
        <v>153</v>
      </c>
      <c r="K27" s="60" t="s">
        <v>154</v>
      </c>
      <c r="L27" s="65">
        <v>46028.681250000001</v>
      </c>
      <c r="M27" s="55" t="s">
        <v>78</v>
      </c>
      <c r="N27" s="55" t="s">
        <v>78</v>
      </c>
      <c r="O27" s="71">
        <v>46028.831250000003</v>
      </c>
      <c r="P27" s="72">
        <v>46028.840277777781</v>
      </c>
      <c r="Q27" s="66">
        <v>46028.864583333336</v>
      </c>
      <c r="R27" s="60"/>
      <c r="S27" s="68" t="s">
        <v>291</v>
      </c>
      <c r="T27" s="67" t="s">
        <v>164</v>
      </c>
      <c r="U27" s="60"/>
      <c r="V27" s="68" t="s">
        <v>291</v>
      </c>
      <c r="W27" s="60"/>
      <c r="X27" s="60"/>
      <c r="Y27" s="42" t="s">
        <v>203</v>
      </c>
      <c r="Z27" s="42" t="s">
        <v>70</v>
      </c>
      <c r="AA27" s="60"/>
      <c r="AB27" s="60"/>
      <c r="AC27" s="60"/>
      <c r="AD27" s="60"/>
      <c r="AE27" s="69"/>
      <c r="AF27" s="17"/>
      <c r="AG27" s="17"/>
      <c r="AH27" s="17"/>
      <c r="AI27" s="17"/>
      <c r="AJ27" s="17"/>
      <c r="AK27" s="17"/>
      <c r="AL27" s="17"/>
      <c r="AM27" s="17"/>
      <c r="AN27" s="17"/>
      <c r="AO27" s="17"/>
      <c r="AP27" s="17"/>
      <c r="AQ27" s="17" t="e" vm="39">
        <v>#VALUE!</v>
      </c>
      <c r="AR27" s="17"/>
      <c r="AS27" s="17"/>
      <c r="AT27" s="17"/>
      <c r="AU27" s="17" t="s">
        <v>292</v>
      </c>
    </row>
    <row r="28" spans="1:47" ht="15" hidden="1" customHeight="1">
      <c r="A28" s="60">
        <f>ROW() - ROW(Table1[[#Headers],[s]])</f>
        <v>27</v>
      </c>
      <c r="B28" s="60" t="s">
        <v>293</v>
      </c>
      <c r="C28" s="61" t="s">
        <v>60</v>
      </c>
      <c r="D28" s="63" t="s">
        <v>294</v>
      </c>
      <c r="E28" s="60" t="e" vm="29">
        <v>#VALUE!</v>
      </c>
      <c r="F28" s="60" t="e" vm="10">
        <v>#VALUE!</v>
      </c>
      <c r="G28" s="64" t="s">
        <v>151</v>
      </c>
      <c r="H28" s="42" t="s">
        <v>152</v>
      </c>
      <c r="I28" s="70" t="s">
        <v>43</v>
      </c>
      <c r="J28" s="55" t="s">
        <v>153</v>
      </c>
      <c r="K28" s="60" t="s">
        <v>154</v>
      </c>
      <c r="L28" s="65">
        <v>46028.679166666669</v>
      </c>
      <c r="M28" s="55" t="s">
        <v>78</v>
      </c>
      <c r="N28" s="55" t="s">
        <v>78</v>
      </c>
      <c r="O28" s="71">
        <v>46028.726388888892</v>
      </c>
      <c r="P28" s="71">
        <v>46028.726388888892</v>
      </c>
      <c r="Q28" s="66">
        <v>46028.730555555558</v>
      </c>
      <c r="R28" s="60"/>
      <c r="S28" s="68" t="s">
        <v>295</v>
      </c>
      <c r="T28" s="67" t="s">
        <v>164</v>
      </c>
      <c r="U28" s="60"/>
      <c r="V28" s="68" t="s">
        <v>295</v>
      </c>
      <c r="W28" s="60"/>
      <c r="X28" s="60"/>
      <c r="Y28" s="42" t="s">
        <v>203</v>
      </c>
      <c r="Z28" s="42" t="s">
        <v>70</v>
      </c>
      <c r="AA28" s="60"/>
      <c r="AB28" s="60"/>
      <c r="AC28" s="60"/>
      <c r="AD28" s="60"/>
      <c r="AE28" s="69"/>
      <c r="AF28" s="17"/>
      <c r="AG28" s="17"/>
      <c r="AH28" s="17"/>
      <c r="AI28" s="17"/>
      <c r="AJ28" s="17"/>
      <c r="AK28" s="17"/>
      <c r="AL28" s="17"/>
      <c r="AM28" s="17"/>
      <c r="AN28" s="17"/>
      <c r="AO28" s="17"/>
      <c r="AP28" s="17"/>
      <c r="AQ28" s="17" t="e" vm="40">
        <v>#VALUE!</v>
      </c>
      <c r="AR28" s="17"/>
      <c r="AS28" s="17"/>
      <c r="AT28" s="17"/>
      <c r="AU28" s="17" t="s">
        <v>71</v>
      </c>
    </row>
    <row r="29" spans="1:47" ht="15" customHeight="1">
      <c r="A29" s="60">
        <f>ROW() - ROW(Table1[[#Headers],[s]])</f>
        <v>28</v>
      </c>
      <c r="B29" s="60" t="s">
        <v>296</v>
      </c>
      <c r="C29" s="61">
        <v>46023</v>
      </c>
      <c r="D29" s="63" t="s">
        <v>297</v>
      </c>
      <c r="E29" s="60" t="e" vm="41">
        <v>#VALUE!</v>
      </c>
      <c r="F29" s="68" t="e" vm="26">
        <v>#VALUE!</v>
      </c>
      <c r="G29" s="43" t="s">
        <v>186</v>
      </c>
      <c r="H29" s="42" t="s">
        <v>152</v>
      </c>
      <c r="I29" s="42" t="s">
        <v>43</v>
      </c>
      <c r="J29" s="55" t="s">
        <v>153</v>
      </c>
      <c r="K29" s="60" t="s">
        <v>154</v>
      </c>
      <c r="L29" s="65">
        <v>46028.680555555555</v>
      </c>
      <c r="M29" s="67" t="s">
        <v>59</v>
      </c>
      <c r="N29" s="67" t="s">
        <v>59</v>
      </c>
      <c r="O29" s="71">
        <v>46029.416666666664</v>
      </c>
      <c r="P29" s="72">
        <v>46029.423611111109</v>
      </c>
      <c r="Q29" s="66">
        <v>46029.490972222222</v>
      </c>
      <c r="R29" s="60"/>
      <c r="S29" s="68" t="s">
        <v>298</v>
      </c>
      <c r="T29" s="67" t="s">
        <v>164</v>
      </c>
      <c r="U29" s="60"/>
      <c r="V29" s="68" t="s">
        <v>299</v>
      </c>
      <c r="W29" s="60"/>
      <c r="X29" s="60"/>
      <c r="Y29" s="42" t="s">
        <v>203</v>
      </c>
      <c r="Z29" t="s">
        <v>67</v>
      </c>
      <c r="AB29" s="60"/>
      <c r="AC29" s="60"/>
      <c r="AD29" s="60"/>
      <c r="AE29" s="69"/>
      <c r="AF29" s="17"/>
      <c r="AG29" s="17"/>
      <c r="AH29" s="17"/>
      <c r="AI29" s="17"/>
      <c r="AJ29" s="17"/>
      <c r="AK29" s="17"/>
      <c r="AL29" s="17"/>
      <c r="AM29" s="17"/>
      <c r="AN29" s="17"/>
      <c r="AO29" s="17"/>
      <c r="AP29" s="17"/>
      <c r="AQ29" s="17" t="e" vm="42">
        <v>#VALUE!</v>
      </c>
      <c r="AR29" s="17"/>
      <c r="AS29" s="17"/>
      <c r="AT29" s="17"/>
      <c r="AU29" s="17" t="s">
        <v>300</v>
      </c>
    </row>
    <row r="30" spans="1:47" ht="15" hidden="1" customHeight="1">
      <c r="A30" s="60">
        <f>ROW() - ROW(Table1[[#Headers],[s]])</f>
        <v>29</v>
      </c>
      <c r="B30" s="60" t="s">
        <v>301</v>
      </c>
      <c r="C30" s="61">
        <v>46023</v>
      </c>
      <c r="D30" s="63" t="s">
        <v>302</v>
      </c>
      <c r="E30" s="60" t="e" vm="43">
        <v>#VALUE!</v>
      </c>
      <c r="F30" s="42" t="e" vm="7">
        <v>#VALUE!</v>
      </c>
      <c r="G30" s="43" t="s">
        <v>174</v>
      </c>
      <c r="H30" s="42" t="s">
        <v>152</v>
      </c>
      <c r="I30" s="42" t="s">
        <v>175</v>
      </c>
      <c r="J30" s="55" t="s">
        <v>153</v>
      </c>
      <c r="K30" s="60" t="s">
        <v>154</v>
      </c>
      <c r="L30" s="65">
        <v>46029.777083333334</v>
      </c>
      <c r="M30" s="67" t="s">
        <v>68</v>
      </c>
      <c r="N30" s="67" t="s">
        <v>68</v>
      </c>
      <c r="O30" s="71">
        <v>45665.333333333336</v>
      </c>
      <c r="P30" s="71">
        <v>45665.354166666664</v>
      </c>
      <c r="Q30" s="71">
        <v>46030.385416666664</v>
      </c>
      <c r="R30" s="60"/>
      <c r="S30" s="376" t="s">
        <v>303</v>
      </c>
      <c r="T30" s="67" t="s">
        <v>164</v>
      </c>
      <c r="U30" s="60"/>
      <c r="V30" s="376" t="s">
        <v>303</v>
      </c>
      <c r="W30" s="60"/>
      <c r="X30" s="60"/>
      <c r="Y30" s="42" t="s">
        <v>203</v>
      </c>
      <c r="Z30" s="60" t="s">
        <v>67</v>
      </c>
      <c r="AA30" s="60"/>
      <c r="AB30" s="60"/>
      <c r="AC30" s="60"/>
      <c r="AD30" s="60"/>
      <c r="AE30" s="69"/>
      <c r="AF30" s="17"/>
      <c r="AG30" s="17"/>
      <c r="AH30" s="17"/>
      <c r="AI30" s="17"/>
      <c r="AJ30" s="17"/>
      <c r="AK30" s="17"/>
      <c r="AL30" s="17"/>
      <c r="AM30" s="17"/>
      <c r="AN30" s="17"/>
      <c r="AO30" s="17"/>
      <c r="AP30" s="17"/>
      <c r="AQ30" s="17" t="e" vm="1">
        <v>#VALUE!</v>
      </c>
      <c r="AR30" s="17"/>
      <c r="AS30" s="17"/>
      <c r="AT30" s="17"/>
      <c r="AU30" s="17" t="s">
        <v>304</v>
      </c>
    </row>
    <row r="31" spans="1:47" ht="15.75" hidden="1" customHeight="1">
      <c r="A31" s="60">
        <f>ROW() - ROW(Table1[[#Headers],[s]])</f>
        <v>30</v>
      </c>
      <c r="B31" s="74" t="s">
        <v>305</v>
      </c>
      <c r="C31" s="75">
        <v>46023</v>
      </c>
      <c r="D31" s="63" t="s">
        <v>306</v>
      </c>
      <c r="E31" s="60" t="e" vm="44">
        <v>#VALUE!</v>
      </c>
      <c r="F31" s="60" t="e" vm="7">
        <v>#VALUE!</v>
      </c>
      <c r="G31" s="43" t="s">
        <v>174</v>
      </c>
      <c r="H31" s="42" t="s">
        <v>152</v>
      </c>
      <c r="I31" s="42" t="s">
        <v>175</v>
      </c>
      <c r="J31" s="55" t="s">
        <v>153</v>
      </c>
      <c r="K31" s="60" t="s">
        <v>154</v>
      </c>
      <c r="L31" s="65">
        <v>46030.31527777778</v>
      </c>
      <c r="M31" s="67" t="s">
        <v>68</v>
      </c>
      <c r="N31" s="67" t="s">
        <v>68</v>
      </c>
      <c r="O31" s="65">
        <v>46235.395833333336</v>
      </c>
      <c r="P31" s="65">
        <v>46235.4375</v>
      </c>
      <c r="Q31" s="65">
        <v>46030.53125</v>
      </c>
      <c r="R31" s="60"/>
      <c r="S31" s="68" t="s">
        <v>307</v>
      </c>
      <c r="T31" s="67"/>
      <c r="U31" s="60"/>
      <c r="V31" s="68" t="s">
        <v>308</v>
      </c>
      <c r="W31" s="60"/>
      <c r="X31" s="60"/>
      <c r="Y31" s="60" t="s">
        <v>158</v>
      </c>
      <c r="Z31" s="60" t="s">
        <v>67</v>
      </c>
      <c r="AA31" s="60"/>
      <c r="AB31" s="60"/>
      <c r="AC31" s="60"/>
      <c r="AD31" s="60"/>
      <c r="AE31" s="69"/>
      <c r="AF31" s="17"/>
      <c r="AG31" s="17"/>
      <c r="AH31" s="17"/>
      <c r="AI31" s="17"/>
      <c r="AJ31" s="17"/>
      <c r="AK31" s="17"/>
      <c r="AL31" s="17"/>
      <c r="AM31" s="17"/>
      <c r="AN31" s="17"/>
      <c r="AO31" s="17"/>
      <c r="AP31" s="17"/>
      <c r="AQ31" s="17" t="e" vm="45">
        <v>#VALUE!</v>
      </c>
      <c r="AR31" s="17"/>
      <c r="AS31" s="17"/>
      <c r="AT31" s="17"/>
      <c r="AU31" s="17" t="s">
        <v>309</v>
      </c>
    </row>
    <row r="32" spans="1:47" ht="15.75" hidden="1" customHeight="1">
      <c r="A32" s="60">
        <f>ROW() - ROW(Table1[[#Headers],[s]])</f>
        <v>31</v>
      </c>
      <c r="B32" s="74" t="s">
        <v>310</v>
      </c>
      <c r="C32" s="75">
        <v>46023</v>
      </c>
      <c r="D32" s="52" t="s">
        <v>311</v>
      </c>
      <c r="E32" s="60" t="e" vm="9">
        <v>#VALUE!</v>
      </c>
      <c r="F32" s="42" t="e" vm="10">
        <v>#VALUE!</v>
      </c>
      <c r="G32" s="43" t="s">
        <v>174</v>
      </c>
      <c r="H32" s="42" t="s">
        <v>152</v>
      </c>
      <c r="I32" s="42" t="s">
        <v>175</v>
      </c>
      <c r="J32" s="55" t="s">
        <v>153</v>
      </c>
      <c r="K32" s="60" t="s">
        <v>154</v>
      </c>
      <c r="L32" s="65">
        <v>46030.574305555558</v>
      </c>
      <c r="M32" s="55" t="s">
        <v>78</v>
      </c>
      <c r="N32" s="55" t="s">
        <v>78</v>
      </c>
      <c r="O32" s="65">
        <v>45870.618055555555</v>
      </c>
      <c r="P32" s="65">
        <v>45870.635416666664</v>
      </c>
      <c r="Q32" s="65">
        <v>46030.677083333336</v>
      </c>
      <c r="R32" s="60"/>
      <c r="S32" s="68" t="s">
        <v>312</v>
      </c>
      <c r="T32" s="67"/>
      <c r="U32" s="60"/>
      <c r="V32" s="68" t="s">
        <v>183</v>
      </c>
      <c r="W32" s="60"/>
      <c r="X32" s="60"/>
      <c r="Y32" s="42" t="s">
        <v>203</v>
      </c>
      <c r="Z32" s="42" t="s">
        <v>70</v>
      </c>
      <c r="AA32" s="60"/>
      <c r="AB32" s="60"/>
      <c r="AC32" s="60"/>
      <c r="AD32" s="60"/>
      <c r="AE32" s="69"/>
      <c r="AF32" s="17"/>
      <c r="AG32" s="17"/>
      <c r="AH32" s="17"/>
      <c r="AI32" s="17"/>
      <c r="AJ32" s="17"/>
      <c r="AK32" s="17"/>
      <c r="AL32" s="17"/>
      <c r="AM32" s="17"/>
      <c r="AN32" s="17"/>
      <c r="AO32" s="17"/>
      <c r="AP32" s="17"/>
      <c r="AQ32" s="17" t="e" vm="46">
        <v>#VALUE!</v>
      </c>
      <c r="AR32" s="17"/>
      <c r="AS32" s="17"/>
      <c r="AT32" s="17"/>
      <c r="AU32" s="17" t="s">
        <v>313</v>
      </c>
    </row>
    <row r="33" spans="1:47" s="35" customFormat="1" ht="15.75" hidden="1" customHeight="1">
      <c r="A33" s="80">
        <f>ROW() - ROW(Table1[[#Headers],[s]])</f>
        <v>32</v>
      </c>
      <c r="B33" s="76" t="s">
        <v>314</v>
      </c>
      <c r="C33" s="77">
        <v>46023</v>
      </c>
      <c r="D33" s="62" t="s">
        <v>315</v>
      </c>
      <c r="E33" s="78" t="s">
        <v>316</v>
      </c>
      <c r="F33" s="78" t="e" vm="37">
        <v>#VALUE!</v>
      </c>
      <c r="G33" s="79" t="s">
        <v>200</v>
      </c>
      <c r="H33" s="78" t="s">
        <v>152</v>
      </c>
      <c r="I33" s="80" t="s">
        <v>211</v>
      </c>
      <c r="J33" s="335" t="s">
        <v>153</v>
      </c>
      <c r="K33" s="80" t="s">
        <v>154</v>
      </c>
      <c r="L33" s="81">
        <v>46030.560416666667</v>
      </c>
      <c r="M33" s="84" t="s">
        <v>59</v>
      </c>
      <c r="N33" s="84" t="s">
        <v>317</v>
      </c>
      <c r="O33" s="82"/>
      <c r="P33" s="80"/>
      <c r="Q33" s="83"/>
      <c r="R33" s="80"/>
      <c r="S33" s="85"/>
      <c r="T33" s="84"/>
      <c r="U33" s="80"/>
      <c r="V33" s="85"/>
      <c r="W33" s="80"/>
      <c r="X33" s="80"/>
      <c r="Y33" s="80" t="s">
        <v>70</v>
      </c>
      <c r="Z33" s="80" t="s">
        <v>67</v>
      </c>
      <c r="AA33" s="80"/>
      <c r="AB33" s="80"/>
      <c r="AC33" s="80"/>
      <c r="AD33" s="80"/>
      <c r="AE33" s="86"/>
      <c r="AF33" s="34"/>
      <c r="AG33" s="34"/>
      <c r="AH33" s="34"/>
      <c r="AI33" s="34"/>
      <c r="AJ33" s="34"/>
      <c r="AK33" s="34"/>
      <c r="AL33" s="34"/>
      <c r="AM33" s="34"/>
      <c r="AN33" s="34"/>
      <c r="AO33" s="34"/>
      <c r="AP33" s="34"/>
      <c r="AQ33" s="34" t="e" vm="25">
        <v>#VALUE!</v>
      </c>
      <c r="AR33" s="34"/>
      <c r="AS33" s="34"/>
      <c r="AT33" s="34"/>
      <c r="AU33" s="34" t="s">
        <v>318</v>
      </c>
    </row>
    <row r="34" spans="1:47" ht="15.75" hidden="1" customHeight="1">
      <c r="A34" s="60">
        <f>ROW() - ROW(Table1[[#Headers],[s]])</f>
        <v>33</v>
      </c>
      <c r="B34" s="74" t="s">
        <v>319</v>
      </c>
      <c r="C34" s="75">
        <v>46023</v>
      </c>
      <c r="D34" s="52" t="s">
        <v>320</v>
      </c>
      <c r="E34" s="42" t="e" vm="47">
        <v>#VALUE!</v>
      </c>
      <c r="F34" s="42" t="e" vm="5">
        <v>#VALUE!</v>
      </c>
      <c r="G34" s="43" t="s">
        <v>174</v>
      </c>
      <c r="H34" s="42" t="s">
        <v>152</v>
      </c>
      <c r="I34" s="42" t="s">
        <v>175</v>
      </c>
      <c r="J34" s="55" t="s">
        <v>153</v>
      </c>
      <c r="K34" s="60" t="s">
        <v>154</v>
      </c>
      <c r="L34" s="65">
        <v>46030.573611111111</v>
      </c>
      <c r="M34" s="67" t="s">
        <v>55</v>
      </c>
      <c r="N34" s="67" t="s">
        <v>55</v>
      </c>
      <c r="O34" s="65">
        <v>45870.635416666664</v>
      </c>
      <c r="P34" s="65">
        <v>45870.663194444445</v>
      </c>
      <c r="Q34" s="65">
        <v>46030.743055555555</v>
      </c>
      <c r="R34" s="60"/>
      <c r="S34" s="68" t="s">
        <v>321</v>
      </c>
      <c r="T34" s="67"/>
      <c r="U34" s="60"/>
      <c r="V34" s="68" t="s">
        <v>322</v>
      </c>
      <c r="W34" s="60"/>
      <c r="X34" s="60"/>
      <c r="Y34" s="42" t="s">
        <v>203</v>
      </c>
      <c r="Z34" s="42" t="s">
        <v>70</v>
      </c>
      <c r="AA34" s="60"/>
      <c r="AB34" s="60"/>
      <c r="AC34" s="60"/>
      <c r="AD34" s="60"/>
      <c r="AE34" s="69"/>
      <c r="AF34" s="17"/>
      <c r="AG34" s="17"/>
      <c r="AH34" s="17"/>
      <c r="AI34" s="17"/>
      <c r="AJ34" s="17"/>
      <c r="AK34" s="17"/>
      <c r="AL34" s="17"/>
      <c r="AM34" s="17"/>
      <c r="AN34" s="17"/>
      <c r="AO34" s="17"/>
      <c r="AP34" s="17"/>
      <c r="AQ34" s="17" t="e" vm="39">
        <v>#VALUE!</v>
      </c>
      <c r="AR34" s="17"/>
      <c r="AS34" s="17"/>
      <c r="AT34" s="17"/>
      <c r="AU34" s="17" t="s">
        <v>323</v>
      </c>
    </row>
    <row r="35" spans="1:47" ht="15.75" hidden="1" customHeight="1">
      <c r="A35" s="60">
        <f>ROW() - ROW(Table1[[#Headers],[s]])</f>
        <v>34</v>
      </c>
      <c r="B35" s="74" t="s">
        <v>324</v>
      </c>
      <c r="C35" s="61">
        <v>46023</v>
      </c>
      <c r="D35" s="63" t="s">
        <v>325</v>
      </c>
      <c r="E35" s="60" t="e" vm="48">
        <v>#VALUE!</v>
      </c>
      <c r="F35" s="60" t="e" vm="5">
        <v>#VALUE!</v>
      </c>
      <c r="G35" s="43" t="s">
        <v>200</v>
      </c>
      <c r="H35" s="42" t="s">
        <v>152</v>
      </c>
      <c r="I35" s="60" t="s">
        <v>43</v>
      </c>
      <c r="J35" s="55" t="s">
        <v>153</v>
      </c>
      <c r="K35" s="60" t="s">
        <v>154</v>
      </c>
      <c r="L35" s="65">
        <v>46030.713194444441</v>
      </c>
      <c r="M35" s="67" t="s">
        <v>55</v>
      </c>
      <c r="N35" s="67" t="s">
        <v>55</v>
      </c>
      <c r="O35" s="71">
        <v>46031.375</v>
      </c>
      <c r="P35" s="72">
        <v>46031.395833333336</v>
      </c>
      <c r="Q35" s="66">
        <v>46031.416666666664</v>
      </c>
      <c r="R35" s="60"/>
      <c r="S35" s="68" t="s">
        <v>326</v>
      </c>
      <c r="T35" s="67"/>
      <c r="U35" s="60"/>
      <c r="V35" s="68" t="s">
        <v>327</v>
      </c>
      <c r="W35" s="60"/>
      <c r="X35" s="60"/>
      <c r="Y35" s="60" t="s">
        <v>70</v>
      </c>
      <c r="Z35" s="60" t="s">
        <v>70</v>
      </c>
      <c r="AA35" s="60"/>
      <c r="AB35" s="60"/>
      <c r="AC35" s="60"/>
      <c r="AD35" s="60"/>
      <c r="AE35" s="69"/>
      <c r="AF35" s="17"/>
      <c r="AG35" s="17"/>
      <c r="AH35" s="17"/>
      <c r="AI35" s="17"/>
      <c r="AJ35" s="17"/>
      <c r="AK35" s="17"/>
      <c r="AL35" s="17"/>
      <c r="AM35" s="17"/>
      <c r="AN35" s="17"/>
      <c r="AO35" s="17"/>
      <c r="AP35" s="17"/>
      <c r="AQ35" s="17" t="e" vm="49">
        <v>#VALUE!</v>
      </c>
      <c r="AR35" s="17"/>
      <c r="AS35" s="17"/>
      <c r="AT35" s="17"/>
      <c r="AU35" s="17" t="s">
        <v>328</v>
      </c>
    </row>
    <row r="36" spans="1:47" ht="15" hidden="1" customHeight="1">
      <c r="A36" s="60">
        <f>ROW() - ROW(Table1[[#Headers],[s]])</f>
        <v>35</v>
      </c>
      <c r="B36" s="60" t="s">
        <v>329</v>
      </c>
      <c r="C36" s="61">
        <v>46023</v>
      </c>
      <c r="D36" s="63" t="s">
        <v>330</v>
      </c>
      <c r="E36" s="60" t="e" vm="50">
        <v>#VALUE!</v>
      </c>
      <c r="F36" s="60" t="e" vm="26">
        <v>#VALUE!</v>
      </c>
      <c r="G36" s="43" t="s">
        <v>200</v>
      </c>
      <c r="H36" s="60" t="s">
        <v>331</v>
      </c>
      <c r="I36" s="60" t="s">
        <v>43</v>
      </c>
      <c r="J36" s="67" t="s">
        <v>253</v>
      </c>
      <c r="K36" s="60" t="s">
        <v>332</v>
      </c>
      <c r="L36" s="65">
        <v>46030.679166666669</v>
      </c>
      <c r="M36" s="67" t="s">
        <v>59</v>
      </c>
      <c r="N36" s="67" t="s">
        <v>59</v>
      </c>
      <c r="O36" s="71">
        <v>46031.416666666664</v>
      </c>
      <c r="P36" s="72">
        <v>46031.5</v>
      </c>
      <c r="Q36" s="66">
        <v>46031.584722222222</v>
      </c>
      <c r="R36" s="60"/>
      <c r="S36" s="68" t="s">
        <v>333</v>
      </c>
      <c r="T36" s="67" t="s">
        <v>334</v>
      </c>
      <c r="U36" s="60"/>
      <c r="V36" s="68" t="s">
        <v>239</v>
      </c>
      <c r="W36" s="60"/>
      <c r="X36" s="60"/>
      <c r="Y36" s="60" t="s">
        <v>70</v>
      </c>
      <c r="Z36" s="60" t="s">
        <v>70</v>
      </c>
      <c r="AA36" s="60"/>
      <c r="AB36" s="60"/>
      <c r="AC36" s="60"/>
      <c r="AD36" s="60"/>
      <c r="AE36" s="69"/>
      <c r="AF36" s="17"/>
      <c r="AG36" s="17"/>
      <c r="AH36" s="17"/>
      <c r="AI36" s="17"/>
      <c r="AJ36" s="17"/>
      <c r="AK36" s="17"/>
      <c r="AL36" s="17"/>
      <c r="AM36" s="17"/>
      <c r="AN36" s="17"/>
      <c r="AO36" s="17"/>
      <c r="AP36" s="17"/>
      <c r="AQ36" s="17" t="e" vm="51">
        <v>#VALUE!</v>
      </c>
      <c r="AR36" s="17"/>
      <c r="AS36" s="17"/>
      <c r="AT36" s="17"/>
      <c r="AU36" s="17" t="s">
        <v>335</v>
      </c>
    </row>
    <row r="37" spans="1:47" s="464" customFormat="1" ht="15" hidden="1" customHeight="1">
      <c r="A37" s="463">
        <f>ROW() - ROW(Table1[[#Headers],[s]])</f>
        <v>36</v>
      </c>
      <c r="B37" s="463" t="s">
        <v>336</v>
      </c>
      <c r="C37" s="476">
        <v>46023</v>
      </c>
      <c r="D37" s="477" t="s">
        <v>337</v>
      </c>
      <c r="E37" s="463" t="e" vm="9">
        <v>#VALUE!</v>
      </c>
      <c r="F37" s="463" t="e" vm="10">
        <v>#VALUE!</v>
      </c>
      <c r="G37" s="478" t="s">
        <v>174</v>
      </c>
      <c r="H37" s="463" t="s">
        <v>331</v>
      </c>
      <c r="I37" s="479" t="s">
        <v>175</v>
      </c>
      <c r="J37" s="480" t="s">
        <v>253</v>
      </c>
      <c r="K37" s="463" t="s">
        <v>338</v>
      </c>
      <c r="L37" s="481">
        <v>46030.59375</v>
      </c>
      <c r="M37" s="471" t="s">
        <v>78</v>
      </c>
      <c r="N37" s="55" t="s">
        <v>78</v>
      </c>
      <c r="O37" s="481">
        <v>46030.638888888891</v>
      </c>
      <c r="P37" s="481">
        <v>45665.618055555555</v>
      </c>
      <c r="Q37" s="481">
        <v>46030.743055555555</v>
      </c>
      <c r="R37" s="463"/>
      <c r="S37" s="482" t="s">
        <v>339</v>
      </c>
      <c r="T37" s="480" t="s">
        <v>340</v>
      </c>
      <c r="U37" s="463"/>
      <c r="V37" s="482" t="s">
        <v>341</v>
      </c>
      <c r="W37" s="463"/>
      <c r="X37" s="463"/>
      <c r="Y37" s="479" t="s">
        <v>203</v>
      </c>
      <c r="Z37" s="479" t="s">
        <v>70</v>
      </c>
      <c r="AA37" s="463"/>
      <c r="AB37" s="463"/>
      <c r="AC37" s="463"/>
      <c r="AD37" s="463"/>
      <c r="AE37" s="483"/>
      <c r="AF37" s="484"/>
      <c r="AG37" s="484"/>
      <c r="AH37" s="484"/>
      <c r="AI37" s="484"/>
      <c r="AJ37" s="484"/>
      <c r="AK37" s="484"/>
      <c r="AL37" s="484"/>
      <c r="AM37" s="484"/>
      <c r="AN37" s="484"/>
      <c r="AO37" s="484"/>
      <c r="AP37" s="484"/>
      <c r="AQ37" s="484"/>
      <c r="AR37" s="484"/>
      <c r="AS37" s="484"/>
      <c r="AT37" s="484"/>
      <c r="AU37" s="484"/>
    </row>
    <row r="38" spans="1:47" s="35" customFormat="1" ht="15" hidden="1" customHeight="1">
      <c r="A38" s="80">
        <f>ROW() - ROW(Table1[[#Headers],[s]])</f>
        <v>37</v>
      </c>
      <c r="B38" s="80" t="s">
        <v>342</v>
      </c>
      <c r="C38" s="94" t="s">
        <v>60</v>
      </c>
      <c r="D38" s="95" t="s">
        <v>343</v>
      </c>
      <c r="E38" s="80" t="s">
        <v>316</v>
      </c>
      <c r="F38" s="80" t="e" vm="37">
        <v>#VALUE!</v>
      </c>
      <c r="G38" s="79" t="s">
        <v>200</v>
      </c>
      <c r="H38" s="78" t="s">
        <v>152</v>
      </c>
      <c r="I38" s="94" t="s">
        <v>60</v>
      </c>
      <c r="J38" s="335" t="s">
        <v>153</v>
      </c>
      <c r="K38" s="80" t="s">
        <v>332</v>
      </c>
      <c r="L38" s="81">
        <v>46030.882638888892</v>
      </c>
      <c r="M38" s="84" t="s">
        <v>59</v>
      </c>
      <c r="N38" s="84" t="s">
        <v>59</v>
      </c>
      <c r="O38" s="82"/>
      <c r="P38" s="80"/>
      <c r="Q38" s="83"/>
      <c r="R38" s="80"/>
      <c r="S38" s="85"/>
      <c r="T38" s="84" t="s">
        <v>334</v>
      </c>
      <c r="U38" s="80"/>
      <c r="V38" s="85"/>
      <c r="W38" s="80"/>
      <c r="X38" s="80"/>
      <c r="Y38" s="80" t="s">
        <v>179</v>
      </c>
      <c r="Z38" s="80" t="s">
        <v>179</v>
      </c>
      <c r="AA38" s="80"/>
      <c r="AB38" s="80"/>
      <c r="AC38" s="80"/>
      <c r="AD38" s="80"/>
      <c r="AE38" s="86"/>
      <c r="AF38" s="34"/>
      <c r="AG38" s="34"/>
      <c r="AH38" s="34"/>
      <c r="AI38" s="34"/>
      <c r="AJ38" s="34"/>
      <c r="AK38" s="34"/>
      <c r="AL38" s="34"/>
      <c r="AM38" s="34"/>
      <c r="AN38" s="34"/>
      <c r="AO38" s="34"/>
      <c r="AP38" s="34"/>
      <c r="AQ38" s="34"/>
      <c r="AR38" s="34"/>
      <c r="AS38" s="34"/>
      <c r="AT38" s="34"/>
      <c r="AU38" s="34"/>
    </row>
    <row r="39" spans="1:47" s="35" customFormat="1" ht="15" hidden="1" customHeight="1">
      <c r="A39" s="80">
        <f>ROW() - ROW(Table1[[#Headers],[s]])</f>
        <v>38</v>
      </c>
      <c r="B39" s="80" t="s">
        <v>344</v>
      </c>
      <c r="C39" s="94" t="s">
        <v>60</v>
      </c>
      <c r="D39" s="95" t="s">
        <v>345</v>
      </c>
      <c r="E39" s="80" t="s">
        <v>316</v>
      </c>
      <c r="F39" s="80" t="e" vm="37">
        <v>#VALUE!</v>
      </c>
      <c r="G39" s="79" t="s">
        <v>200</v>
      </c>
      <c r="H39" s="78" t="s">
        <v>152</v>
      </c>
      <c r="I39" s="94" t="s">
        <v>60</v>
      </c>
      <c r="J39" s="335" t="s">
        <v>153</v>
      </c>
      <c r="K39" s="80" t="s">
        <v>332</v>
      </c>
      <c r="L39" s="81">
        <v>46030.880555555559</v>
      </c>
      <c r="M39" s="84" t="s">
        <v>59</v>
      </c>
      <c r="N39" s="84" t="s">
        <v>59</v>
      </c>
      <c r="O39" s="82"/>
      <c r="P39" s="80"/>
      <c r="Q39" s="83"/>
      <c r="R39" s="80"/>
      <c r="S39" s="85"/>
      <c r="T39" s="84" t="s">
        <v>334</v>
      </c>
      <c r="U39" s="80"/>
      <c r="V39" s="85"/>
      <c r="W39" s="80"/>
      <c r="X39" s="80"/>
      <c r="Y39" s="80" t="s">
        <v>179</v>
      </c>
      <c r="Z39" s="80" t="s">
        <v>179</v>
      </c>
      <c r="AA39" s="80"/>
      <c r="AB39" s="80"/>
      <c r="AC39" s="80"/>
      <c r="AD39" s="80"/>
      <c r="AE39" s="86"/>
      <c r="AF39" s="34"/>
      <c r="AG39" s="34"/>
      <c r="AH39" s="34"/>
      <c r="AI39" s="34"/>
      <c r="AJ39" s="34"/>
      <c r="AK39" s="34"/>
      <c r="AL39" s="34"/>
      <c r="AM39" s="34"/>
      <c r="AN39" s="34"/>
      <c r="AO39" s="34"/>
      <c r="AP39" s="34"/>
      <c r="AQ39" s="34"/>
      <c r="AR39" s="34"/>
      <c r="AS39" s="34"/>
      <c r="AT39" s="34"/>
      <c r="AU39" s="34"/>
    </row>
    <row r="40" spans="1:47" s="31" customFormat="1" ht="15" hidden="1" customHeight="1">
      <c r="A40" s="96">
        <f>ROW() - ROW(Table1[[#Headers],[s]])</f>
        <v>39</v>
      </c>
      <c r="B40" s="96" t="s">
        <v>346</v>
      </c>
      <c r="C40" s="97" t="s">
        <v>60</v>
      </c>
      <c r="D40" s="98" t="s">
        <v>347</v>
      </c>
      <c r="E40" s="96" t="s">
        <v>316</v>
      </c>
      <c r="F40" s="96" t="e" vm="37">
        <v>#VALUE!</v>
      </c>
      <c r="G40" s="99" t="s">
        <v>174</v>
      </c>
      <c r="H40" s="100" t="s">
        <v>152</v>
      </c>
      <c r="I40" s="61" t="s">
        <v>60</v>
      </c>
      <c r="J40" s="336" t="s">
        <v>153</v>
      </c>
      <c r="K40" s="42" t="s">
        <v>154</v>
      </c>
      <c r="L40" s="101"/>
      <c r="M40" s="322"/>
      <c r="N40" s="322"/>
      <c r="O40" s="102"/>
      <c r="P40" s="96"/>
      <c r="Q40" s="103"/>
      <c r="R40" s="96"/>
      <c r="S40" s="42" t="s">
        <v>348</v>
      </c>
      <c r="T40" s="67" t="s">
        <v>334</v>
      </c>
      <c r="U40" s="96"/>
      <c r="V40" s="104"/>
      <c r="W40" s="96"/>
      <c r="X40" s="96"/>
      <c r="Y40" s="96" t="s">
        <v>179</v>
      </c>
      <c r="Z40" s="96" t="s">
        <v>179</v>
      </c>
      <c r="AA40" s="96"/>
      <c r="AB40" s="96"/>
      <c r="AC40" s="96"/>
      <c r="AD40" s="96"/>
      <c r="AE40" s="105"/>
      <c r="AF40" s="30"/>
      <c r="AG40" s="30"/>
      <c r="AH40" s="30"/>
      <c r="AI40" s="30"/>
      <c r="AJ40" s="30"/>
      <c r="AK40" s="30"/>
      <c r="AL40" s="30"/>
      <c r="AM40" s="30"/>
      <c r="AN40" s="30"/>
      <c r="AO40" s="30"/>
      <c r="AP40" s="30"/>
      <c r="AQ40" s="30"/>
      <c r="AR40" s="30"/>
      <c r="AS40" s="30"/>
      <c r="AT40" s="30"/>
      <c r="AU40" s="30"/>
    </row>
    <row r="41" spans="1:47" s="31" customFormat="1" ht="15" hidden="1" customHeight="1">
      <c r="A41" s="96">
        <f>ROW() - ROW(Table1[[#Headers],[s]])</f>
        <v>40</v>
      </c>
      <c r="B41" s="96" t="s">
        <v>346</v>
      </c>
      <c r="C41" s="106" t="s">
        <v>60</v>
      </c>
      <c r="D41" s="98" t="s">
        <v>349</v>
      </c>
      <c r="E41" s="96" t="s">
        <v>316</v>
      </c>
      <c r="F41" s="96" t="e" vm="37">
        <v>#VALUE!</v>
      </c>
      <c r="G41" s="99" t="s">
        <v>174</v>
      </c>
      <c r="H41" s="100" t="s">
        <v>152</v>
      </c>
      <c r="I41" s="61" t="s">
        <v>60</v>
      </c>
      <c r="J41" s="336" t="s">
        <v>153</v>
      </c>
      <c r="K41" s="42" t="s">
        <v>154</v>
      </c>
      <c r="L41" s="101"/>
      <c r="M41" s="322"/>
      <c r="N41" s="322"/>
      <c r="O41" s="102"/>
      <c r="P41" s="96"/>
      <c r="Q41" s="103"/>
      <c r="R41" s="96"/>
      <c r="S41" s="42" t="s">
        <v>348</v>
      </c>
      <c r="T41" s="67" t="s">
        <v>334</v>
      </c>
      <c r="U41" s="96"/>
      <c r="V41" s="104"/>
      <c r="W41" s="96"/>
      <c r="X41" s="96"/>
      <c r="Y41" s="96" t="s">
        <v>179</v>
      </c>
      <c r="Z41" s="96" t="s">
        <v>179</v>
      </c>
      <c r="AA41" s="96"/>
      <c r="AB41" s="96"/>
      <c r="AC41" s="96"/>
      <c r="AD41" s="96"/>
      <c r="AE41" s="105"/>
      <c r="AF41" s="30"/>
      <c r="AG41" s="30"/>
      <c r="AH41" s="30"/>
      <c r="AI41" s="30"/>
      <c r="AJ41" s="30"/>
      <c r="AK41" s="30"/>
      <c r="AL41" s="30"/>
      <c r="AM41" s="30"/>
      <c r="AN41" s="30"/>
      <c r="AO41" s="30"/>
      <c r="AP41" s="30"/>
      <c r="AQ41" s="30"/>
      <c r="AR41" s="30"/>
      <c r="AS41" s="30"/>
      <c r="AT41" s="30"/>
      <c r="AU41" s="30"/>
    </row>
    <row r="42" spans="1:47" s="35" customFormat="1" ht="15" hidden="1" customHeight="1">
      <c r="A42" s="80">
        <f>ROW() - ROW(Table1[[#Headers],[s]])</f>
        <v>41</v>
      </c>
      <c r="B42" s="80" t="s">
        <v>350</v>
      </c>
      <c r="C42" s="94">
        <v>46023</v>
      </c>
      <c r="D42" s="63" t="s">
        <v>351</v>
      </c>
      <c r="E42" s="80" t="e" vm="52">
        <v>#VALUE!</v>
      </c>
      <c r="F42" s="80" t="e" vm="25">
        <v>#VALUE!</v>
      </c>
      <c r="G42" s="82" t="s">
        <v>200</v>
      </c>
      <c r="H42" s="78" t="s">
        <v>152</v>
      </c>
      <c r="I42" s="80" t="s">
        <v>43</v>
      </c>
      <c r="J42" s="335" t="s">
        <v>153</v>
      </c>
      <c r="K42" s="80" t="s">
        <v>154</v>
      </c>
      <c r="L42" s="81">
        <v>46031.261111111111</v>
      </c>
      <c r="M42" s="84" t="s">
        <v>352</v>
      </c>
      <c r="N42" s="84" t="s">
        <v>352</v>
      </c>
      <c r="O42" s="107">
        <v>46031.583333333336</v>
      </c>
      <c r="P42" s="108">
        <v>46031.625</v>
      </c>
      <c r="Q42" s="109">
        <v>46031.666666666664</v>
      </c>
      <c r="R42" s="80"/>
      <c r="S42" s="85" t="s">
        <v>353</v>
      </c>
      <c r="T42" s="84" t="s">
        <v>340</v>
      </c>
      <c r="U42" s="80"/>
      <c r="V42" s="85" t="s">
        <v>327</v>
      </c>
      <c r="W42" s="80"/>
      <c r="X42" s="80"/>
      <c r="Y42" s="80" t="s">
        <v>203</v>
      </c>
      <c r="Z42" s="80" t="s">
        <v>70</v>
      </c>
      <c r="AA42" s="80"/>
      <c r="AB42" s="80"/>
      <c r="AC42" s="80"/>
      <c r="AD42" s="80"/>
      <c r="AE42" s="86"/>
      <c r="AF42" s="34"/>
      <c r="AG42" s="34"/>
      <c r="AH42" s="34"/>
      <c r="AI42" s="34"/>
      <c r="AJ42" s="34"/>
      <c r="AK42" s="34"/>
      <c r="AL42" s="34"/>
      <c r="AM42" s="34"/>
      <c r="AN42" s="34"/>
      <c r="AO42" s="34"/>
      <c r="AP42" s="34"/>
      <c r="AQ42" s="34"/>
      <c r="AR42" s="34"/>
      <c r="AS42" s="34"/>
      <c r="AT42" s="34"/>
      <c r="AU42" s="34"/>
    </row>
    <row r="43" spans="1:47" ht="15" hidden="1" customHeight="1">
      <c r="A43" s="60">
        <f>ROW() - ROW(Table1[[#Headers],[s]])</f>
        <v>42</v>
      </c>
      <c r="B43" s="60" t="s">
        <v>350</v>
      </c>
      <c r="C43" s="61" t="s">
        <v>60</v>
      </c>
      <c r="D43" s="63" t="s">
        <v>354</v>
      </c>
      <c r="E43" s="60" t="e" vm="52">
        <v>#VALUE!</v>
      </c>
      <c r="F43" s="60" t="e" vm="25">
        <v>#VALUE!</v>
      </c>
      <c r="G43" s="64" t="s">
        <v>200</v>
      </c>
      <c r="H43" s="42" t="s">
        <v>152</v>
      </c>
      <c r="I43" s="94" t="s">
        <v>60</v>
      </c>
      <c r="J43" s="55" t="s">
        <v>153</v>
      </c>
      <c r="K43" s="60" t="s">
        <v>355</v>
      </c>
      <c r="L43" s="65">
        <v>46031.261111111111</v>
      </c>
      <c r="M43" s="67" t="s">
        <v>356</v>
      </c>
      <c r="N43" s="67" t="s">
        <v>356</v>
      </c>
      <c r="O43" s="64"/>
      <c r="P43" s="60"/>
      <c r="Q43" s="110"/>
      <c r="R43" s="60"/>
      <c r="S43" s="68" t="s">
        <v>357</v>
      </c>
      <c r="T43" s="67" t="s">
        <v>340</v>
      </c>
      <c r="U43" s="60"/>
      <c r="V43" s="68"/>
      <c r="W43" s="60"/>
      <c r="X43" s="60"/>
      <c r="Y43" s="60" t="s">
        <v>179</v>
      </c>
      <c r="Z43" s="60" t="s">
        <v>179</v>
      </c>
      <c r="AA43" s="60"/>
      <c r="AB43" s="60"/>
      <c r="AC43" s="60"/>
      <c r="AD43" s="60"/>
      <c r="AE43" s="69"/>
      <c r="AF43" s="17"/>
      <c r="AG43" s="17"/>
      <c r="AH43" s="17"/>
      <c r="AI43" s="17"/>
      <c r="AJ43" s="17"/>
      <c r="AK43" s="17"/>
      <c r="AL43" s="17"/>
      <c r="AM43" s="17"/>
      <c r="AN43" s="17"/>
      <c r="AO43" s="17"/>
      <c r="AP43" s="17"/>
      <c r="AQ43" s="17"/>
      <c r="AR43" s="17"/>
      <c r="AS43" s="17"/>
      <c r="AT43" s="17"/>
      <c r="AU43" s="17"/>
    </row>
    <row r="44" spans="1:47" ht="15" hidden="1" customHeight="1">
      <c r="A44" s="60">
        <f>ROW() - ROW(Table1[[#Headers],[s]])</f>
        <v>43</v>
      </c>
      <c r="B44" s="60" t="s">
        <v>350</v>
      </c>
      <c r="C44" s="61">
        <v>46023</v>
      </c>
      <c r="D44" s="63" t="s">
        <v>358</v>
      </c>
      <c r="E44" s="60" t="e" vm="52">
        <v>#VALUE!</v>
      </c>
      <c r="F44" s="60" t="e" vm="25">
        <v>#VALUE!</v>
      </c>
      <c r="G44" s="64" t="s">
        <v>200</v>
      </c>
      <c r="H44" s="42" t="s">
        <v>152</v>
      </c>
      <c r="I44" s="60" t="s">
        <v>43</v>
      </c>
      <c r="J44" s="55" t="s">
        <v>153</v>
      </c>
      <c r="K44" s="60" t="s">
        <v>154</v>
      </c>
      <c r="L44" s="65">
        <v>46031.290972222225</v>
      </c>
      <c r="M44" s="67" t="s">
        <v>356</v>
      </c>
      <c r="N44" s="67" t="s">
        <v>356</v>
      </c>
      <c r="O44" s="71">
        <v>46031.416666666664</v>
      </c>
      <c r="P44" s="72">
        <v>46031.458333333336</v>
      </c>
      <c r="Q44" s="66">
        <v>46031.666666666664</v>
      </c>
      <c r="R44" s="60"/>
      <c r="S44" s="68" t="s">
        <v>359</v>
      </c>
      <c r="T44" s="67" t="s">
        <v>340</v>
      </c>
      <c r="U44" s="60"/>
      <c r="V44" s="68" t="s">
        <v>360</v>
      </c>
      <c r="W44" s="60"/>
      <c r="X44" s="60"/>
      <c r="Y44" s="60" t="s">
        <v>158</v>
      </c>
      <c r="Z44" s="60" t="s">
        <v>70</v>
      </c>
      <c r="AA44" s="60"/>
      <c r="AB44" s="60"/>
      <c r="AC44" s="60"/>
      <c r="AD44" s="60"/>
      <c r="AE44" s="69"/>
      <c r="AF44" s="17"/>
      <c r="AG44" s="17"/>
      <c r="AH44" s="17"/>
      <c r="AI44" s="17"/>
      <c r="AJ44" s="17"/>
      <c r="AK44" s="17"/>
      <c r="AL44" s="17"/>
      <c r="AM44" s="17"/>
      <c r="AN44" s="17"/>
      <c r="AO44" s="17"/>
      <c r="AP44" s="17"/>
      <c r="AQ44" s="17"/>
      <c r="AR44" s="17"/>
      <c r="AS44" s="17"/>
      <c r="AT44" s="17"/>
      <c r="AU44" s="17"/>
    </row>
    <row r="45" spans="1:47" ht="15" hidden="1" customHeight="1">
      <c r="A45" s="60">
        <f>ROW() - ROW(Table1[[#Headers],[s]])</f>
        <v>44</v>
      </c>
      <c r="B45" s="60" t="s">
        <v>350</v>
      </c>
      <c r="C45" s="61" t="s">
        <v>60</v>
      </c>
      <c r="D45" s="63" t="s">
        <v>361</v>
      </c>
      <c r="E45" s="60" t="e" vm="52">
        <v>#VALUE!</v>
      </c>
      <c r="F45" s="60" t="e" vm="25">
        <v>#VALUE!</v>
      </c>
      <c r="G45" s="64" t="s">
        <v>200</v>
      </c>
      <c r="H45" s="42" t="s">
        <v>152</v>
      </c>
      <c r="I45" s="94" t="s">
        <v>60</v>
      </c>
      <c r="J45" s="55" t="s">
        <v>153</v>
      </c>
      <c r="K45" s="60" t="s">
        <v>355</v>
      </c>
      <c r="L45" s="65">
        <v>46031.261111111111</v>
      </c>
      <c r="M45" s="67" t="s">
        <v>356</v>
      </c>
      <c r="N45" s="67" t="s">
        <v>356</v>
      </c>
      <c r="O45" s="64"/>
      <c r="P45" s="60"/>
      <c r="Q45" s="110"/>
      <c r="R45" s="60"/>
      <c r="S45" s="68" t="s">
        <v>357</v>
      </c>
      <c r="T45" s="67" t="s">
        <v>340</v>
      </c>
      <c r="U45" s="60"/>
      <c r="V45" s="68"/>
      <c r="W45" s="60"/>
      <c r="X45" s="60"/>
      <c r="Y45" s="60" t="s">
        <v>179</v>
      </c>
      <c r="Z45" s="60" t="s">
        <v>179</v>
      </c>
      <c r="AA45" s="60"/>
      <c r="AB45" s="60"/>
      <c r="AC45" s="60"/>
      <c r="AD45" s="60"/>
      <c r="AE45" s="69"/>
      <c r="AF45" s="17"/>
      <c r="AG45" s="17"/>
      <c r="AH45" s="17"/>
      <c r="AI45" s="17"/>
      <c r="AJ45" s="17"/>
      <c r="AK45" s="17"/>
      <c r="AL45" s="17"/>
      <c r="AM45" s="17"/>
      <c r="AN45" s="17"/>
      <c r="AO45" s="17"/>
      <c r="AP45" s="17"/>
      <c r="AQ45" s="17"/>
      <c r="AR45" s="17"/>
      <c r="AS45" s="17"/>
      <c r="AT45" s="17"/>
      <c r="AU45" s="17"/>
    </row>
    <row r="46" spans="1:47" ht="15" hidden="1" customHeight="1">
      <c r="A46" s="60">
        <f>ROW() - ROW(Table1[[#Headers],[s]])</f>
        <v>45</v>
      </c>
      <c r="B46" s="60" t="s">
        <v>362</v>
      </c>
      <c r="C46" s="61">
        <v>46023</v>
      </c>
      <c r="D46" s="63" t="s">
        <v>363</v>
      </c>
      <c r="E46" s="60" t="e" vm="53">
        <v>#VALUE!</v>
      </c>
      <c r="F46" s="60" t="e" vm="12">
        <v>#VALUE!</v>
      </c>
      <c r="G46" s="64" t="s">
        <v>200</v>
      </c>
      <c r="H46" s="42" t="s">
        <v>245</v>
      </c>
      <c r="I46" s="60" t="s">
        <v>43</v>
      </c>
      <c r="J46" s="55" t="s">
        <v>253</v>
      </c>
      <c r="K46" s="60" t="s">
        <v>332</v>
      </c>
      <c r="L46" s="65">
        <v>46031.463194444441</v>
      </c>
      <c r="M46" s="67" t="s">
        <v>72</v>
      </c>
      <c r="N46" s="67" t="s">
        <v>72</v>
      </c>
      <c r="O46" s="71">
        <v>46031.625</v>
      </c>
      <c r="P46" s="72">
        <v>46031.645833333336</v>
      </c>
      <c r="Q46" s="66">
        <v>46031.90902777778</v>
      </c>
      <c r="R46" s="60"/>
      <c r="S46" s="68" t="s">
        <v>326</v>
      </c>
      <c r="T46" s="55" t="s">
        <v>179</v>
      </c>
      <c r="U46" s="60"/>
      <c r="V46" s="68" t="s">
        <v>327</v>
      </c>
      <c r="W46" s="60"/>
      <c r="X46" s="60" t="s">
        <v>364</v>
      </c>
      <c r="Y46" s="60" t="s">
        <v>52</v>
      </c>
      <c r="Z46" s="60" t="s">
        <v>70</v>
      </c>
      <c r="AA46" s="60"/>
      <c r="AB46" s="60"/>
      <c r="AC46" s="60"/>
      <c r="AD46" s="60"/>
      <c r="AE46" s="69"/>
      <c r="AF46" s="17"/>
      <c r="AG46" s="17"/>
      <c r="AH46" s="17"/>
      <c r="AI46" s="17"/>
      <c r="AJ46" s="17"/>
      <c r="AK46" s="17"/>
      <c r="AL46" s="17"/>
      <c r="AM46" s="17"/>
      <c r="AN46" s="17"/>
      <c r="AO46" s="17"/>
      <c r="AP46" s="17"/>
      <c r="AQ46" s="17"/>
      <c r="AR46" s="17"/>
      <c r="AS46" s="17"/>
      <c r="AT46" s="17"/>
      <c r="AU46" s="17"/>
    </row>
    <row r="47" spans="1:47" ht="15" hidden="1" customHeight="1">
      <c r="A47" s="60">
        <f>ROW() - ROW(Table1[[#Headers],[s]])</f>
        <v>46</v>
      </c>
      <c r="B47" s="60" t="s">
        <v>365</v>
      </c>
      <c r="C47" s="61">
        <v>46023</v>
      </c>
      <c r="D47" s="63" t="s">
        <v>366</v>
      </c>
      <c r="E47" s="60" t="e" vm="54">
        <v>#VALUE!</v>
      </c>
      <c r="F47" s="60" t="e" vm="2">
        <v>#VALUE!</v>
      </c>
      <c r="G47" s="64" t="s">
        <v>200</v>
      </c>
      <c r="H47" s="42" t="s">
        <v>152</v>
      </c>
      <c r="I47" s="60" t="s">
        <v>43</v>
      </c>
      <c r="J47" s="55" t="s">
        <v>153</v>
      </c>
      <c r="K47" s="60" t="s">
        <v>367</v>
      </c>
      <c r="L47" s="65"/>
      <c r="M47" s="55" t="s">
        <v>162</v>
      </c>
      <c r="N47" s="55" t="s">
        <v>162</v>
      </c>
      <c r="O47" s="64"/>
      <c r="P47" s="60"/>
      <c r="Q47" s="110"/>
      <c r="R47" s="60"/>
      <c r="S47" s="68" t="s">
        <v>368</v>
      </c>
      <c r="T47" s="55" t="s">
        <v>179</v>
      </c>
      <c r="U47" s="60"/>
      <c r="V47" s="68"/>
      <c r="W47" s="60"/>
      <c r="X47" s="60"/>
      <c r="Y47" s="60" t="s">
        <v>179</v>
      </c>
      <c r="Z47" s="60" t="s">
        <v>70</v>
      </c>
      <c r="AA47" s="60"/>
      <c r="AB47" s="60"/>
      <c r="AC47" s="60"/>
      <c r="AD47" s="60"/>
      <c r="AE47" s="69"/>
      <c r="AF47" s="17"/>
      <c r="AG47" s="17"/>
      <c r="AH47" s="17"/>
      <c r="AI47" s="17"/>
      <c r="AJ47" s="17"/>
      <c r="AK47" s="17"/>
      <c r="AL47" s="17"/>
      <c r="AM47" s="17"/>
      <c r="AN47" s="17"/>
      <c r="AO47" s="17"/>
      <c r="AP47" s="17"/>
      <c r="AQ47" s="17"/>
      <c r="AR47" s="17"/>
      <c r="AS47" s="17"/>
      <c r="AT47" s="17"/>
      <c r="AU47" s="17"/>
    </row>
    <row r="48" spans="1:47" ht="15" hidden="1" customHeight="1">
      <c r="A48" s="60">
        <f>ROW() - ROW(Table1[[#Headers],[s]])</f>
        <v>47</v>
      </c>
      <c r="B48" s="60" t="s">
        <v>369</v>
      </c>
      <c r="C48" s="61">
        <v>46023</v>
      </c>
      <c r="D48" s="63" t="s">
        <v>370</v>
      </c>
      <c r="E48" s="60" t="e" vm="55">
        <v>#VALUE!</v>
      </c>
      <c r="F48" s="60" t="e" vm="12">
        <v>#VALUE!</v>
      </c>
      <c r="G48" s="64" t="s">
        <v>200</v>
      </c>
      <c r="H48" s="42" t="s">
        <v>240</v>
      </c>
      <c r="I48" s="60" t="s">
        <v>43</v>
      </c>
      <c r="J48" s="55" t="s">
        <v>253</v>
      </c>
      <c r="K48" s="60" t="s">
        <v>371</v>
      </c>
      <c r="L48" s="65">
        <v>46031.566666666666</v>
      </c>
      <c r="M48" s="67" t="s">
        <v>55</v>
      </c>
      <c r="N48" s="67" t="s">
        <v>55</v>
      </c>
      <c r="O48" s="71">
        <v>46031.625</v>
      </c>
      <c r="P48" s="72">
        <v>46031.6875</v>
      </c>
      <c r="Q48" s="66">
        <v>46031.770833333336</v>
      </c>
      <c r="R48" s="60"/>
      <c r="S48" s="68" t="s">
        <v>326</v>
      </c>
      <c r="T48" s="67" t="s">
        <v>340</v>
      </c>
      <c r="U48" s="60"/>
      <c r="V48" s="68" t="s">
        <v>327</v>
      </c>
      <c r="W48" s="60"/>
      <c r="X48" s="60"/>
      <c r="Y48" s="60" t="s">
        <v>203</v>
      </c>
      <c r="Z48" s="60" t="s">
        <v>70</v>
      </c>
      <c r="AA48" s="60"/>
      <c r="AB48" s="60"/>
      <c r="AC48" s="60"/>
      <c r="AD48" s="60"/>
      <c r="AE48" s="69"/>
      <c r="AF48" s="17"/>
      <c r="AG48" s="17"/>
      <c r="AH48" s="17"/>
      <c r="AI48" s="17"/>
      <c r="AJ48" s="17"/>
      <c r="AK48" s="17"/>
      <c r="AL48" s="17"/>
      <c r="AM48" s="17"/>
      <c r="AN48" s="17"/>
      <c r="AO48" s="17"/>
      <c r="AP48" s="17"/>
      <c r="AQ48" s="17"/>
      <c r="AR48" s="17"/>
      <c r="AS48" s="17"/>
      <c r="AT48" s="17"/>
      <c r="AU48" s="17"/>
    </row>
    <row r="49" spans="1:47" ht="15" hidden="1" customHeight="1">
      <c r="A49" s="60">
        <f>ROW() - ROW(Table1[[#Headers],[s]])</f>
        <v>48</v>
      </c>
      <c r="B49" s="60" t="s">
        <v>293</v>
      </c>
      <c r="C49" s="61">
        <v>46023</v>
      </c>
      <c r="D49" s="63" t="s">
        <v>372</v>
      </c>
      <c r="E49" s="60" t="e" vm="27">
        <v>#VALUE!</v>
      </c>
      <c r="F49" s="60" t="e" vm="10">
        <v>#VALUE!</v>
      </c>
      <c r="G49" s="64" t="s">
        <v>200</v>
      </c>
      <c r="H49" s="42" t="s">
        <v>152</v>
      </c>
      <c r="I49" s="60" t="s">
        <v>43</v>
      </c>
      <c r="J49" s="55" t="s">
        <v>153</v>
      </c>
      <c r="K49" s="60" t="s">
        <v>371</v>
      </c>
      <c r="L49" s="65">
        <v>46031.684027777781</v>
      </c>
      <c r="M49" s="55" t="s">
        <v>78</v>
      </c>
      <c r="N49" s="55" t="s">
        <v>78</v>
      </c>
      <c r="O49" s="71">
        <v>46031.708333333336</v>
      </c>
      <c r="P49" s="72">
        <v>46031.75</v>
      </c>
      <c r="Q49" s="66">
        <v>46031.791666666664</v>
      </c>
      <c r="R49" s="60"/>
      <c r="S49" s="68" t="s">
        <v>373</v>
      </c>
      <c r="T49" s="67" t="s">
        <v>164</v>
      </c>
      <c r="U49" s="60"/>
      <c r="V49" s="68" t="s">
        <v>374</v>
      </c>
      <c r="W49" s="60"/>
      <c r="X49" s="60"/>
      <c r="Y49" s="60" t="s">
        <v>203</v>
      </c>
      <c r="Z49" s="60" t="s">
        <v>70</v>
      </c>
      <c r="AA49" s="60"/>
      <c r="AB49" s="60"/>
      <c r="AC49" s="60"/>
      <c r="AD49" s="60"/>
      <c r="AE49" s="69"/>
      <c r="AF49" s="17"/>
      <c r="AG49" s="17"/>
      <c r="AH49" s="17"/>
      <c r="AI49" s="17"/>
      <c r="AJ49" s="17"/>
      <c r="AK49" s="17"/>
      <c r="AL49" s="17"/>
      <c r="AM49" s="17"/>
      <c r="AN49" s="17"/>
      <c r="AO49" s="17"/>
      <c r="AP49" s="17"/>
      <c r="AQ49" s="17"/>
      <c r="AR49" s="17"/>
      <c r="AS49" s="17"/>
      <c r="AT49" s="17"/>
      <c r="AU49" s="17"/>
    </row>
    <row r="50" spans="1:47" s="464" customFormat="1" ht="15.75" hidden="1" customHeight="1">
      <c r="A50" s="463">
        <f>ROW() - ROW(Table1[[#Headers],[s]])</f>
        <v>49</v>
      </c>
      <c r="B50" s="463" t="s">
        <v>375</v>
      </c>
      <c r="C50" s="476">
        <v>46023</v>
      </c>
      <c r="D50" s="477" t="s">
        <v>376</v>
      </c>
      <c r="E50" s="463" t="e" vm="56">
        <v>#VALUE!</v>
      </c>
      <c r="F50" s="463" t="e" vm="35">
        <v>#VALUE!</v>
      </c>
      <c r="G50" s="485" t="s">
        <v>151</v>
      </c>
      <c r="H50" s="479" t="s">
        <v>240</v>
      </c>
      <c r="I50" s="463" t="s">
        <v>211</v>
      </c>
      <c r="J50" s="471" t="s">
        <v>253</v>
      </c>
      <c r="K50" s="463" t="s">
        <v>377</v>
      </c>
      <c r="L50" s="481">
        <v>46031.458333333336</v>
      </c>
      <c r="M50" s="480" t="s">
        <v>227</v>
      </c>
      <c r="N50" s="480" t="s">
        <v>227</v>
      </c>
      <c r="O50" s="486">
        <v>46034.479166666664</v>
      </c>
      <c r="P50" s="487">
        <v>46034.479166666664</v>
      </c>
      <c r="Q50" s="488">
        <v>46034.614583333336</v>
      </c>
      <c r="R50" s="463"/>
      <c r="S50" s="489" t="s">
        <v>378</v>
      </c>
      <c r="T50" s="480"/>
      <c r="U50" s="463"/>
      <c r="V50" s="489" t="s">
        <v>378</v>
      </c>
      <c r="W50" s="463"/>
      <c r="X50" s="463"/>
      <c r="Y50" s="463" t="s">
        <v>70</v>
      </c>
      <c r="Z50" s="463" t="s">
        <v>70</v>
      </c>
      <c r="AA50" s="463"/>
      <c r="AB50" s="463"/>
      <c r="AC50" s="463"/>
      <c r="AD50" s="463" t="s">
        <v>379</v>
      </c>
      <c r="AE50" s="483"/>
      <c r="AF50" s="484"/>
      <c r="AG50" s="484"/>
      <c r="AH50" s="484"/>
      <c r="AI50" s="484"/>
      <c r="AJ50" s="484"/>
      <c r="AK50" s="484"/>
      <c r="AL50" s="484"/>
      <c r="AM50" s="484"/>
      <c r="AN50" s="484"/>
      <c r="AO50" s="484"/>
      <c r="AP50" s="484"/>
      <c r="AQ50" s="484"/>
      <c r="AR50" s="484"/>
      <c r="AS50" s="484"/>
      <c r="AT50" s="484"/>
      <c r="AU50" s="484"/>
    </row>
    <row r="51" spans="1:47" ht="15.75" hidden="1" customHeight="1">
      <c r="A51" s="60">
        <f>ROW() - ROW(Table1[[#Headers],[s]])</f>
        <v>50</v>
      </c>
      <c r="B51" s="74" t="s">
        <v>380</v>
      </c>
      <c r="C51" s="61">
        <v>46023</v>
      </c>
      <c r="D51" s="63" t="s">
        <v>381</v>
      </c>
      <c r="E51" s="60" t="e" vm="24">
        <v>#VALUE!</v>
      </c>
      <c r="F51" s="60" t="e" vm="25">
        <v>#VALUE!</v>
      </c>
      <c r="G51" s="43" t="s">
        <v>174</v>
      </c>
      <c r="H51" s="42" t="s">
        <v>152</v>
      </c>
      <c r="I51" s="42" t="s">
        <v>175</v>
      </c>
      <c r="J51" s="55" t="s">
        <v>153</v>
      </c>
      <c r="K51" s="60" t="s">
        <v>154</v>
      </c>
      <c r="L51" s="65">
        <v>46033.634027777778</v>
      </c>
      <c r="M51" s="67" t="s">
        <v>72</v>
      </c>
      <c r="N51" s="67" t="s">
        <v>72</v>
      </c>
      <c r="O51" s="65">
        <v>45668.634027777778</v>
      </c>
      <c r="P51" s="65">
        <v>45668.680555555555</v>
      </c>
      <c r="Q51" s="65">
        <v>46033.715277777781</v>
      </c>
      <c r="R51" s="60"/>
      <c r="S51" s="68" t="s">
        <v>382</v>
      </c>
      <c r="T51" s="67" t="s">
        <v>164</v>
      </c>
      <c r="U51" s="60"/>
      <c r="V51" s="68" t="s">
        <v>383</v>
      </c>
      <c r="W51" s="60"/>
      <c r="X51" s="60"/>
      <c r="Y51" s="60" t="s">
        <v>158</v>
      </c>
      <c r="Z51" s="60" t="s">
        <v>70</v>
      </c>
      <c r="AA51" s="60"/>
      <c r="AB51" s="60"/>
      <c r="AC51" s="60"/>
      <c r="AD51" s="60"/>
      <c r="AE51" s="69"/>
      <c r="AF51" s="17"/>
      <c r="AG51" s="17"/>
      <c r="AH51" s="17"/>
      <c r="AI51" s="17"/>
      <c r="AJ51" s="17"/>
      <c r="AK51" s="17"/>
      <c r="AL51" s="17"/>
      <c r="AM51" s="17"/>
      <c r="AN51" s="17"/>
      <c r="AO51" s="17"/>
      <c r="AP51" s="17"/>
      <c r="AQ51" s="17"/>
      <c r="AR51" s="17"/>
      <c r="AS51" s="17"/>
      <c r="AT51" s="17"/>
      <c r="AU51" s="17"/>
    </row>
    <row r="52" spans="1:47" ht="15.75" hidden="1" customHeight="1">
      <c r="A52" s="60">
        <f>ROW() - ROW(Table1[[#Headers],[s]])</f>
        <v>51</v>
      </c>
      <c r="B52" s="74" t="s">
        <v>384</v>
      </c>
      <c r="C52" s="61">
        <v>46023</v>
      </c>
      <c r="D52" s="63" t="s">
        <v>385</v>
      </c>
      <c r="E52" s="60" t="e" vm="57">
        <v>#VALUE!</v>
      </c>
      <c r="F52" s="60" t="e" vm="25">
        <v>#VALUE!</v>
      </c>
      <c r="G52" s="43" t="s">
        <v>174</v>
      </c>
      <c r="H52" s="42" t="s">
        <v>152</v>
      </c>
      <c r="I52" s="42" t="s">
        <v>175</v>
      </c>
      <c r="J52" s="55" t="s">
        <v>153</v>
      </c>
      <c r="K52" s="60" t="s">
        <v>154</v>
      </c>
      <c r="L52" s="65">
        <v>46032.638194444444</v>
      </c>
      <c r="M52" s="67" t="s">
        <v>72</v>
      </c>
      <c r="N52" s="67" t="s">
        <v>72</v>
      </c>
      <c r="O52" s="65">
        <v>45667.697916666664</v>
      </c>
      <c r="P52" s="65">
        <v>45667.746527777781</v>
      </c>
      <c r="Q52" s="65">
        <v>46032.770833333336</v>
      </c>
      <c r="R52" s="60"/>
      <c r="S52" s="68" t="s">
        <v>386</v>
      </c>
      <c r="T52" s="67" t="s">
        <v>164</v>
      </c>
      <c r="U52" s="60"/>
      <c r="V52" s="68" t="s">
        <v>387</v>
      </c>
      <c r="W52" s="60"/>
      <c r="X52" s="60"/>
      <c r="Y52" s="60" t="s">
        <v>158</v>
      </c>
      <c r="Z52" s="60" t="s">
        <v>70</v>
      </c>
      <c r="AA52" s="60"/>
      <c r="AB52" s="60"/>
      <c r="AC52" s="60"/>
      <c r="AD52" s="60"/>
      <c r="AE52" s="69"/>
      <c r="AF52" s="17"/>
      <c r="AG52" s="17"/>
      <c r="AH52" s="17"/>
      <c r="AI52" s="17"/>
      <c r="AJ52" s="17"/>
      <c r="AK52" s="17"/>
      <c r="AL52" s="17"/>
      <c r="AM52" s="17"/>
      <c r="AN52" s="17"/>
      <c r="AO52" s="17"/>
      <c r="AP52" s="17"/>
      <c r="AQ52" s="17"/>
      <c r="AR52" s="17"/>
      <c r="AS52" s="17"/>
      <c r="AT52" s="17"/>
      <c r="AU52" s="17"/>
    </row>
    <row r="53" spans="1:47" ht="15.75" hidden="1" customHeight="1">
      <c r="A53" s="60">
        <f>ROW() - ROW(Table1[[#Headers],[s]])</f>
        <v>52</v>
      </c>
      <c r="B53" s="74" t="s">
        <v>388</v>
      </c>
      <c r="C53" s="61">
        <v>46023</v>
      </c>
      <c r="D53" s="63" t="s">
        <v>389</v>
      </c>
      <c r="E53" s="60" t="e" vm="34">
        <v>#VALUE!</v>
      </c>
      <c r="F53" s="60" t="e" vm="11">
        <v>#VALUE!</v>
      </c>
      <c r="G53" s="43" t="s">
        <v>174</v>
      </c>
      <c r="H53" s="42" t="s">
        <v>152</v>
      </c>
      <c r="I53" s="42" t="s">
        <v>175</v>
      </c>
      <c r="J53" s="55" t="s">
        <v>153</v>
      </c>
      <c r="K53" s="60" t="s">
        <v>154</v>
      </c>
      <c r="L53" s="65">
        <v>46033.604861111111</v>
      </c>
      <c r="M53" s="55" t="s">
        <v>155</v>
      </c>
      <c r="N53" s="55" t="s">
        <v>155</v>
      </c>
      <c r="O53" s="65">
        <v>46033.65625</v>
      </c>
      <c r="P53" s="65">
        <v>46033.701388888891</v>
      </c>
      <c r="Q53" s="65">
        <v>46033.71875</v>
      </c>
      <c r="R53" s="60"/>
      <c r="S53" s="68" t="s">
        <v>390</v>
      </c>
      <c r="T53" s="67" t="s">
        <v>340</v>
      </c>
      <c r="U53" s="60"/>
      <c r="V53" s="68" t="s">
        <v>391</v>
      </c>
      <c r="W53" s="60"/>
      <c r="X53" s="60"/>
      <c r="Y53" s="60" t="s">
        <v>158</v>
      </c>
      <c r="Z53" s="60" t="s">
        <v>70</v>
      </c>
      <c r="AA53" s="60"/>
      <c r="AB53" s="60"/>
      <c r="AC53" s="60"/>
      <c r="AD53" s="60"/>
      <c r="AE53" s="69"/>
      <c r="AF53" s="17"/>
      <c r="AG53" s="17"/>
      <c r="AH53" s="17"/>
      <c r="AI53" s="17"/>
      <c r="AJ53" s="17"/>
      <c r="AK53" s="17"/>
      <c r="AL53" s="17"/>
      <c r="AM53" s="17"/>
      <c r="AN53" s="17"/>
      <c r="AO53" s="17"/>
      <c r="AP53" s="17"/>
      <c r="AQ53" s="17"/>
      <c r="AR53" s="17"/>
      <c r="AS53" s="17"/>
      <c r="AT53" s="17"/>
      <c r="AU53" s="17"/>
    </row>
    <row r="54" spans="1:47" ht="15.75" hidden="1" customHeight="1">
      <c r="A54" s="60">
        <f>ROW() - ROW(Table1[[#Headers],[s]])</f>
        <v>53</v>
      </c>
      <c r="B54" s="74" t="s">
        <v>392</v>
      </c>
      <c r="C54" s="61">
        <v>46023</v>
      </c>
      <c r="D54" s="63" t="s">
        <v>393</v>
      </c>
      <c r="E54" s="60" t="e" vm="58">
        <v>#VALUE!</v>
      </c>
      <c r="F54" s="60" t="e" vm="25">
        <v>#VALUE!</v>
      </c>
      <c r="G54" s="43" t="s">
        <v>174</v>
      </c>
      <c r="H54" s="42" t="s">
        <v>152</v>
      </c>
      <c r="I54" s="42" t="s">
        <v>175</v>
      </c>
      <c r="J54" s="55" t="s">
        <v>153</v>
      </c>
      <c r="K54" s="60" t="s">
        <v>154</v>
      </c>
      <c r="L54" s="65">
        <v>46033.603472222225</v>
      </c>
      <c r="M54" s="67" t="s">
        <v>72</v>
      </c>
      <c r="N54" s="67" t="s">
        <v>72</v>
      </c>
      <c r="O54" s="65">
        <v>46033.6875</v>
      </c>
      <c r="P54" s="65">
        <v>46033.715277777781</v>
      </c>
      <c r="Q54" s="65">
        <v>46033.770833333336</v>
      </c>
      <c r="R54" s="60"/>
      <c r="S54" s="68" t="s">
        <v>394</v>
      </c>
      <c r="T54" s="67" t="s">
        <v>340</v>
      </c>
      <c r="U54" s="60"/>
      <c r="V54" s="68" t="s">
        <v>391</v>
      </c>
      <c r="W54" s="60"/>
      <c r="X54" s="60"/>
      <c r="Y54" s="60" t="s">
        <v>158</v>
      </c>
      <c r="Z54" s="60" t="s">
        <v>70</v>
      </c>
      <c r="AA54" s="60"/>
      <c r="AB54" s="60"/>
      <c r="AC54" s="60"/>
      <c r="AD54" s="60"/>
      <c r="AE54" s="69"/>
      <c r="AF54" s="17"/>
      <c r="AG54" s="17"/>
      <c r="AH54" s="17"/>
      <c r="AI54" s="17"/>
      <c r="AJ54" s="17"/>
      <c r="AK54" s="17"/>
      <c r="AL54" s="17"/>
      <c r="AM54" s="17"/>
      <c r="AN54" s="17"/>
      <c r="AO54" s="17"/>
      <c r="AP54" s="17"/>
      <c r="AQ54" s="17"/>
      <c r="AR54" s="17"/>
      <c r="AS54" s="17"/>
      <c r="AT54" s="17"/>
      <c r="AU54" s="17"/>
    </row>
    <row r="55" spans="1:47" ht="15.75" hidden="1" customHeight="1">
      <c r="A55" s="60">
        <f>ROW() - ROW(Table1[[#Headers],[s]])</f>
        <v>54</v>
      </c>
      <c r="B55" s="74" t="s">
        <v>395</v>
      </c>
      <c r="C55" s="61">
        <v>46023</v>
      </c>
      <c r="D55" s="63" t="s">
        <v>396</v>
      </c>
      <c r="E55" s="60" t="e" vm="59">
        <v>#VALUE!</v>
      </c>
      <c r="F55" s="60" t="e" vm="10">
        <v>#VALUE!</v>
      </c>
      <c r="G55" s="43" t="s">
        <v>151</v>
      </c>
      <c r="H55" s="42" t="s">
        <v>152</v>
      </c>
      <c r="I55" s="70" t="s">
        <v>43</v>
      </c>
      <c r="J55" s="55" t="s">
        <v>153</v>
      </c>
      <c r="K55" s="60" t="s">
        <v>154</v>
      </c>
      <c r="L55" s="65">
        <v>46033.804861111108</v>
      </c>
      <c r="M55" s="55" t="s">
        <v>78</v>
      </c>
      <c r="N55" s="55" t="s">
        <v>78</v>
      </c>
      <c r="O55" s="65">
        <v>46033.804861111108</v>
      </c>
      <c r="P55" s="72">
        <v>46034.740277777775</v>
      </c>
      <c r="Q55" s="66">
        <v>46034.769444444442</v>
      </c>
      <c r="R55" s="60"/>
      <c r="S55" s="68" t="s">
        <v>397</v>
      </c>
      <c r="T55" s="67" t="s">
        <v>164</v>
      </c>
      <c r="U55" s="60"/>
      <c r="V55" s="68" t="s">
        <v>398</v>
      </c>
      <c r="W55" s="60"/>
      <c r="X55" s="60"/>
      <c r="Y55" s="60" t="s">
        <v>158</v>
      </c>
      <c r="Z55" s="60" t="s">
        <v>70</v>
      </c>
      <c r="AA55" s="60"/>
      <c r="AB55" s="60"/>
      <c r="AC55" s="60"/>
      <c r="AD55" s="60"/>
      <c r="AE55" s="69"/>
      <c r="AF55" s="17"/>
      <c r="AG55" s="17"/>
      <c r="AH55" s="17"/>
      <c r="AI55" s="17"/>
      <c r="AJ55" s="17"/>
      <c r="AK55" s="17"/>
      <c r="AL55" s="17"/>
      <c r="AM55" s="17"/>
      <c r="AN55" s="17"/>
      <c r="AO55" s="17"/>
      <c r="AP55" s="17"/>
      <c r="AQ55" s="17"/>
      <c r="AR55" s="17"/>
      <c r="AS55" s="17"/>
      <c r="AT55" s="17"/>
      <c r="AU55" s="17"/>
    </row>
    <row r="56" spans="1:47" s="464" customFormat="1" ht="15" hidden="1" customHeight="1">
      <c r="A56" s="463">
        <f>ROW() - ROW(Table1[[#Headers],[s]])</f>
        <v>55</v>
      </c>
      <c r="B56" s="463" t="s">
        <v>399</v>
      </c>
      <c r="C56" s="476">
        <v>46023</v>
      </c>
      <c r="D56" s="477" t="s">
        <v>400</v>
      </c>
      <c r="E56" s="463" t="e" vm="60">
        <v>#VALUE!</v>
      </c>
      <c r="F56" s="463" t="e" vm="26">
        <v>#VALUE!</v>
      </c>
      <c r="G56" s="478" t="s">
        <v>174</v>
      </c>
      <c r="H56" s="463" t="s">
        <v>331</v>
      </c>
      <c r="I56" s="479" t="s">
        <v>175</v>
      </c>
      <c r="J56" s="480" t="s">
        <v>253</v>
      </c>
      <c r="K56" s="463" t="s">
        <v>401</v>
      </c>
      <c r="L56" s="481">
        <v>46032.612500000003</v>
      </c>
      <c r="M56" s="480" t="s">
        <v>59</v>
      </c>
      <c r="N56" s="480" t="s">
        <v>59</v>
      </c>
      <c r="O56" s="481">
        <v>46032.612500000003</v>
      </c>
      <c r="P56" s="481">
        <v>45667.697916666664</v>
      </c>
      <c r="Q56" s="481">
        <v>46033.612500000003</v>
      </c>
      <c r="R56" s="463"/>
      <c r="S56" s="482" t="s">
        <v>402</v>
      </c>
      <c r="T56" s="480" t="s">
        <v>403</v>
      </c>
      <c r="U56" s="463"/>
      <c r="V56" s="482" t="s">
        <v>404</v>
      </c>
      <c r="W56" s="463" t="s">
        <v>405</v>
      </c>
      <c r="X56" s="463"/>
      <c r="Y56" s="463" t="s">
        <v>70</v>
      </c>
      <c r="Z56" s="463" t="s">
        <v>67</v>
      </c>
      <c r="AA56" s="463" t="s">
        <v>406</v>
      </c>
      <c r="AB56" s="463"/>
      <c r="AC56" s="463"/>
      <c r="AD56" s="463"/>
      <c r="AE56" s="483"/>
      <c r="AF56" s="484"/>
      <c r="AG56" s="484"/>
      <c r="AH56" s="484"/>
      <c r="AI56" s="484"/>
      <c r="AJ56" s="484"/>
      <c r="AK56" s="484"/>
      <c r="AL56" s="484"/>
      <c r="AM56" s="484"/>
      <c r="AN56" s="484"/>
      <c r="AO56" s="484"/>
      <c r="AP56" s="484"/>
      <c r="AQ56" s="484"/>
      <c r="AR56" s="484"/>
      <c r="AS56" s="484"/>
      <c r="AT56" s="484"/>
      <c r="AU56" s="484"/>
    </row>
    <row r="57" spans="1:47" ht="15" hidden="1" customHeight="1">
      <c r="A57" s="60">
        <f>ROW() - ROW(Table1[[#Headers],[s]])</f>
        <v>56</v>
      </c>
      <c r="B57" s="60" t="s">
        <v>407</v>
      </c>
      <c r="C57" s="61">
        <v>46023</v>
      </c>
      <c r="D57" s="63" t="s">
        <v>408</v>
      </c>
      <c r="E57" s="60" t="e" vm="53">
        <v>#VALUE!</v>
      </c>
      <c r="F57" s="60" t="e" vm="12">
        <v>#VALUE!</v>
      </c>
      <c r="G57" s="43" t="s">
        <v>174</v>
      </c>
      <c r="H57" s="60" t="s">
        <v>331</v>
      </c>
      <c r="I57" s="42" t="s">
        <v>175</v>
      </c>
      <c r="J57" s="67" t="s">
        <v>253</v>
      </c>
      <c r="K57" s="42" t="s">
        <v>154</v>
      </c>
      <c r="L57" s="65">
        <v>46031.650694444441</v>
      </c>
      <c r="M57" s="67" t="s">
        <v>55</v>
      </c>
      <c r="N57" s="67" t="s">
        <v>55</v>
      </c>
      <c r="O57" s="65">
        <v>45667.340277777781</v>
      </c>
      <c r="P57" s="65">
        <v>45667.347222222219</v>
      </c>
      <c r="Q57" s="65">
        <v>46032.683333333334</v>
      </c>
      <c r="R57" s="60"/>
      <c r="S57" s="68" t="s">
        <v>409</v>
      </c>
      <c r="T57" s="67" t="s">
        <v>340</v>
      </c>
      <c r="U57" s="60"/>
      <c r="V57" s="68" t="s">
        <v>410</v>
      </c>
      <c r="W57" s="60"/>
      <c r="X57" s="60"/>
      <c r="Y57" s="60" t="s">
        <v>70</v>
      </c>
      <c r="Z57" s="60" t="s">
        <v>70</v>
      </c>
      <c r="AA57" s="60" t="s">
        <v>406</v>
      </c>
      <c r="AB57" s="60"/>
      <c r="AC57" s="60"/>
      <c r="AD57" s="60"/>
      <c r="AE57" s="69"/>
      <c r="AF57" s="17"/>
      <c r="AG57" s="17"/>
      <c r="AH57" s="17"/>
      <c r="AI57" s="17"/>
      <c r="AJ57" s="17"/>
      <c r="AK57" s="17"/>
      <c r="AL57" s="17"/>
      <c r="AM57" s="17"/>
      <c r="AN57" s="17"/>
      <c r="AO57" s="17"/>
      <c r="AP57" s="17"/>
      <c r="AQ57" s="17"/>
      <c r="AR57" s="17"/>
      <c r="AS57" s="17"/>
      <c r="AT57" s="17"/>
      <c r="AU57" s="17"/>
    </row>
    <row r="58" spans="1:47" ht="15" hidden="1" customHeight="1">
      <c r="A58" s="60">
        <f>ROW() - ROW(Table1[[#Headers],[s]])</f>
        <v>57</v>
      </c>
      <c r="B58" s="60" t="s">
        <v>411</v>
      </c>
      <c r="C58" s="61">
        <v>46023</v>
      </c>
      <c r="D58" s="63" t="s">
        <v>412</v>
      </c>
      <c r="E58" s="60" t="e" vm="61">
        <v>#VALUE!</v>
      </c>
      <c r="F58" s="60" t="e" vm="21">
        <v>#VALUE!</v>
      </c>
      <c r="G58" s="64" t="s">
        <v>151</v>
      </c>
      <c r="H58" s="42" t="s">
        <v>152</v>
      </c>
      <c r="I58" s="70" t="s">
        <v>43</v>
      </c>
      <c r="J58" s="55" t="s">
        <v>153</v>
      </c>
      <c r="K58" s="60" t="s">
        <v>154</v>
      </c>
      <c r="L58" s="65">
        <v>46034.423611111109</v>
      </c>
      <c r="M58" s="67" t="s">
        <v>39</v>
      </c>
      <c r="N58" s="67" t="s">
        <v>39</v>
      </c>
      <c r="O58" s="71">
        <v>46034.5</v>
      </c>
      <c r="P58" s="72">
        <v>46034.511805555558</v>
      </c>
      <c r="Q58" s="66">
        <v>46034.515277777777</v>
      </c>
      <c r="R58" s="60"/>
      <c r="S58" s="68" t="s">
        <v>413</v>
      </c>
      <c r="T58" s="55" t="s">
        <v>179</v>
      </c>
      <c r="U58" s="60"/>
      <c r="V58" s="68" t="s">
        <v>413</v>
      </c>
      <c r="W58" s="60"/>
      <c r="X58" s="60"/>
      <c r="Y58" s="60" t="s">
        <v>158</v>
      </c>
      <c r="Z58" s="60" t="s">
        <v>70</v>
      </c>
      <c r="AA58" s="60"/>
      <c r="AB58" s="60"/>
      <c r="AC58" s="60"/>
      <c r="AD58" s="60"/>
      <c r="AE58" s="69"/>
      <c r="AF58" s="17"/>
      <c r="AG58" s="17"/>
      <c r="AH58" s="17"/>
      <c r="AI58" s="17"/>
      <c r="AJ58" s="17"/>
      <c r="AK58" s="17"/>
      <c r="AL58" s="17"/>
      <c r="AM58" s="17"/>
      <c r="AN58" s="17"/>
      <c r="AO58" s="17"/>
      <c r="AP58" s="17"/>
      <c r="AQ58" s="17"/>
      <c r="AR58" s="17"/>
      <c r="AS58" s="17"/>
      <c r="AT58" s="17"/>
      <c r="AU58" s="17"/>
    </row>
    <row r="59" spans="1:47" ht="15" hidden="1" customHeight="1">
      <c r="A59" s="60">
        <f>ROW() - ROW(Table1[[#Headers],[s]])</f>
        <v>58</v>
      </c>
      <c r="B59" s="60" t="s">
        <v>414</v>
      </c>
      <c r="C59" s="61">
        <v>46023</v>
      </c>
      <c r="D59" s="63" t="s">
        <v>415</v>
      </c>
      <c r="E59" s="60" t="e" vm="62">
        <v>#VALUE!</v>
      </c>
      <c r="F59" s="60" t="e" vm="26">
        <v>#VALUE!</v>
      </c>
      <c r="G59" s="64" t="s">
        <v>151</v>
      </c>
      <c r="H59" s="42" t="s">
        <v>152</v>
      </c>
      <c r="I59" s="70" t="s">
        <v>43</v>
      </c>
      <c r="J59" s="55" t="s">
        <v>153</v>
      </c>
      <c r="K59" s="60" t="s">
        <v>154</v>
      </c>
      <c r="L59" s="65">
        <v>46034.45416666667</v>
      </c>
      <c r="M59" s="67" t="s">
        <v>59</v>
      </c>
      <c r="N59" s="67" t="s">
        <v>59</v>
      </c>
      <c r="O59" s="71">
        <v>46034.550694444442</v>
      </c>
      <c r="P59" s="72">
        <v>46034.590277777781</v>
      </c>
      <c r="Q59" s="66">
        <v>46034.645833333336</v>
      </c>
      <c r="R59" s="60"/>
      <c r="S59" s="68" t="s">
        <v>416</v>
      </c>
      <c r="T59" s="67" t="s">
        <v>164</v>
      </c>
      <c r="U59" s="60"/>
      <c r="V59" s="68" t="s">
        <v>416</v>
      </c>
      <c r="W59" s="60"/>
      <c r="X59" s="60"/>
      <c r="Y59" s="60" t="s">
        <v>158</v>
      </c>
      <c r="Z59" s="80" t="s">
        <v>67</v>
      </c>
      <c r="AA59" s="60"/>
      <c r="AB59" s="60"/>
      <c r="AC59" s="60"/>
      <c r="AD59" s="60"/>
      <c r="AE59" s="69"/>
      <c r="AF59" s="17"/>
      <c r="AG59" s="17"/>
      <c r="AH59" s="17"/>
      <c r="AI59" s="17"/>
      <c r="AJ59" s="17"/>
      <c r="AK59" s="17"/>
      <c r="AL59" s="17"/>
      <c r="AM59" s="17"/>
      <c r="AN59" s="17"/>
      <c r="AO59" s="17"/>
      <c r="AP59" s="17"/>
      <c r="AQ59" s="17"/>
      <c r="AR59" s="17"/>
      <c r="AS59" s="17"/>
      <c r="AT59" s="17"/>
      <c r="AU59" s="17"/>
    </row>
    <row r="60" spans="1:47" ht="15" customHeight="1">
      <c r="A60" s="60">
        <f>ROW() - ROW(Table1[[#Headers],[s]])</f>
        <v>59</v>
      </c>
      <c r="B60" s="60" t="s">
        <v>417</v>
      </c>
      <c r="C60" s="61">
        <v>46023</v>
      </c>
      <c r="D60" s="63" t="s">
        <v>418</v>
      </c>
      <c r="E60" s="60" t="e" vm="9">
        <v>#VALUE!</v>
      </c>
      <c r="F60" s="60" t="e" vm="10">
        <v>#VALUE!</v>
      </c>
      <c r="G60" s="64" t="s">
        <v>186</v>
      </c>
      <c r="H60" s="42" t="s">
        <v>152</v>
      </c>
      <c r="I60" s="42" t="s">
        <v>43</v>
      </c>
      <c r="J60" s="55" t="s">
        <v>153</v>
      </c>
      <c r="K60" s="60" t="s">
        <v>154</v>
      </c>
      <c r="L60" s="65">
        <v>46034.552083333336</v>
      </c>
      <c r="M60" s="55" t="s">
        <v>78</v>
      </c>
      <c r="N60" s="55" t="s">
        <v>78</v>
      </c>
      <c r="O60" s="71">
        <v>46035.625</v>
      </c>
      <c r="P60" s="72">
        <v>46035.631944444445</v>
      </c>
      <c r="Q60" s="66">
        <v>46035.722916666666</v>
      </c>
      <c r="R60" s="60"/>
      <c r="S60" s="68" t="s">
        <v>419</v>
      </c>
      <c r="T60" s="67" t="s">
        <v>420</v>
      </c>
      <c r="U60" s="60"/>
      <c r="V60" s="68" t="s">
        <v>421</v>
      </c>
      <c r="W60" s="60"/>
      <c r="X60" s="60"/>
      <c r="Y60" s="60" t="s">
        <v>158</v>
      </c>
      <c r="Z60" s="60" t="s">
        <v>70</v>
      </c>
      <c r="AA60" s="60"/>
      <c r="AB60" s="60"/>
      <c r="AC60" s="60"/>
      <c r="AD60" s="60"/>
      <c r="AE60" s="69"/>
      <c r="AF60" s="17"/>
      <c r="AG60" s="17"/>
      <c r="AH60" s="17"/>
      <c r="AI60" s="17"/>
      <c r="AJ60" s="17"/>
      <c r="AK60" s="17"/>
      <c r="AL60" s="17"/>
      <c r="AM60" s="17"/>
      <c r="AN60" s="17"/>
      <c r="AO60" s="17"/>
      <c r="AP60" s="17"/>
      <c r="AQ60" s="17"/>
      <c r="AR60" s="17"/>
      <c r="AS60" s="17"/>
      <c r="AT60" s="17"/>
      <c r="AU60" s="17"/>
    </row>
    <row r="61" spans="1:47" ht="15" customHeight="1">
      <c r="A61" s="60">
        <f>ROW() - ROW(Table1[[#Headers],[s]])</f>
        <v>60</v>
      </c>
      <c r="B61" s="60" t="s">
        <v>422</v>
      </c>
      <c r="C61" s="75">
        <v>46023</v>
      </c>
      <c r="D61" s="52" t="s">
        <v>423</v>
      </c>
      <c r="E61" s="60" t="e" vm="38">
        <v>#VALUE!</v>
      </c>
      <c r="F61" s="60" t="e" vm="10">
        <v>#VALUE!</v>
      </c>
      <c r="G61" s="64" t="s">
        <v>186</v>
      </c>
      <c r="H61" s="42" t="s">
        <v>152</v>
      </c>
      <c r="I61" s="42" t="s">
        <v>43</v>
      </c>
      <c r="J61" s="55" t="s">
        <v>153</v>
      </c>
      <c r="K61" s="60" t="s">
        <v>154</v>
      </c>
      <c r="L61" s="65">
        <v>46034.554861111108</v>
      </c>
      <c r="M61" s="55" t="s">
        <v>78</v>
      </c>
      <c r="N61" s="55" t="s">
        <v>78</v>
      </c>
      <c r="O61" s="71">
        <v>46035.458333333336</v>
      </c>
      <c r="P61" s="72">
        <v>46035.465277777781</v>
      </c>
      <c r="Q61" s="66">
        <v>46035.594444444447</v>
      </c>
      <c r="R61" s="60"/>
      <c r="S61" s="68" t="s">
        <v>424</v>
      </c>
      <c r="T61" s="67" t="s">
        <v>164</v>
      </c>
      <c r="U61" s="60"/>
      <c r="V61" s="68" t="s">
        <v>425</v>
      </c>
      <c r="W61" s="60"/>
      <c r="X61" s="60"/>
      <c r="Y61" s="60" t="s">
        <v>158</v>
      </c>
      <c r="Z61" s="60" t="s">
        <v>70</v>
      </c>
      <c r="AA61" s="60"/>
      <c r="AB61" s="60"/>
      <c r="AC61" s="60"/>
      <c r="AD61" s="60"/>
      <c r="AE61" s="69"/>
      <c r="AF61" s="17"/>
      <c r="AG61" s="17"/>
      <c r="AH61" s="17"/>
      <c r="AI61" s="17"/>
      <c r="AJ61" s="17"/>
      <c r="AK61" s="17"/>
      <c r="AL61" s="17"/>
      <c r="AM61" s="17"/>
      <c r="AN61" s="17"/>
      <c r="AO61" s="17"/>
      <c r="AP61" s="17"/>
      <c r="AQ61" s="17"/>
      <c r="AR61" s="17"/>
      <c r="AS61" s="17"/>
      <c r="AT61" s="17"/>
      <c r="AU61" s="17"/>
    </row>
    <row r="62" spans="1:47" ht="15" hidden="1" customHeight="1">
      <c r="A62" s="60">
        <f>ROW() - ROW(Table1[[#Headers],[s]])</f>
        <v>61</v>
      </c>
      <c r="B62" s="60" t="s">
        <v>426</v>
      </c>
      <c r="C62" s="61">
        <v>46023</v>
      </c>
      <c r="D62" s="63" t="s">
        <v>427</v>
      </c>
      <c r="E62" s="60" t="e" vm="9">
        <v>#VALUE!</v>
      </c>
      <c r="F62" s="60" t="e" vm="10">
        <v>#VALUE!</v>
      </c>
      <c r="G62" s="64" t="s">
        <v>151</v>
      </c>
      <c r="H62" s="42" t="s">
        <v>152</v>
      </c>
      <c r="I62" s="70" t="s">
        <v>43</v>
      </c>
      <c r="J62" s="55" t="s">
        <v>153</v>
      </c>
      <c r="K62" s="60" t="s">
        <v>154</v>
      </c>
      <c r="L62" s="65">
        <v>46034.65</v>
      </c>
      <c r="M62" s="55" t="s">
        <v>78</v>
      </c>
      <c r="N62" s="55" t="s">
        <v>78</v>
      </c>
      <c r="O62" s="71">
        <v>46034.9</v>
      </c>
      <c r="P62" s="72">
        <v>46034.902083333334</v>
      </c>
      <c r="Q62" s="66">
        <v>46034.939583333333</v>
      </c>
      <c r="R62" s="60"/>
      <c r="S62" s="68" t="s">
        <v>428</v>
      </c>
      <c r="T62" s="67" t="s">
        <v>179</v>
      </c>
      <c r="U62" s="60"/>
      <c r="V62" s="68" t="s">
        <v>428</v>
      </c>
      <c r="W62" s="60"/>
      <c r="X62" s="60"/>
      <c r="Y62" s="60" t="s">
        <v>158</v>
      </c>
      <c r="Z62" s="60" t="s">
        <v>70</v>
      </c>
      <c r="AA62" s="60"/>
      <c r="AB62" s="60"/>
      <c r="AC62" s="60"/>
      <c r="AD62" s="60"/>
      <c r="AE62" s="69"/>
      <c r="AF62" s="17"/>
      <c r="AG62" s="17"/>
      <c r="AH62" s="17"/>
      <c r="AI62" s="17"/>
      <c r="AJ62" s="17"/>
      <c r="AK62" s="17"/>
      <c r="AL62" s="17"/>
      <c r="AM62" s="17"/>
      <c r="AN62" s="17"/>
      <c r="AO62" s="17"/>
      <c r="AP62" s="17"/>
      <c r="AQ62" s="17"/>
      <c r="AR62" s="17"/>
      <c r="AS62" s="17"/>
      <c r="AT62" s="17"/>
      <c r="AU62" s="17"/>
    </row>
    <row r="63" spans="1:47" ht="15" customHeight="1">
      <c r="A63" s="60">
        <f>ROW() - ROW(Table1[[#Headers],[s]])</f>
        <v>62</v>
      </c>
      <c r="B63" s="60" t="s">
        <v>429</v>
      </c>
      <c r="C63" s="75">
        <v>46023</v>
      </c>
      <c r="D63" s="63" t="s">
        <v>430</v>
      </c>
      <c r="E63" s="60" t="s">
        <v>150</v>
      </c>
      <c r="F63" s="60" t="e" vm="1">
        <v>#VALUE!</v>
      </c>
      <c r="G63" s="64" t="s">
        <v>186</v>
      </c>
      <c r="H63" s="42" t="s">
        <v>152</v>
      </c>
      <c r="I63" s="42" t="s">
        <v>43</v>
      </c>
      <c r="J63" s="55" t="s">
        <v>153</v>
      </c>
      <c r="K63" s="60" t="s">
        <v>154</v>
      </c>
      <c r="L63" s="65">
        <v>46034.793055555558</v>
      </c>
      <c r="M63" s="67" t="s">
        <v>431</v>
      </c>
      <c r="N63" s="67" t="s">
        <v>431</v>
      </c>
      <c r="O63" s="71">
        <v>46035.458333333336</v>
      </c>
      <c r="P63" s="72">
        <v>46035.465277777781</v>
      </c>
      <c r="Q63" s="66">
        <v>46035.61041666667</v>
      </c>
      <c r="R63" s="60"/>
      <c r="S63" s="68" t="s">
        <v>432</v>
      </c>
      <c r="T63" s="67" t="s">
        <v>179</v>
      </c>
      <c r="U63" s="60"/>
      <c r="V63" s="68" t="s">
        <v>433</v>
      </c>
      <c r="W63" s="60"/>
      <c r="X63" s="60"/>
      <c r="Y63" s="60" t="s">
        <v>158</v>
      </c>
      <c r="Z63" s="60" t="s">
        <v>70</v>
      </c>
      <c r="AA63" s="60"/>
      <c r="AB63" s="60"/>
      <c r="AC63" s="60"/>
      <c r="AD63" s="60"/>
      <c r="AE63" s="69"/>
      <c r="AF63" s="17"/>
      <c r="AG63" s="17"/>
      <c r="AH63" s="17"/>
      <c r="AI63" s="17"/>
      <c r="AJ63" s="17"/>
      <c r="AK63" s="17"/>
      <c r="AL63" s="17"/>
      <c r="AM63" s="17"/>
      <c r="AN63" s="17"/>
      <c r="AO63" s="17"/>
      <c r="AP63" s="17"/>
      <c r="AQ63" s="17"/>
      <c r="AR63" s="17"/>
      <c r="AS63" s="17"/>
      <c r="AT63" s="17"/>
      <c r="AU63" s="17"/>
    </row>
    <row r="64" spans="1:47" ht="15" customHeight="1">
      <c r="A64" s="60">
        <f>ROW() - ROW(Table1[[#Headers],[s]])</f>
        <v>63</v>
      </c>
      <c r="B64" s="60" t="s">
        <v>434</v>
      </c>
      <c r="C64" s="75">
        <v>46023</v>
      </c>
      <c r="D64" s="63" t="s">
        <v>435</v>
      </c>
      <c r="E64" s="60" t="e" vm="63">
        <v>#VALUE!</v>
      </c>
      <c r="F64" s="60" t="e" vm="10">
        <v>#VALUE!</v>
      </c>
      <c r="G64" s="64" t="s">
        <v>186</v>
      </c>
      <c r="H64" s="42" t="s">
        <v>240</v>
      </c>
      <c r="I64" s="42" t="s">
        <v>43</v>
      </c>
      <c r="J64" s="55" t="s">
        <v>253</v>
      </c>
      <c r="K64" s="60" t="s">
        <v>154</v>
      </c>
      <c r="L64" s="65">
        <v>46034.80972222222</v>
      </c>
      <c r="M64" s="55" t="s">
        <v>78</v>
      </c>
      <c r="N64" s="55" t="s">
        <v>78</v>
      </c>
      <c r="O64" s="71">
        <v>46035.333333333336</v>
      </c>
      <c r="P64" s="72">
        <v>46035.458333333336</v>
      </c>
      <c r="Q64" s="66">
        <v>46035.578472222223</v>
      </c>
      <c r="R64" s="60"/>
      <c r="S64" s="68" t="s">
        <v>436</v>
      </c>
      <c r="T64" s="67" t="s">
        <v>164</v>
      </c>
      <c r="U64" s="60"/>
      <c r="V64" s="68" t="s">
        <v>437</v>
      </c>
      <c r="W64" s="60"/>
      <c r="X64" s="60"/>
      <c r="Y64" s="60" t="s">
        <v>70</v>
      </c>
      <c r="Z64" s="60" t="s">
        <v>70</v>
      </c>
      <c r="AA64" s="60"/>
      <c r="AB64" s="60"/>
      <c r="AC64" s="60"/>
      <c r="AD64" s="60"/>
      <c r="AE64" s="69"/>
      <c r="AF64" s="17"/>
      <c r="AG64" s="17"/>
      <c r="AH64" s="17"/>
      <c r="AI64" s="17"/>
      <c r="AJ64" s="17"/>
      <c r="AK64" s="17"/>
      <c r="AL64" s="17"/>
      <c r="AM64" s="17"/>
      <c r="AN64" s="17"/>
      <c r="AO64" s="17"/>
      <c r="AP64" s="17"/>
      <c r="AQ64" s="17"/>
      <c r="AR64" s="17"/>
      <c r="AS64" s="17"/>
      <c r="AT64" s="17"/>
      <c r="AU64" s="17"/>
    </row>
    <row r="65" spans="1:47" ht="15" customHeight="1">
      <c r="A65" s="60">
        <f>ROW() - ROW(Table1[[#Headers],[s]])</f>
        <v>64</v>
      </c>
      <c r="B65" s="60" t="s">
        <v>438</v>
      </c>
      <c r="C65" s="75">
        <v>46023</v>
      </c>
      <c r="D65" s="63" t="s">
        <v>439</v>
      </c>
      <c r="E65" s="60" t="e" vm="64">
        <v>#VALUE!</v>
      </c>
      <c r="F65" s="60" t="e" vm="26">
        <v>#VALUE!</v>
      </c>
      <c r="G65" s="64" t="s">
        <v>186</v>
      </c>
      <c r="H65" s="42" t="s">
        <v>152</v>
      </c>
      <c r="I65" s="42" t="s">
        <v>43</v>
      </c>
      <c r="J65" s="55" t="s">
        <v>153</v>
      </c>
      <c r="K65" s="60" t="s">
        <v>154</v>
      </c>
      <c r="L65" s="65">
        <v>46035.384722222225</v>
      </c>
      <c r="M65" s="67" t="s">
        <v>440</v>
      </c>
      <c r="N65" s="67" t="s">
        <v>440</v>
      </c>
      <c r="O65" s="71">
        <v>46035.5</v>
      </c>
      <c r="P65" s="72">
        <v>46035.506944444445</v>
      </c>
      <c r="Q65" s="66">
        <v>46035.613888888889</v>
      </c>
      <c r="R65" s="60"/>
      <c r="S65" s="68" t="s">
        <v>441</v>
      </c>
      <c r="T65" s="67" t="s">
        <v>340</v>
      </c>
      <c r="U65" s="60"/>
      <c r="V65" s="68" t="s">
        <v>442</v>
      </c>
      <c r="W65" s="60"/>
      <c r="X65" s="60"/>
      <c r="Y65" s="60" t="s">
        <v>158</v>
      </c>
      <c r="Z65" s="60" t="s">
        <v>70</v>
      </c>
      <c r="AA65" s="60"/>
      <c r="AB65" s="60"/>
      <c r="AC65" s="60"/>
      <c r="AD65" s="60"/>
      <c r="AE65" s="69"/>
      <c r="AF65" s="17"/>
      <c r="AG65" s="17"/>
      <c r="AH65" s="17"/>
      <c r="AI65" s="17"/>
      <c r="AJ65" s="17"/>
      <c r="AK65" s="17"/>
      <c r="AL65" s="17"/>
      <c r="AM65" s="17"/>
      <c r="AN65" s="17"/>
      <c r="AO65" s="17"/>
      <c r="AP65" s="17"/>
      <c r="AQ65" s="17"/>
      <c r="AR65" s="17"/>
      <c r="AS65" s="17"/>
      <c r="AT65" s="17"/>
      <c r="AU65" s="17"/>
    </row>
    <row r="66" spans="1:47" ht="15" customHeight="1">
      <c r="A66" s="60">
        <f>ROW() - ROW(Table1[[#Headers],[s]])</f>
        <v>65</v>
      </c>
      <c r="B66" s="60" t="s">
        <v>443</v>
      </c>
      <c r="C66" s="75">
        <v>46023</v>
      </c>
      <c r="D66" s="63" t="s">
        <v>444</v>
      </c>
      <c r="E66" s="60" t="s">
        <v>445</v>
      </c>
      <c r="F66" s="60" t="e" vm="5">
        <v>#VALUE!</v>
      </c>
      <c r="G66" s="64" t="s">
        <v>186</v>
      </c>
      <c r="H66" s="42" t="s">
        <v>152</v>
      </c>
      <c r="I66" s="42" t="s">
        <v>43</v>
      </c>
      <c r="J66" s="55" t="s">
        <v>153</v>
      </c>
      <c r="K66" s="60" t="s">
        <v>154</v>
      </c>
      <c r="L66" s="65">
        <v>46035.436111111114</v>
      </c>
      <c r="M66" s="67" t="s">
        <v>55</v>
      </c>
      <c r="N66" s="67" t="s">
        <v>55</v>
      </c>
      <c r="O66" s="71">
        <v>46035.541666666664</v>
      </c>
      <c r="P66" s="72">
        <v>46035.548611111109</v>
      </c>
      <c r="Q66" s="66">
        <v>46035.698611111111</v>
      </c>
      <c r="R66" s="60"/>
      <c r="S66" s="68" t="s">
        <v>446</v>
      </c>
      <c r="T66" s="67" t="s">
        <v>164</v>
      </c>
      <c r="U66" s="60"/>
      <c r="V66" s="68" t="s">
        <v>447</v>
      </c>
      <c r="W66" s="60"/>
      <c r="X66" s="60"/>
      <c r="Y66" s="60" t="s">
        <v>158</v>
      </c>
      <c r="Z66" s="60" t="s">
        <v>70</v>
      </c>
      <c r="AA66" s="60"/>
      <c r="AB66" s="60"/>
      <c r="AC66" s="60"/>
      <c r="AD66" s="60"/>
      <c r="AE66" s="69"/>
      <c r="AF66" s="17"/>
      <c r="AG66" s="17"/>
      <c r="AH66" s="17"/>
      <c r="AI66" s="17"/>
      <c r="AJ66" s="17"/>
      <c r="AK66" s="17"/>
      <c r="AL66" s="17"/>
      <c r="AM66" s="17"/>
      <c r="AN66" s="17"/>
      <c r="AO66" s="17"/>
      <c r="AP66" s="17"/>
      <c r="AQ66" s="17"/>
      <c r="AR66" s="17"/>
      <c r="AS66" s="17"/>
      <c r="AT66" s="17"/>
      <c r="AU66" s="17"/>
    </row>
    <row r="67" spans="1:47" ht="15" customHeight="1">
      <c r="A67" s="60">
        <f>ROW() - ROW(Table1[[#Headers],[s]])</f>
        <v>66</v>
      </c>
      <c r="B67" s="60" t="s">
        <v>448</v>
      </c>
      <c r="C67" s="61">
        <v>46023</v>
      </c>
      <c r="D67" s="63" t="s">
        <v>449</v>
      </c>
      <c r="E67" s="60" t="e" vm="65">
        <v>#VALUE!</v>
      </c>
      <c r="F67" s="60" t="e" vm="19">
        <v>#VALUE!</v>
      </c>
      <c r="G67" s="64" t="s">
        <v>186</v>
      </c>
      <c r="H67" s="42" t="s">
        <v>240</v>
      </c>
      <c r="I67" s="42" t="s">
        <v>43</v>
      </c>
      <c r="J67" s="55" t="s">
        <v>253</v>
      </c>
      <c r="K67" s="60" t="s">
        <v>154</v>
      </c>
      <c r="L67" s="65">
        <v>46035.440972222219</v>
      </c>
      <c r="M67" s="67" t="s">
        <v>440</v>
      </c>
      <c r="N67" s="67" t="s">
        <v>440</v>
      </c>
      <c r="O67" s="71">
        <v>46035.5</v>
      </c>
      <c r="P67" s="72">
        <v>46035.506944444445</v>
      </c>
      <c r="Q67" s="66">
        <v>46035.629166666666</v>
      </c>
      <c r="R67" s="60"/>
      <c r="S67" s="68" t="s">
        <v>441</v>
      </c>
      <c r="T67" s="67" t="s">
        <v>340</v>
      </c>
      <c r="U67" s="60"/>
      <c r="V67" s="68" t="s">
        <v>450</v>
      </c>
      <c r="W67" s="60"/>
      <c r="X67" s="60"/>
      <c r="Y67" s="60" t="s">
        <v>158</v>
      </c>
      <c r="Z67" s="60" t="s">
        <v>70</v>
      </c>
      <c r="AA67" s="60"/>
      <c r="AB67" s="60"/>
      <c r="AC67" s="60"/>
      <c r="AD67" s="60"/>
      <c r="AE67" s="69"/>
      <c r="AF67" s="17"/>
      <c r="AG67" s="17"/>
      <c r="AH67" s="17"/>
      <c r="AI67" s="17"/>
      <c r="AJ67" s="17"/>
      <c r="AK67" s="17"/>
      <c r="AL67" s="17"/>
      <c r="AM67" s="17"/>
      <c r="AN67" s="17"/>
      <c r="AO67" s="17"/>
      <c r="AP67" s="17"/>
      <c r="AQ67" s="17"/>
      <c r="AR67" s="17"/>
      <c r="AS67" s="17"/>
      <c r="AT67" s="17"/>
      <c r="AU67" s="17"/>
    </row>
    <row r="68" spans="1:47" ht="15.75" customHeight="1">
      <c r="A68" s="60">
        <f>ROW() - ROW(Table1[[#Headers],[s]])</f>
        <v>67</v>
      </c>
      <c r="B68" s="60" t="s">
        <v>451</v>
      </c>
      <c r="C68" s="61">
        <v>46023</v>
      </c>
      <c r="D68" s="63" t="s">
        <v>452</v>
      </c>
      <c r="E68" s="60" t="s">
        <v>453</v>
      </c>
      <c r="F68" s="60" t="e" vm="49">
        <v>#VALUE!</v>
      </c>
      <c r="G68" s="64" t="s">
        <v>186</v>
      </c>
      <c r="H68" s="42" t="s">
        <v>245</v>
      </c>
      <c r="I68" s="42" t="s">
        <v>43</v>
      </c>
      <c r="J68" s="55" t="s">
        <v>253</v>
      </c>
      <c r="K68" s="60" t="s">
        <v>154</v>
      </c>
      <c r="L68" s="65">
        <v>46035.675694444442</v>
      </c>
      <c r="M68" s="67" t="s">
        <v>454</v>
      </c>
      <c r="N68" s="67" t="s">
        <v>454</v>
      </c>
      <c r="O68" s="71">
        <v>46035.708333333336</v>
      </c>
      <c r="P68" s="72">
        <v>46035.715277777781</v>
      </c>
      <c r="Q68" s="66">
        <v>46035.772916666669</v>
      </c>
      <c r="R68" s="60"/>
      <c r="S68" s="224" t="s">
        <v>455</v>
      </c>
      <c r="T68" s="67" t="s">
        <v>456</v>
      </c>
      <c r="U68" s="60"/>
      <c r="V68" s="224" t="s">
        <v>457</v>
      </c>
      <c r="W68" s="60"/>
      <c r="X68" s="60"/>
      <c r="Y68" s="60" t="s">
        <v>158</v>
      </c>
      <c r="Z68" t="s">
        <v>67</v>
      </c>
      <c r="AB68" s="60"/>
      <c r="AC68" s="60"/>
      <c r="AD68" s="60"/>
      <c r="AE68" s="69"/>
      <c r="AF68" s="17"/>
      <c r="AG68" s="17"/>
      <c r="AH68" s="17"/>
      <c r="AI68" s="17"/>
      <c r="AJ68" s="17"/>
      <c r="AK68" s="17"/>
      <c r="AL68" s="17"/>
      <c r="AM68" s="17"/>
      <c r="AN68" s="17"/>
      <c r="AO68" s="17"/>
      <c r="AP68" s="17"/>
      <c r="AQ68" s="17"/>
      <c r="AR68" s="17"/>
      <c r="AS68" s="17"/>
      <c r="AT68" s="17"/>
      <c r="AU68" s="17"/>
    </row>
    <row r="69" spans="1:47" ht="15" customHeight="1">
      <c r="A69" s="60">
        <f>ROW() - ROW(Table1[[#Headers],[s]])</f>
        <v>68</v>
      </c>
      <c r="B69" s="60" t="s">
        <v>458</v>
      </c>
      <c r="C69" s="61">
        <v>46023</v>
      </c>
      <c r="D69" s="63" t="s">
        <v>459</v>
      </c>
      <c r="E69" s="60" t="e" vm="66">
        <v>#VALUE!</v>
      </c>
      <c r="F69" s="60" t="e" vm="37">
        <v>#VALUE!</v>
      </c>
      <c r="G69" s="64" t="s">
        <v>186</v>
      </c>
      <c r="H69" s="42" t="s">
        <v>245</v>
      </c>
      <c r="I69" s="42" t="s">
        <v>43</v>
      </c>
      <c r="J69" s="55" t="s">
        <v>253</v>
      </c>
      <c r="K69" s="60" t="s">
        <v>154</v>
      </c>
      <c r="L69" s="65">
        <v>46035.759027777778</v>
      </c>
      <c r="M69" s="67" t="s">
        <v>317</v>
      </c>
      <c r="N69" s="67" t="s">
        <v>317</v>
      </c>
      <c r="O69" s="71">
        <v>46035.833333333336</v>
      </c>
      <c r="P69" s="72">
        <v>46035.840277777781</v>
      </c>
      <c r="Q69" s="66">
        <v>46035.911111111112</v>
      </c>
      <c r="R69" s="60"/>
      <c r="S69" s="68" t="s">
        <v>460</v>
      </c>
      <c r="T69" s="67" t="s">
        <v>179</v>
      </c>
      <c r="U69" s="60"/>
      <c r="V69" s="376" t="s">
        <v>461</v>
      </c>
      <c r="W69" s="60"/>
      <c r="X69" s="60"/>
      <c r="Y69" s="60" t="s">
        <v>158</v>
      </c>
      <c r="Z69" s="60" t="s">
        <v>70</v>
      </c>
      <c r="AA69" s="60"/>
      <c r="AB69" s="60"/>
      <c r="AC69" s="60"/>
      <c r="AD69" s="60"/>
      <c r="AE69" s="69"/>
      <c r="AF69" s="17"/>
      <c r="AG69" s="17"/>
      <c r="AH69" s="17"/>
      <c r="AI69" s="17"/>
      <c r="AJ69" s="17"/>
      <c r="AK69" s="17"/>
      <c r="AL69" s="17"/>
      <c r="AM69" s="17"/>
      <c r="AN69" s="17"/>
      <c r="AO69" s="17"/>
      <c r="AP69" s="17"/>
      <c r="AQ69" s="17"/>
      <c r="AR69" s="17"/>
      <c r="AS69" s="17"/>
      <c r="AT69" s="17"/>
      <c r="AU69" s="17"/>
    </row>
    <row r="70" spans="1:47" ht="15.75" hidden="1" customHeight="1">
      <c r="A70" s="60">
        <f>ROW() - ROW(Table1[[#Headers],[s]])</f>
        <v>69</v>
      </c>
      <c r="B70" s="74" t="s">
        <v>462</v>
      </c>
      <c r="C70" s="61">
        <v>46023</v>
      </c>
      <c r="D70" s="63" t="s">
        <v>463</v>
      </c>
      <c r="E70" s="60" t="e" vm="67">
        <v>#VALUE!</v>
      </c>
      <c r="F70" s="60" t="e" vm="21">
        <v>#VALUE!</v>
      </c>
      <c r="G70" s="43" t="s">
        <v>174</v>
      </c>
      <c r="H70" s="42" t="s">
        <v>152</v>
      </c>
      <c r="I70" s="42" t="s">
        <v>175</v>
      </c>
      <c r="J70" s="55" t="s">
        <v>153</v>
      </c>
      <c r="K70" s="60" t="s">
        <v>154</v>
      </c>
      <c r="L70" s="65">
        <v>46036.51666666667</v>
      </c>
      <c r="M70" s="67" t="s">
        <v>39</v>
      </c>
      <c r="N70" s="67" t="s">
        <v>39</v>
      </c>
      <c r="O70" s="65">
        <v>46036.590277777781</v>
      </c>
      <c r="P70" s="65">
        <v>46036.614583333336</v>
      </c>
      <c r="Q70" s="65">
        <v>46036.645833333336</v>
      </c>
      <c r="R70" s="60"/>
      <c r="S70" s="68" t="s">
        <v>394</v>
      </c>
      <c r="T70" s="67" t="s">
        <v>340</v>
      </c>
      <c r="U70" s="60"/>
      <c r="V70" s="68" t="s">
        <v>391</v>
      </c>
      <c r="W70" s="60"/>
      <c r="X70" s="60"/>
      <c r="Y70" s="60" t="s">
        <v>158</v>
      </c>
      <c r="Z70" s="60" t="s">
        <v>70</v>
      </c>
      <c r="AA70" s="60"/>
      <c r="AB70" s="60"/>
      <c r="AC70" s="60"/>
      <c r="AD70" s="60"/>
      <c r="AE70" s="69"/>
      <c r="AF70" s="17"/>
      <c r="AG70" s="17"/>
      <c r="AH70" s="17"/>
      <c r="AI70" s="17"/>
      <c r="AJ70" s="17"/>
      <c r="AK70" s="17"/>
      <c r="AL70" s="17"/>
      <c r="AM70" s="17"/>
      <c r="AN70" s="17"/>
      <c r="AO70" s="17"/>
      <c r="AP70" s="17"/>
      <c r="AQ70" s="17"/>
      <c r="AR70" s="17"/>
      <c r="AS70" s="17"/>
      <c r="AT70" s="17"/>
      <c r="AU70" s="17"/>
    </row>
    <row r="71" spans="1:47" ht="15.75" hidden="1" customHeight="1">
      <c r="A71" s="60">
        <f>ROW() - ROW(Table1[[#Headers],[s]])</f>
        <v>70</v>
      </c>
      <c r="B71" s="74" t="s">
        <v>464</v>
      </c>
      <c r="C71" s="61">
        <v>46023</v>
      </c>
      <c r="D71" s="63" t="s">
        <v>465</v>
      </c>
      <c r="E71" s="60" t="e" vm="68">
        <v>#VALUE!</v>
      </c>
      <c r="F71" s="60" t="e" vm="26">
        <v>#VALUE!</v>
      </c>
      <c r="G71" s="43" t="s">
        <v>174</v>
      </c>
      <c r="H71" s="42" t="s">
        <v>152</v>
      </c>
      <c r="I71" s="42" t="s">
        <v>175</v>
      </c>
      <c r="J71" s="55" t="s">
        <v>153</v>
      </c>
      <c r="K71" s="60" t="s">
        <v>154</v>
      </c>
      <c r="L71" s="65">
        <v>46036.61041666667</v>
      </c>
      <c r="M71" s="67" t="s">
        <v>466</v>
      </c>
      <c r="N71" s="67" t="s">
        <v>466</v>
      </c>
      <c r="O71" s="65">
        <v>46036.65625</v>
      </c>
      <c r="P71" s="65">
        <v>46036.677083333336</v>
      </c>
      <c r="Q71" s="65">
        <v>46036.71875</v>
      </c>
      <c r="R71" s="60"/>
      <c r="S71" s="68" t="s">
        <v>467</v>
      </c>
      <c r="T71" s="67" t="s">
        <v>179</v>
      </c>
      <c r="U71" s="60"/>
      <c r="V71" s="68" t="s">
        <v>183</v>
      </c>
      <c r="W71" s="60"/>
      <c r="X71" s="60"/>
      <c r="Y71" s="60" t="s">
        <v>158</v>
      </c>
      <c r="Z71" s="60" t="s">
        <v>70</v>
      </c>
      <c r="AA71" s="60"/>
      <c r="AB71" s="60"/>
      <c r="AC71" s="60"/>
      <c r="AD71" s="60"/>
      <c r="AE71" s="69"/>
      <c r="AF71" s="17"/>
      <c r="AG71" s="17"/>
      <c r="AH71" s="17"/>
      <c r="AI71" s="17"/>
      <c r="AJ71" s="17"/>
      <c r="AK71" s="17"/>
      <c r="AL71" s="17"/>
      <c r="AM71" s="17"/>
      <c r="AN71" s="17"/>
      <c r="AO71" s="17"/>
      <c r="AP71" s="17"/>
      <c r="AQ71" s="17"/>
      <c r="AR71" s="17"/>
      <c r="AS71" s="17"/>
      <c r="AT71" s="17"/>
      <c r="AU71" s="17"/>
    </row>
    <row r="72" spans="1:47" ht="15.75" hidden="1" customHeight="1">
      <c r="A72" s="60">
        <f>ROW() - ROW(Table1[[#Headers],[s]])</f>
        <v>71</v>
      </c>
      <c r="B72" s="74" t="s">
        <v>468</v>
      </c>
      <c r="C72" s="61">
        <v>46023</v>
      </c>
      <c r="D72" s="63" t="s">
        <v>469</v>
      </c>
      <c r="E72" s="60" t="e" vm="27">
        <v>#VALUE!</v>
      </c>
      <c r="F72" s="60" t="e" vm="10">
        <v>#VALUE!</v>
      </c>
      <c r="G72" s="43" t="s">
        <v>174</v>
      </c>
      <c r="H72" s="42" t="s">
        <v>152</v>
      </c>
      <c r="I72" s="42" t="s">
        <v>175</v>
      </c>
      <c r="J72" s="55" t="s">
        <v>153</v>
      </c>
      <c r="K72" s="60" t="s">
        <v>154</v>
      </c>
      <c r="L72" s="65">
        <v>46036.504861111112</v>
      </c>
      <c r="M72" s="55" t="s">
        <v>78</v>
      </c>
      <c r="N72" s="55" t="s">
        <v>78</v>
      </c>
      <c r="O72" s="65">
        <v>46036.59375</v>
      </c>
      <c r="P72" s="65">
        <v>46036.618055555555</v>
      </c>
      <c r="Q72" s="65">
        <v>46036.677083333336</v>
      </c>
      <c r="R72" s="60"/>
      <c r="S72" s="68" t="s">
        <v>390</v>
      </c>
      <c r="T72" s="67" t="s">
        <v>340</v>
      </c>
      <c r="U72" s="60"/>
      <c r="V72" s="68" t="s">
        <v>470</v>
      </c>
      <c r="W72" s="60"/>
      <c r="X72" s="60"/>
      <c r="Y72" s="60" t="s">
        <v>158</v>
      </c>
      <c r="Z72" s="60" t="s">
        <v>70</v>
      </c>
      <c r="AA72" s="60"/>
      <c r="AB72" s="60"/>
      <c r="AC72" s="60"/>
      <c r="AD72" s="60"/>
      <c r="AE72" s="69"/>
      <c r="AF72" s="17"/>
      <c r="AG72" s="17"/>
      <c r="AH72" s="17"/>
      <c r="AI72" s="17"/>
      <c r="AJ72" s="17"/>
      <c r="AK72" s="17"/>
      <c r="AL72" s="17"/>
      <c r="AM72" s="17"/>
      <c r="AN72" s="17"/>
      <c r="AO72" s="17"/>
      <c r="AP72" s="17"/>
      <c r="AQ72" s="17"/>
      <c r="AR72" s="17"/>
      <c r="AS72" s="17"/>
      <c r="AT72" s="17"/>
      <c r="AU72" s="17"/>
    </row>
    <row r="73" spans="1:47" ht="15.75" hidden="1" customHeight="1">
      <c r="A73" s="60">
        <f>ROW() - ROW(Table1[[#Headers],[s]])</f>
        <v>72</v>
      </c>
      <c r="B73" s="74" t="s">
        <v>471</v>
      </c>
      <c r="C73" s="61">
        <v>46023</v>
      </c>
      <c r="D73" s="63" t="s">
        <v>472</v>
      </c>
      <c r="E73" s="60" t="e" vm="27">
        <v>#VALUE!</v>
      </c>
      <c r="F73" s="60" t="e" vm="10">
        <v>#VALUE!</v>
      </c>
      <c r="G73" s="43" t="s">
        <v>174</v>
      </c>
      <c r="H73" s="42" t="s">
        <v>152</v>
      </c>
      <c r="I73" s="42" t="s">
        <v>175</v>
      </c>
      <c r="J73" s="55" t="s">
        <v>153</v>
      </c>
      <c r="K73" s="60" t="s">
        <v>154</v>
      </c>
      <c r="L73" s="65">
        <v>46036.386111111111</v>
      </c>
      <c r="M73" s="55" t="s">
        <v>78</v>
      </c>
      <c r="N73" s="55" t="s">
        <v>78</v>
      </c>
      <c r="O73" s="65">
        <v>46036.46875</v>
      </c>
      <c r="P73" s="65">
        <v>46036.506944444445</v>
      </c>
      <c r="Q73" s="65">
        <v>46036.59375</v>
      </c>
      <c r="R73" s="60"/>
      <c r="S73" s="68" t="s">
        <v>473</v>
      </c>
      <c r="T73" s="67" t="s">
        <v>266</v>
      </c>
      <c r="U73" s="60"/>
      <c r="V73" s="68" t="s">
        <v>474</v>
      </c>
      <c r="W73" s="60"/>
      <c r="X73" s="60"/>
      <c r="Y73" s="60" t="s">
        <v>158</v>
      </c>
      <c r="Z73" s="60" t="s">
        <v>70</v>
      </c>
      <c r="AA73" s="60"/>
      <c r="AB73" s="60"/>
      <c r="AC73" s="60"/>
      <c r="AD73" s="60"/>
      <c r="AE73" s="69"/>
      <c r="AF73" s="17"/>
      <c r="AG73" s="17"/>
      <c r="AH73" s="17"/>
      <c r="AI73" s="17"/>
      <c r="AJ73" s="17"/>
      <c r="AK73" s="17"/>
      <c r="AL73" s="17"/>
      <c r="AM73" s="17"/>
      <c r="AN73" s="17"/>
      <c r="AO73" s="17"/>
      <c r="AP73" s="17"/>
      <c r="AQ73" s="17"/>
      <c r="AR73" s="17"/>
      <c r="AS73" s="17"/>
      <c r="AT73" s="17"/>
      <c r="AU73" s="17"/>
    </row>
    <row r="74" spans="1:47" ht="15.75" hidden="1" customHeight="1">
      <c r="A74" s="60">
        <f>ROW() - ROW(Table1[[#Headers],[s]])</f>
        <v>73</v>
      </c>
      <c r="B74" s="74" t="s">
        <v>475</v>
      </c>
      <c r="C74" s="61">
        <v>46023</v>
      </c>
      <c r="D74" s="63" t="s">
        <v>476</v>
      </c>
      <c r="E74" s="60" t="e" vm="9">
        <v>#VALUE!</v>
      </c>
      <c r="F74" s="60" t="e" vm="10">
        <v>#VALUE!</v>
      </c>
      <c r="G74" s="43" t="s">
        <v>200</v>
      </c>
      <c r="H74" s="42" t="s">
        <v>152</v>
      </c>
      <c r="I74" s="60" t="s">
        <v>43</v>
      </c>
      <c r="J74" s="55" t="s">
        <v>153</v>
      </c>
      <c r="K74" s="60" t="s">
        <v>154</v>
      </c>
      <c r="L74" s="65">
        <v>46036.453472222223</v>
      </c>
      <c r="M74" s="55" t="s">
        <v>78</v>
      </c>
      <c r="N74" s="55" t="s">
        <v>78</v>
      </c>
      <c r="O74" s="71">
        <v>46037.375</v>
      </c>
      <c r="P74" s="72">
        <v>46037.375</v>
      </c>
      <c r="Q74" s="66">
        <v>46037.4375</v>
      </c>
      <c r="R74" s="60"/>
      <c r="S74" s="68" t="s">
        <v>477</v>
      </c>
      <c r="T74" s="67" t="s">
        <v>478</v>
      </c>
      <c r="U74" s="60"/>
      <c r="V74" s="68" t="s">
        <v>479</v>
      </c>
      <c r="W74" s="60"/>
      <c r="X74" s="60"/>
      <c r="Y74" s="60" t="s">
        <v>158</v>
      </c>
      <c r="Z74" s="60" t="s">
        <v>70</v>
      </c>
      <c r="AA74" s="60"/>
      <c r="AB74" s="60"/>
      <c r="AC74" s="60"/>
      <c r="AD74" s="60"/>
      <c r="AE74" s="69"/>
      <c r="AF74" s="17"/>
      <c r="AG74" s="17"/>
      <c r="AH74" s="17"/>
      <c r="AI74" s="17"/>
      <c r="AJ74" s="17"/>
      <c r="AK74" s="17"/>
      <c r="AL74" s="17"/>
      <c r="AM74" s="17"/>
      <c r="AN74" s="17"/>
      <c r="AO74" s="17"/>
      <c r="AP74" s="17"/>
      <c r="AQ74" s="17"/>
      <c r="AR74" s="17"/>
      <c r="AS74" s="17"/>
      <c r="AT74" s="17"/>
      <c r="AU74" s="17"/>
    </row>
    <row r="75" spans="1:47" ht="15.75" hidden="1" customHeight="1">
      <c r="A75" s="60">
        <f>ROW() - ROW(Table1[[#Headers],[s]])</f>
        <v>74</v>
      </c>
      <c r="B75" s="74" t="s">
        <v>289</v>
      </c>
      <c r="C75" s="61">
        <v>46023</v>
      </c>
      <c r="D75" s="63" t="s">
        <v>480</v>
      </c>
      <c r="E75" s="60" t="e" vm="38">
        <v>#VALUE!</v>
      </c>
      <c r="F75" s="60" t="e" vm="10">
        <v>#VALUE!</v>
      </c>
      <c r="G75" s="43" t="s">
        <v>174</v>
      </c>
      <c r="H75" s="42" t="s">
        <v>152</v>
      </c>
      <c r="I75" s="42" t="s">
        <v>175</v>
      </c>
      <c r="J75" s="55" t="s">
        <v>153</v>
      </c>
      <c r="K75" s="60" t="s">
        <v>154</v>
      </c>
      <c r="L75" s="65">
        <v>46036.611805555556</v>
      </c>
      <c r="M75" s="55" t="s">
        <v>78</v>
      </c>
      <c r="N75" s="55" t="s">
        <v>78</v>
      </c>
      <c r="O75" s="65">
        <v>46036.65625</v>
      </c>
      <c r="P75" s="65">
        <v>46036.6875</v>
      </c>
      <c r="Q75" s="65">
        <v>46036.729166666664</v>
      </c>
      <c r="R75" s="60"/>
      <c r="S75" s="68" t="s">
        <v>481</v>
      </c>
      <c r="T75" s="67" t="s">
        <v>340</v>
      </c>
      <c r="U75" s="60"/>
      <c r="V75" s="68" t="s">
        <v>482</v>
      </c>
      <c r="W75" s="60"/>
      <c r="X75" s="60"/>
      <c r="Y75" s="60" t="s">
        <v>158</v>
      </c>
      <c r="Z75" s="60" t="s">
        <v>70</v>
      </c>
      <c r="AA75" s="60"/>
      <c r="AB75" s="60"/>
      <c r="AC75" s="60"/>
      <c r="AD75" s="60"/>
      <c r="AE75" s="69"/>
      <c r="AF75" s="17"/>
      <c r="AG75" s="17"/>
      <c r="AH75" s="17"/>
      <c r="AI75" s="17"/>
      <c r="AJ75" s="17"/>
      <c r="AK75" s="17"/>
      <c r="AL75" s="17"/>
      <c r="AM75" s="17"/>
      <c r="AN75" s="17"/>
      <c r="AO75" s="17"/>
      <c r="AP75" s="17"/>
      <c r="AQ75" s="17"/>
      <c r="AR75" s="17"/>
      <c r="AS75" s="17"/>
      <c r="AT75" s="17"/>
      <c r="AU75" s="17"/>
    </row>
    <row r="76" spans="1:47" s="464" customFormat="1" ht="15" hidden="1" customHeight="1">
      <c r="A76" s="463">
        <f>ROW() - ROW(Table1[[#Headers],[s]])</f>
        <v>75</v>
      </c>
      <c r="B76" s="463" t="s">
        <v>483</v>
      </c>
      <c r="C76" s="476">
        <v>46023</v>
      </c>
      <c r="D76" s="477" t="s">
        <v>484</v>
      </c>
      <c r="E76" s="463" t="e" vm="56">
        <v>#VALUE!</v>
      </c>
      <c r="F76" s="463" t="e" vm="35">
        <v>#VALUE!</v>
      </c>
      <c r="G76" s="478" t="s">
        <v>200</v>
      </c>
      <c r="H76" s="479" t="s">
        <v>240</v>
      </c>
      <c r="I76" s="463" t="s">
        <v>43</v>
      </c>
      <c r="J76" s="471" t="s">
        <v>253</v>
      </c>
      <c r="K76" s="463" t="s">
        <v>377</v>
      </c>
      <c r="L76" s="481">
        <v>46036.689583333333</v>
      </c>
      <c r="M76" s="480" t="s">
        <v>227</v>
      </c>
      <c r="N76" s="480" t="s">
        <v>227</v>
      </c>
      <c r="O76" s="486">
        <v>46037.458333333336</v>
      </c>
      <c r="P76" s="487">
        <v>46037.5</v>
      </c>
      <c r="Q76" s="488">
        <v>46037.645138888889</v>
      </c>
      <c r="R76" s="463"/>
      <c r="S76" s="482" t="s">
        <v>485</v>
      </c>
      <c r="T76" s="480" t="s">
        <v>179</v>
      </c>
      <c r="U76" s="463"/>
      <c r="V76" s="482" t="s">
        <v>486</v>
      </c>
      <c r="W76" s="463"/>
      <c r="X76" s="463"/>
      <c r="Y76" s="463" t="s">
        <v>52</v>
      </c>
      <c r="Z76" s="463" t="s">
        <v>70</v>
      </c>
      <c r="AA76" s="463"/>
      <c r="AB76" s="463"/>
      <c r="AC76" s="463"/>
      <c r="AD76" s="463"/>
      <c r="AE76" s="483"/>
      <c r="AF76" s="484"/>
      <c r="AG76" s="484"/>
      <c r="AH76" s="484"/>
      <c r="AI76" s="484"/>
      <c r="AJ76" s="484"/>
      <c r="AK76" s="484"/>
      <c r="AL76" s="484"/>
      <c r="AM76" s="484"/>
      <c r="AN76" s="484"/>
      <c r="AO76" s="484"/>
      <c r="AP76" s="484"/>
      <c r="AQ76" s="484"/>
      <c r="AR76" s="484"/>
      <c r="AS76" s="484"/>
      <c r="AT76" s="484"/>
      <c r="AU76" s="484"/>
    </row>
    <row r="77" spans="1:47" ht="15" hidden="1" customHeight="1">
      <c r="A77" s="60">
        <f>ROW() - ROW(Table1[[#Headers],[s]])</f>
        <v>76</v>
      </c>
      <c r="B77" s="60" t="s">
        <v>487</v>
      </c>
      <c r="C77" s="61">
        <v>46023</v>
      </c>
      <c r="D77" s="63" t="s">
        <v>488</v>
      </c>
      <c r="E77" s="60" t="e" vm="69">
        <v>#VALUE!</v>
      </c>
      <c r="F77" s="60" t="e" vm="2">
        <v>#VALUE!</v>
      </c>
      <c r="G77" s="64" t="s">
        <v>200</v>
      </c>
      <c r="H77" s="60" t="s">
        <v>240</v>
      </c>
      <c r="I77" s="60" t="s">
        <v>43</v>
      </c>
      <c r="J77" s="67" t="s">
        <v>253</v>
      </c>
      <c r="K77" s="60" t="s">
        <v>371</v>
      </c>
      <c r="L77" s="65">
        <v>46037.086805555555</v>
      </c>
      <c r="M77" s="55" t="s">
        <v>162</v>
      </c>
      <c r="N77" s="55" t="s">
        <v>162</v>
      </c>
      <c r="O77" s="71">
        <v>46037.458333333336</v>
      </c>
      <c r="P77" s="72">
        <v>46037.5</v>
      </c>
      <c r="Q77" s="66">
        <v>46037.574305555558</v>
      </c>
      <c r="R77" s="60"/>
      <c r="S77" s="68" t="s">
        <v>326</v>
      </c>
      <c r="T77" s="67" t="s">
        <v>179</v>
      </c>
      <c r="U77" s="60"/>
      <c r="V77" s="68" t="s">
        <v>327</v>
      </c>
      <c r="W77" s="60"/>
      <c r="X77" s="60"/>
      <c r="Y77" s="60" t="s">
        <v>70</v>
      </c>
      <c r="Z77" s="60" t="s">
        <v>70</v>
      </c>
      <c r="AA77" s="60"/>
      <c r="AB77" s="60"/>
      <c r="AC77" s="60"/>
      <c r="AD77" s="60"/>
      <c r="AE77" s="69"/>
      <c r="AF77" s="17"/>
      <c r="AG77" s="17"/>
      <c r="AH77" s="17"/>
      <c r="AI77" s="17"/>
      <c r="AJ77" s="17"/>
      <c r="AK77" s="17"/>
      <c r="AL77" s="17"/>
      <c r="AM77" s="17"/>
      <c r="AN77" s="17"/>
      <c r="AO77" s="17"/>
      <c r="AP77" s="17"/>
      <c r="AQ77" s="17"/>
      <c r="AR77" s="17"/>
      <c r="AS77" s="17"/>
      <c r="AT77" s="17"/>
      <c r="AU77" s="17"/>
    </row>
    <row r="78" spans="1:47" ht="15" hidden="1" customHeight="1">
      <c r="A78" s="60">
        <f>ROW() - ROW(Table1[[#Headers],[s]])</f>
        <v>77</v>
      </c>
      <c r="B78" s="60" t="s">
        <v>489</v>
      </c>
      <c r="C78" s="61">
        <v>46023</v>
      </c>
      <c r="D78" s="63" t="s">
        <v>490</v>
      </c>
      <c r="E78" s="60" t="e" vm="13">
        <v>#VALUE!</v>
      </c>
      <c r="F78" s="60" t="e" vm="12">
        <v>#VALUE!</v>
      </c>
      <c r="G78" s="64" t="s">
        <v>200</v>
      </c>
      <c r="H78" s="60" t="s">
        <v>152</v>
      </c>
      <c r="I78" s="60" t="s">
        <v>43</v>
      </c>
      <c r="J78" s="67" t="s">
        <v>153</v>
      </c>
      <c r="K78" s="60" t="s">
        <v>154</v>
      </c>
      <c r="L78" s="65">
        <v>46037.574999999997</v>
      </c>
      <c r="M78" s="67" t="s">
        <v>53</v>
      </c>
      <c r="N78" s="67" t="s">
        <v>53</v>
      </c>
      <c r="O78" s="71">
        <v>46037.625</v>
      </c>
      <c r="P78" s="72">
        <v>46037.625</v>
      </c>
      <c r="Q78" s="66">
        <v>46037.645833333336</v>
      </c>
      <c r="R78" s="60"/>
      <c r="S78" s="68" t="s">
        <v>491</v>
      </c>
      <c r="T78" s="67" t="s">
        <v>179</v>
      </c>
      <c r="U78" s="60"/>
      <c r="V78" s="68" t="s">
        <v>492</v>
      </c>
      <c r="W78" s="60"/>
      <c r="X78" s="60"/>
      <c r="Y78" s="60" t="s">
        <v>158</v>
      </c>
      <c r="Z78" s="60" t="s">
        <v>70</v>
      </c>
      <c r="AA78" s="60"/>
      <c r="AB78" s="60"/>
      <c r="AC78" s="60"/>
      <c r="AD78" s="60"/>
      <c r="AE78" s="69"/>
      <c r="AF78" s="17"/>
      <c r="AG78" s="17"/>
      <c r="AH78" s="17"/>
      <c r="AI78" s="17"/>
      <c r="AJ78" s="17"/>
      <c r="AK78" s="17"/>
      <c r="AL78" s="17"/>
      <c r="AM78" s="17"/>
      <c r="AN78" s="17"/>
      <c r="AO78" s="17"/>
      <c r="AP78" s="17"/>
      <c r="AQ78" s="17"/>
      <c r="AR78" s="17"/>
      <c r="AS78" s="17"/>
      <c r="AT78" s="17"/>
      <c r="AU78" s="17"/>
    </row>
    <row r="79" spans="1:47" ht="15" hidden="1" customHeight="1">
      <c r="A79" s="60">
        <f>ROW() - ROW(Table1[[#Headers],[s]])</f>
        <v>78</v>
      </c>
      <c r="B79" s="60" t="s">
        <v>493</v>
      </c>
      <c r="C79" s="61">
        <v>46023</v>
      </c>
      <c r="D79" s="63" t="s">
        <v>494</v>
      </c>
      <c r="E79" s="60" t="e" vm="70">
        <v>#VALUE!</v>
      </c>
      <c r="F79" s="60" t="e" vm="37">
        <v>#VALUE!</v>
      </c>
      <c r="G79" s="64" t="s">
        <v>200</v>
      </c>
      <c r="H79" s="60" t="s">
        <v>152</v>
      </c>
      <c r="I79" s="60" t="s">
        <v>43</v>
      </c>
      <c r="J79" s="67" t="s">
        <v>153</v>
      </c>
      <c r="K79" s="60" t="s">
        <v>154</v>
      </c>
      <c r="L79" s="65">
        <v>46037.581944444442</v>
      </c>
      <c r="M79" s="67" t="s">
        <v>317</v>
      </c>
      <c r="N79" s="67" t="s">
        <v>317</v>
      </c>
      <c r="O79" s="71">
        <v>46037.75</v>
      </c>
      <c r="P79" s="72">
        <v>46037.770833333336</v>
      </c>
      <c r="Q79" s="66">
        <v>46037.791666666664</v>
      </c>
      <c r="R79" s="60"/>
      <c r="S79" s="68" t="s">
        <v>495</v>
      </c>
      <c r="T79" s="67" t="s">
        <v>179</v>
      </c>
      <c r="U79" s="60"/>
      <c r="V79" s="68" t="s">
        <v>496</v>
      </c>
      <c r="W79" s="60"/>
      <c r="X79" s="60"/>
      <c r="Y79" s="60" t="s">
        <v>203</v>
      </c>
      <c r="Z79" s="60" t="s">
        <v>70</v>
      </c>
      <c r="AA79" s="60"/>
      <c r="AB79" s="60"/>
      <c r="AC79" s="60"/>
      <c r="AD79" s="60"/>
      <c r="AE79" s="69"/>
      <c r="AF79" s="17"/>
      <c r="AG79" s="17"/>
      <c r="AH79" s="17"/>
      <c r="AI79" s="17"/>
      <c r="AJ79" s="17"/>
      <c r="AK79" s="17"/>
      <c r="AL79" s="17"/>
      <c r="AM79" s="17"/>
      <c r="AN79" s="17"/>
      <c r="AO79" s="17"/>
      <c r="AP79" s="17"/>
      <c r="AQ79" s="17"/>
      <c r="AR79" s="17"/>
      <c r="AS79" s="17"/>
      <c r="AT79" s="17"/>
      <c r="AU79" s="17"/>
    </row>
    <row r="80" spans="1:47" ht="15" hidden="1" customHeight="1">
      <c r="A80" s="60">
        <f>ROW() - ROW(Table1[[#Headers],[s]])</f>
        <v>79</v>
      </c>
      <c r="B80" s="60"/>
      <c r="C80" s="61" t="s">
        <v>60</v>
      </c>
      <c r="D80" s="63" t="s">
        <v>497</v>
      </c>
      <c r="E80" s="60" t="e" vm="71">
        <v>#VALUE!</v>
      </c>
      <c r="F80" s="60" t="e" vm="49">
        <v>#VALUE!</v>
      </c>
      <c r="G80" s="64" t="s">
        <v>200</v>
      </c>
      <c r="H80" s="60" t="s">
        <v>152</v>
      </c>
      <c r="I80" s="61" t="s">
        <v>60</v>
      </c>
      <c r="J80" s="67" t="s">
        <v>153</v>
      </c>
      <c r="K80" s="42" t="s">
        <v>154</v>
      </c>
      <c r="L80" s="65"/>
      <c r="M80" s="67"/>
      <c r="N80" s="67"/>
      <c r="O80" s="64"/>
      <c r="P80" s="60"/>
      <c r="Q80" s="110"/>
      <c r="R80" s="60"/>
      <c r="S80" s="68" t="s">
        <v>498</v>
      </c>
      <c r="T80" s="67" t="s">
        <v>179</v>
      </c>
      <c r="U80" s="60"/>
      <c r="V80" s="68"/>
      <c r="W80" s="60"/>
      <c r="X80" s="60"/>
      <c r="Y80" s="60" t="s">
        <v>179</v>
      </c>
      <c r="Z80" s="60" t="s">
        <v>179</v>
      </c>
      <c r="AA80" s="60"/>
      <c r="AB80" s="60"/>
      <c r="AC80" s="60"/>
      <c r="AD80" s="60"/>
      <c r="AE80" s="69"/>
      <c r="AF80" s="17"/>
      <c r="AG80" s="17"/>
      <c r="AH80" s="17"/>
      <c r="AI80" s="17"/>
      <c r="AJ80" s="17"/>
      <c r="AK80" s="17"/>
      <c r="AL80" s="17"/>
      <c r="AM80" s="17"/>
      <c r="AN80" s="17"/>
      <c r="AO80" s="17"/>
      <c r="AP80" s="17"/>
      <c r="AQ80" s="17"/>
      <c r="AR80" s="17"/>
      <c r="AS80" s="17"/>
      <c r="AT80" s="17"/>
      <c r="AU80" s="17"/>
    </row>
    <row r="81" spans="1:47" ht="15" hidden="1" customHeight="1">
      <c r="A81" s="60">
        <f>ROW() - ROW(Table1[[#Headers],[s]])</f>
        <v>80</v>
      </c>
      <c r="B81" s="60"/>
      <c r="C81" s="61" t="s">
        <v>60</v>
      </c>
      <c r="D81" s="63" t="s">
        <v>499</v>
      </c>
      <c r="E81" s="60" t="e" vm="71">
        <v>#VALUE!</v>
      </c>
      <c r="F81" s="60" t="e" vm="49">
        <v>#VALUE!</v>
      </c>
      <c r="G81" s="64" t="s">
        <v>200</v>
      </c>
      <c r="H81" s="60" t="s">
        <v>152</v>
      </c>
      <c r="I81" s="61" t="s">
        <v>60</v>
      </c>
      <c r="J81" s="67" t="s">
        <v>153</v>
      </c>
      <c r="K81" s="42" t="s">
        <v>154</v>
      </c>
      <c r="L81" s="65"/>
      <c r="M81" s="67"/>
      <c r="N81" s="67"/>
      <c r="O81" s="64"/>
      <c r="P81" s="60"/>
      <c r="Q81" s="110"/>
      <c r="R81" s="60"/>
      <c r="S81" s="68" t="s">
        <v>498</v>
      </c>
      <c r="T81" s="67" t="s">
        <v>179</v>
      </c>
      <c r="U81" s="60"/>
      <c r="V81" s="68"/>
      <c r="W81" s="60"/>
      <c r="X81" s="60"/>
      <c r="Y81" s="60" t="s">
        <v>179</v>
      </c>
      <c r="Z81" s="60" t="s">
        <v>179</v>
      </c>
      <c r="AA81" s="60"/>
      <c r="AB81" s="60"/>
      <c r="AC81" s="60"/>
      <c r="AD81" s="60"/>
      <c r="AE81" s="69"/>
      <c r="AF81" s="17"/>
      <c r="AG81" s="17"/>
      <c r="AH81" s="17"/>
      <c r="AI81" s="17"/>
      <c r="AJ81" s="17"/>
      <c r="AK81" s="17"/>
      <c r="AL81" s="17"/>
      <c r="AM81" s="17"/>
      <c r="AN81" s="17"/>
      <c r="AO81" s="17"/>
      <c r="AP81" s="17"/>
      <c r="AQ81" s="17"/>
      <c r="AR81" s="17"/>
      <c r="AS81" s="17"/>
      <c r="AT81" s="17"/>
      <c r="AU81" s="17"/>
    </row>
    <row r="82" spans="1:47" ht="15" hidden="1" customHeight="1">
      <c r="A82" s="60">
        <f>ROW() - ROW(Table1[[#Headers],[s]])</f>
        <v>81</v>
      </c>
      <c r="B82" s="60" t="s">
        <v>500</v>
      </c>
      <c r="C82" s="61">
        <v>46023</v>
      </c>
      <c r="D82" s="63" t="s">
        <v>501</v>
      </c>
      <c r="E82" s="60" t="e" vm="71">
        <v>#VALUE!</v>
      </c>
      <c r="F82" s="60" t="e" vm="49">
        <v>#VALUE!</v>
      </c>
      <c r="G82" s="64" t="s">
        <v>200</v>
      </c>
      <c r="H82" s="60" t="s">
        <v>152</v>
      </c>
      <c r="I82" s="60" t="s">
        <v>43</v>
      </c>
      <c r="J82" s="67" t="s">
        <v>153</v>
      </c>
      <c r="K82" s="42" t="s">
        <v>154</v>
      </c>
      <c r="L82" s="65">
        <v>46037.549305555556</v>
      </c>
      <c r="M82" s="55" t="s">
        <v>155</v>
      </c>
      <c r="N82" s="67" t="s">
        <v>502</v>
      </c>
      <c r="O82" s="64"/>
      <c r="P82" s="60"/>
      <c r="Q82" s="110"/>
      <c r="R82" s="60"/>
      <c r="S82" s="68" t="s">
        <v>503</v>
      </c>
      <c r="T82" s="67" t="s">
        <v>478</v>
      </c>
      <c r="U82" s="60"/>
      <c r="V82" s="382" t="s">
        <v>504</v>
      </c>
      <c r="W82" s="60"/>
      <c r="X82" s="60"/>
      <c r="Y82" s="60" t="s">
        <v>70</v>
      </c>
      <c r="Z82" s="60" t="s">
        <v>67</v>
      </c>
      <c r="AA82" s="60"/>
      <c r="AB82" s="60"/>
      <c r="AC82" s="60"/>
      <c r="AD82" s="60"/>
      <c r="AE82" s="69"/>
      <c r="AF82" s="17"/>
      <c r="AG82" s="17"/>
      <c r="AH82" s="17"/>
      <c r="AI82" s="17"/>
      <c r="AJ82" s="17"/>
      <c r="AK82" s="17"/>
      <c r="AL82" s="17"/>
      <c r="AM82" s="17"/>
      <c r="AN82" s="17"/>
      <c r="AO82" s="17"/>
      <c r="AP82" s="17"/>
      <c r="AQ82" s="17"/>
      <c r="AR82" s="17"/>
      <c r="AS82" s="17"/>
      <c r="AT82" s="17"/>
      <c r="AU82" s="17"/>
    </row>
    <row r="83" spans="1:47" ht="15" hidden="1" customHeight="1">
      <c r="A83" s="60">
        <f>ROW() - ROW(Table1[[#Headers],[s]])</f>
        <v>82</v>
      </c>
      <c r="B83" s="60" t="s">
        <v>505</v>
      </c>
      <c r="C83" s="61">
        <v>46023</v>
      </c>
      <c r="D83" s="63" t="s">
        <v>506</v>
      </c>
      <c r="E83" s="60" t="e" vm="68">
        <v>#VALUE!</v>
      </c>
      <c r="F83" s="60" t="e" vm="26">
        <v>#VALUE!</v>
      </c>
      <c r="G83" s="64" t="s">
        <v>174</v>
      </c>
      <c r="H83" s="60" t="s">
        <v>152</v>
      </c>
      <c r="I83" s="42" t="s">
        <v>175</v>
      </c>
      <c r="J83" s="67" t="s">
        <v>153</v>
      </c>
      <c r="K83" s="60" t="s">
        <v>332</v>
      </c>
      <c r="L83" s="65">
        <v>46037.59652777778</v>
      </c>
      <c r="M83" s="67" t="s">
        <v>507</v>
      </c>
      <c r="N83" s="67" t="s">
        <v>507</v>
      </c>
      <c r="O83" s="65">
        <v>46037.666666666664</v>
      </c>
      <c r="P83" s="65">
        <v>46037.6875</v>
      </c>
      <c r="Q83" s="65">
        <v>46037.729166666664</v>
      </c>
      <c r="R83" s="60"/>
      <c r="S83" s="68" t="s">
        <v>508</v>
      </c>
      <c r="T83" s="67" t="s">
        <v>478</v>
      </c>
      <c r="U83" s="60"/>
      <c r="V83" s="68" t="s">
        <v>509</v>
      </c>
      <c r="W83" s="60"/>
      <c r="X83" s="60"/>
      <c r="Y83" s="60" t="s">
        <v>158</v>
      </c>
      <c r="Z83" s="60" t="s">
        <v>70</v>
      </c>
      <c r="AA83" s="60"/>
      <c r="AB83" s="60"/>
      <c r="AC83" s="60"/>
      <c r="AD83" s="60"/>
      <c r="AE83" s="69"/>
      <c r="AF83" s="17"/>
      <c r="AG83" s="17"/>
      <c r="AH83" s="17"/>
      <c r="AI83" s="17"/>
      <c r="AJ83" s="17"/>
      <c r="AK83" s="17"/>
      <c r="AL83" s="17"/>
      <c r="AM83" s="17"/>
      <c r="AN83" s="17"/>
      <c r="AO83" s="17"/>
      <c r="AP83" s="17"/>
      <c r="AQ83" s="17"/>
      <c r="AR83" s="17"/>
      <c r="AS83" s="17"/>
      <c r="AT83" s="17"/>
      <c r="AU83" s="17"/>
    </row>
    <row r="84" spans="1:47" ht="15" hidden="1" customHeight="1">
      <c r="A84" s="60">
        <f>ROW() - ROW(Table1[[#Headers],[s]])</f>
        <v>83</v>
      </c>
      <c r="B84" s="60" t="s">
        <v>510</v>
      </c>
      <c r="C84" s="61">
        <v>46023</v>
      </c>
      <c r="D84" s="63" t="s">
        <v>511</v>
      </c>
      <c r="E84" s="60" t="e" vm="27">
        <v>#VALUE!</v>
      </c>
      <c r="F84" s="60" t="e" vm="10">
        <v>#VALUE!</v>
      </c>
      <c r="G84" s="64" t="s">
        <v>200</v>
      </c>
      <c r="H84" s="60" t="s">
        <v>152</v>
      </c>
      <c r="I84" s="60" t="s">
        <v>43</v>
      </c>
      <c r="J84" s="67" t="s">
        <v>153</v>
      </c>
      <c r="K84" s="60" t="s">
        <v>332</v>
      </c>
      <c r="L84" s="65">
        <v>46037.57708333333</v>
      </c>
      <c r="M84" s="55" t="s">
        <v>78</v>
      </c>
      <c r="N84" s="55" t="s">
        <v>78</v>
      </c>
      <c r="O84" s="71">
        <v>46037.708333333336</v>
      </c>
      <c r="P84" s="72">
        <v>46037.729166666664</v>
      </c>
      <c r="Q84" s="66">
        <v>46037.75</v>
      </c>
      <c r="R84" s="60"/>
      <c r="S84" s="68" t="s">
        <v>512</v>
      </c>
      <c r="T84" s="67" t="s">
        <v>179</v>
      </c>
      <c r="U84" s="60"/>
      <c r="V84" s="68" t="s">
        <v>513</v>
      </c>
      <c r="W84" s="60"/>
      <c r="X84" s="60"/>
      <c r="Y84" s="60" t="s">
        <v>203</v>
      </c>
      <c r="Z84" s="60" t="s">
        <v>70</v>
      </c>
      <c r="AA84" s="60"/>
      <c r="AB84" s="60"/>
      <c r="AC84" s="60"/>
      <c r="AD84" s="60"/>
      <c r="AE84" s="69"/>
      <c r="AF84" s="17"/>
      <c r="AG84" s="17"/>
      <c r="AH84" s="17"/>
      <c r="AI84" s="17"/>
      <c r="AJ84" s="17"/>
      <c r="AK84" s="17"/>
      <c r="AL84" s="17"/>
      <c r="AM84" s="17"/>
      <c r="AN84" s="17"/>
      <c r="AO84" s="17"/>
      <c r="AP84" s="17"/>
      <c r="AQ84" s="17"/>
      <c r="AR84" s="17"/>
      <c r="AS84" s="17"/>
      <c r="AT84" s="17"/>
      <c r="AU84" s="17"/>
    </row>
    <row r="85" spans="1:47" ht="15" hidden="1" customHeight="1">
      <c r="A85" s="60">
        <f>ROW() - ROW(Table1[[#Headers],[s]])</f>
        <v>84</v>
      </c>
      <c r="B85" s="60" t="s">
        <v>514</v>
      </c>
      <c r="C85" s="61">
        <v>46023</v>
      </c>
      <c r="D85" s="63" t="s">
        <v>515</v>
      </c>
      <c r="E85" s="60" t="e" vm="59">
        <v>#VALUE!</v>
      </c>
      <c r="F85" s="60" t="e" vm="10">
        <v>#VALUE!</v>
      </c>
      <c r="G85" s="64" t="s">
        <v>174</v>
      </c>
      <c r="H85" s="60" t="s">
        <v>152</v>
      </c>
      <c r="I85" s="42" t="s">
        <v>175</v>
      </c>
      <c r="J85" s="67" t="s">
        <v>153</v>
      </c>
      <c r="K85" s="60" t="s">
        <v>332</v>
      </c>
      <c r="L85" s="65">
        <v>46037.819444444445</v>
      </c>
      <c r="M85" s="55" t="s">
        <v>78</v>
      </c>
      <c r="N85" s="55" t="s">
        <v>78</v>
      </c>
      <c r="O85" s="71">
        <v>46038.333333333336</v>
      </c>
      <c r="P85" s="71">
        <v>46038.354166666664</v>
      </c>
      <c r="Q85" s="71">
        <v>46038.375</v>
      </c>
      <c r="R85" s="60"/>
      <c r="S85" s="68" t="s">
        <v>473</v>
      </c>
      <c r="T85" s="67" t="s">
        <v>516</v>
      </c>
      <c r="U85" s="60"/>
      <c r="V85" s="68" t="s">
        <v>517</v>
      </c>
      <c r="W85" s="60"/>
      <c r="X85" s="60"/>
      <c r="Y85" s="60" t="s">
        <v>158</v>
      </c>
      <c r="Z85" s="60" t="s">
        <v>67</v>
      </c>
      <c r="AA85" s="60"/>
      <c r="AB85" s="60"/>
      <c r="AC85" s="60"/>
      <c r="AD85" s="60"/>
      <c r="AE85" s="69"/>
      <c r="AF85" s="17"/>
      <c r="AG85" s="17"/>
      <c r="AH85" s="17"/>
      <c r="AI85" s="17"/>
      <c r="AJ85" s="17"/>
      <c r="AK85" s="17"/>
      <c r="AL85" s="17"/>
      <c r="AM85" s="17"/>
      <c r="AN85" s="17"/>
      <c r="AO85" s="17"/>
      <c r="AP85" s="17"/>
      <c r="AQ85" s="17"/>
      <c r="AR85" s="17"/>
      <c r="AS85" s="17"/>
      <c r="AT85" s="17"/>
      <c r="AU85" s="17"/>
    </row>
    <row r="86" spans="1:47" ht="15" hidden="1" customHeight="1">
      <c r="A86" s="60">
        <f>ROW() - ROW(Table1[[#Headers],[s]])</f>
        <v>85</v>
      </c>
      <c r="B86" s="60" t="s">
        <v>487</v>
      </c>
      <c r="C86" s="61">
        <v>46023</v>
      </c>
      <c r="D86" s="63" t="s">
        <v>518</v>
      </c>
      <c r="E86" s="60" t="e" vm="69">
        <v>#VALUE!</v>
      </c>
      <c r="F86" s="60" t="e" vm="2">
        <v>#VALUE!</v>
      </c>
      <c r="G86" s="64" t="s">
        <v>200</v>
      </c>
      <c r="H86" s="60" t="s">
        <v>240</v>
      </c>
      <c r="I86" s="60" t="s">
        <v>43</v>
      </c>
      <c r="J86" s="67" t="s">
        <v>253</v>
      </c>
      <c r="K86" s="60" t="s">
        <v>332</v>
      </c>
      <c r="L86" s="65">
        <v>46037.756944444445</v>
      </c>
      <c r="M86" s="55" t="s">
        <v>162</v>
      </c>
      <c r="N86" s="55" t="s">
        <v>162</v>
      </c>
      <c r="O86" s="71">
        <v>46037.875</v>
      </c>
      <c r="P86" s="72">
        <v>46037.958333333336</v>
      </c>
      <c r="Q86" s="66">
        <v>46037.979166666664</v>
      </c>
      <c r="R86" s="60"/>
      <c r="S86" s="68" t="s">
        <v>519</v>
      </c>
      <c r="T86" s="67" t="s">
        <v>179</v>
      </c>
      <c r="U86" s="60"/>
      <c r="V86" s="68" t="s">
        <v>513</v>
      </c>
      <c r="W86" s="60"/>
      <c r="X86" s="60"/>
      <c r="Y86" s="60" t="s">
        <v>158</v>
      </c>
      <c r="Z86" s="60" t="s">
        <v>70</v>
      </c>
      <c r="AA86" s="60"/>
      <c r="AB86" s="60"/>
      <c r="AC86" s="60"/>
      <c r="AD86" s="60"/>
      <c r="AE86" s="69"/>
      <c r="AF86" s="17"/>
      <c r="AG86" s="17"/>
      <c r="AH86" s="17"/>
      <c r="AI86" s="17"/>
      <c r="AJ86" s="17"/>
      <c r="AK86" s="17"/>
      <c r="AL86" s="17"/>
      <c r="AM86" s="17"/>
      <c r="AN86" s="17"/>
      <c r="AO86" s="17"/>
      <c r="AP86" s="17"/>
      <c r="AQ86" s="17"/>
      <c r="AR86" s="17"/>
      <c r="AS86" s="17"/>
      <c r="AT86" s="17"/>
      <c r="AU86" s="17"/>
    </row>
    <row r="87" spans="1:47" ht="15" hidden="1" customHeight="1">
      <c r="A87" s="60">
        <f>ROW() - ROW(Table1[[#Headers],[s]])</f>
        <v>86</v>
      </c>
      <c r="B87" s="60" t="s">
        <v>520</v>
      </c>
      <c r="C87" s="61">
        <v>46023</v>
      </c>
      <c r="D87" s="63" t="s">
        <v>521</v>
      </c>
      <c r="E87" s="60" t="e" vm="72">
        <v>#VALUE!</v>
      </c>
      <c r="F87" s="60" t="e" vm="25">
        <v>#VALUE!</v>
      </c>
      <c r="G87" s="64" t="s">
        <v>174</v>
      </c>
      <c r="H87" s="60" t="s">
        <v>152</v>
      </c>
      <c r="I87" s="42" t="s">
        <v>175</v>
      </c>
      <c r="J87" s="67" t="s">
        <v>153</v>
      </c>
      <c r="K87" s="60" t="s">
        <v>332</v>
      </c>
      <c r="L87" s="65">
        <v>46038.566666666666</v>
      </c>
      <c r="M87" s="67" t="s">
        <v>72</v>
      </c>
      <c r="N87" s="67" t="s">
        <v>72</v>
      </c>
      <c r="O87" s="65">
        <v>46038.618055555555</v>
      </c>
      <c r="P87" s="65">
        <v>46038.631944444445</v>
      </c>
      <c r="Q87" s="65">
        <v>46038.6875</v>
      </c>
      <c r="R87" s="60"/>
      <c r="S87" s="68" t="s">
        <v>522</v>
      </c>
      <c r="T87" s="67" t="s">
        <v>478</v>
      </c>
      <c r="U87" s="60"/>
      <c r="V87" s="68" t="s">
        <v>523</v>
      </c>
      <c r="W87" s="60"/>
      <c r="X87" s="60"/>
      <c r="Y87" s="60" t="s">
        <v>158</v>
      </c>
      <c r="Z87" s="60" t="s">
        <v>70</v>
      </c>
      <c r="AA87" s="60"/>
      <c r="AB87" s="60"/>
      <c r="AC87" s="60"/>
      <c r="AD87" s="60"/>
      <c r="AE87" s="69"/>
      <c r="AF87" s="17"/>
      <c r="AG87" s="17"/>
      <c r="AH87" s="17"/>
      <c r="AI87" s="17"/>
      <c r="AJ87" s="17"/>
      <c r="AK87" s="17"/>
      <c r="AL87" s="17"/>
      <c r="AM87" s="17"/>
      <c r="AN87" s="17"/>
      <c r="AO87" s="17"/>
      <c r="AP87" s="17"/>
      <c r="AQ87" s="17"/>
      <c r="AR87" s="17"/>
      <c r="AS87" s="17"/>
      <c r="AT87" s="17"/>
      <c r="AU87" s="17"/>
    </row>
    <row r="88" spans="1:47" ht="15" hidden="1" customHeight="1">
      <c r="A88" s="60">
        <f>ROW() - ROW(Table1[[#Headers],[s]])</f>
        <v>87</v>
      </c>
      <c r="B88" s="60" t="s">
        <v>524</v>
      </c>
      <c r="C88" s="61">
        <v>46023</v>
      </c>
      <c r="D88" s="120" t="s">
        <v>525</v>
      </c>
      <c r="E88" s="60" t="e" vm="24">
        <v>#VALUE!</v>
      </c>
      <c r="F88" s="60" t="e" vm="25">
        <v>#VALUE!</v>
      </c>
      <c r="G88" s="64" t="s">
        <v>526</v>
      </c>
      <c r="H88" s="60" t="s">
        <v>152</v>
      </c>
      <c r="I88" s="42" t="s">
        <v>43</v>
      </c>
      <c r="J88" s="67" t="s">
        <v>153</v>
      </c>
      <c r="K88" s="60" t="s">
        <v>332</v>
      </c>
      <c r="L88" s="65">
        <v>46038.576388888891</v>
      </c>
      <c r="M88" s="67" t="s">
        <v>72</v>
      </c>
      <c r="N88" s="67" t="s">
        <v>72</v>
      </c>
      <c r="O88" s="64"/>
      <c r="P88" s="60"/>
      <c r="Q88" s="66">
        <v>46041.5625</v>
      </c>
      <c r="R88" s="60"/>
      <c r="S88" s="68" t="s">
        <v>527</v>
      </c>
      <c r="T88" s="67" t="s">
        <v>478</v>
      </c>
      <c r="U88" s="60"/>
      <c r="V88" s="68" t="s">
        <v>528</v>
      </c>
      <c r="W88" s="60"/>
      <c r="X88" s="60"/>
      <c r="Y88" s="60" t="s">
        <v>203</v>
      </c>
      <c r="Z88" s="60" t="s">
        <v>70</v>
      </c>
      <c r="AA88" s="60"/>
      <c r="AB88" s="60"/>
      <c r="AC88" s="60"/>
      <c r="AD88" s="60"/>
      <c r="AE88" s="69"/>
      <c r="AF88" s="17"/>
      <c r="AG88" s="17"/>
      <c r="AH88" s="17"/>
      <c r="AI88" s="17"/>
      <c r="AJ88" s="17"/>
      <c r="AK88" s="17"/>
      <c r="AL88" s="17"/>
      <c r="AM88" s="17"/>
      <c r="AN88" s="17"/>
      <c r="AO88" s="17"/>
      <c r="AP88" s="17"/>
      <c r="AQ88" s="17"/>
      <c r="AR88" s="17"/>
      <c r="AS88" s="17"/>
      <c r="AT88" s="17"/>
      <c r="AU88" s="17"/>
    </row>
    <row r="89" spans="1:47" ht="15" hidden="1" customHeight="1">
      <c r="A89" s="60">
        <f>ROW() - ROW(Table1[[#Headers],[s]])</f>
        <v>88</v>
      </c>
      <c r="B89" s="60" t="s">
        <v>529</v>
      </c>
      <c r="C89" s="61">
        <v>46023</v>
      </c>
      <c r="D89" s="63" t="s">
        <v>530</v>
      </c>
      <c r="E89" s="60" t="e" vm="73">
        <v>#VALUE!</v>
      </c>
      <c r="F89" s="60" t="e" vm="49">
        <v>#VALUE!</v>
      </c>
      <c r="G89" s="64" t="s">
        <v>36</v>
      </c>
      <c r="H89" s="60" t="s">
        <v>152</v>
      </c>
      <c r="I89" s="42" t="s">
        <v>43</v>
      </c>
      <c r="J89" s="67" t="s">
        <v>153</v>
      </c>
      <c r="K89" s="60" t="s">
        <v>154</v>
      </c>
      <c r="L89" s="65">
        <v>46038.59652777778</v>
      </c>
      <c r="M89" s="55" t="s">
        <v>155</v>
      </c>
      <c r="N89" s="55" t="s">
        <v>155</v>
      </c>
      <c r="O89" s="64"/>
      <c r="P89" s="60"/>
      <c r="Q89" s="121">
        <v>46039.472222222219</v>
      </c>
      <c r="R89" s="60"/>
      <c r="S89" s="68" t="s">
        <v>531</v>
      </c>
      <c r="T89" s="67" t="s">
        <v>179</v>
      </c>
      <c r="U89" s="60" t="s">
        <v>532</v>
      </c>
      <c r="V89" s="68"/>
      <c r="W89" s="60"/>
      <c r="X89" s="60"/>
      <c r="Y89" s="60" t="s">
        <v>203</v>
      </c>
      <c r="Z89" s="60" t="s">
        <v>70</v>
      </c>
      <c r="AA89" s="60"/>
      <c r="AB89" s="60"/>
      <c r="AC89" s="60"/>
      <c r="AD89" s="60"/>
      <c r="AE89" s="69"/>
      <c r="AF89" s="17"/>
      <c r="AG89" s="17"/>
      <c r="AH89" s="17"/>
      <c r="AI89" s="17"/>
      <c r="AJ89" s="17"/>
      <c r="AK89" s="17"/>
      <c r="AL89" s="17"/>
      <c r="AM89" s="17"/>
      <c r="AN89" s="17"/>
      <c r="AO89" s="17"/>
      <c r="AP89" s="17"/>
      <c r="AQ89" s="17"/>
      <c r="AR89" s="17"/>
      <c r="AS89" s="17"/>
      <c r="AT89" s="17"/>
      <c r="AU89" s="17"/>
    </row>
    <row r="90" spans="1:47" ht="15.75" hidden="1" customHeight="1">
      <c r="A90" s="60">
        <f>ROW() - ROW(Table1[[#Headers],[s]])</f>
        <v>89</v>
      </c>
      <c r="B90" s="74" t="s">
        <v>533</v>
      </c>
      <c r="C90" s="61">
        <v>46023</v>
      </c>
      <c r="D90" s="63" t="s">
        <v>534</v>
      </c>
      <c r="E90" s="60" t="e" vm="74">
        <v>#VALUE!</v>
      </c>
      <c r="F90" s="60" t="e" vm="17">
        <v>#VALUE!</v>
      </c>
      <c r="G90" s="64" t="s">
        <v>36</v>
      </c>
      <c r="H90" s="60" t="s">
        <v>152</v>
      </c>
      <c r="I90" s="42" t="s">
        <v>43</v>
      </c>
      <c r="J90" s="67" t="s">
        <v>153</v>
      </c>
      <c r="K90" s="60" t="s">
        <v>154</v>
      </c>
      <c r="L90" s="65">
        <v>46038.680555555555</v>
      </c>
      <c r="M90" s="67" t="s">
        <v>68</v>
      </c>
      <c r="N90" s="67" t="s">
        <v>68</v>
      </c>
      <c r="O90" s="64"/>
      <c r="P90" s="60"/>
      <c r="Q90" s="66">
        <v>46039.614583333336</v>
      </c>
      <c r="R90" s="60"/>
      <c r="S90" s="68" t="s">
        <v>535</v>
      </c>
      <c r="T90" s="67" t="s">
        <v>179</v>
      </c>
      <c r="U90" s="60"/>
      <c r="V90" s="68" t="s">
        <v>536</v>
      </c>
      <c r="W90" s="60"/>
      <c r="X90" s="60"/>
      <c r="Y90" s="60" t="s">
        <v>203</v>
      </c>
      <c r="Z90" s="60" t="s">
        <v>70</v>
      </c>
      <c r="AA90" s="60"/>
      <c r="AB90" s="60"/>
      <c r="AC90" s="60"/>
      <c r="AD90" s="60"/>
      <c r="AE90" s="69"/>
      <c r="AF90" s="17"/>
      <c r="AG90" s="17"/>
      <c r="AH90" s="17"/>
      <c r="AI90" s="17"/>
      <c r="AJ90" s="17"/>
      <c r="AK90" s="17"/>
      <c r="AL90" s="17"/>
      <c r="AM90" s="17"/>
      <c r="AN90" s="17"/>
      <c r="AO90" s="17"/>
      <c r="AP90" s="17"/>
      <c r="AQ90" s="17"/>
      <c r="AR90" s="17"/>
      <c r="AS90" s="17"/>
      <c r="AT90" s="17"/>
      <c r="AU90" s="17"/>
    </row>
    <row r="91" spans="1:47" ht="15.75" hidden="1" customHeight="1">
      <c r="A91" s="60">
        <f>ROW() - ROW(Table1[[#Headers],[s]])</f>
        <v>90</v>
      </c>
      <c r="B91" s="74" t="s">
        <v>537</v>
      </c>
      <c r="C91" s="61">
        <v>46023</v>
      </c>
      <c r="D91" s="63" t="s">
        <v>538</v>
      </c>
      <c r="E91" s="60" t="e" vm="24">
        <v>#VALUE!</v>
      </c>
      <c r="F91" s="60" t="e" vm="25">
        <v>#VALUE!</v>
      </c>
      <c r="G91" s="64" t="s">
        <v>174</v>
      </c>
      <c r="H91" s="60" t="s">
        <v>152</v>
      </c>
      <c r="I91" s="42" t="s">
        <v>175</v>
      </c>
      <c r="J91" s="67" t="s">
        <v>153</v>
      </c>
      <c r="K91" s="60" t="s">
        <v>332</v>
      </c>
      <c r="L91" s="65">
        <v>46038.678472222222</v>
      </c>
      <c r="M91" s="67" t="s">
        <v>72</v>
      </c>
      <c r="N91" s="67" t="s">
        <v>72</v>
      </c>
      <c r="O91" s="65">
        <v>46038.729166666664</v>
      </c>
      <c r="P91" s="65">
        <v>46038.743055555555</v>
      </c>
      <c r="Q91" s="65">
        <v>46038.770833333336</v>
      </c>
      <c r="R91" s="60"/>
      <c r="S91" s="68" t="s">
        <v>539</v>
      </c>
      <c r="T91" s="67" t="s">
        <v>478</v>
      </c>
      <c r="U91" s="60"/>
      <c r="V91" s="68" t="s">
        <v>540</v>
      </c>
      <c r="W91" s="60"/>
      <c r="X91" s="60"/>
      <c r="Y91" s="60" t="s">
        <v>158</v>
      </c>
      <c r="Z91" s="60" t="s">
        <v>70</v>
      </c>
      <c r="AA91" s="60"/>
      <c r="AB91" s="60"/>
      <c r="AC91" s="60"/>
      <c r="AD91" s="60"/>
      <c r="AE91" s="69"/>
      <c r="AF91" s="17"/>
      <c r="AG91" s="17"/>
      <c r="AH91" s="17"/>
      <c r="AI91" s="17"/>
      <c r="AJ91" s="17"/>
      <c r="AK91" s="17"/>
      <c r="AL91" s="17"/>
      <c r="AM91" s="17"/>
      <c r="AN91" s="17"/>
      <c r="AO91" s="17"/>
      <c r="AP91" s="17"/>
      <c r="AQ91" s="17"/>
      <c r="AR91" s="17"/>
      <c r="AS91" s="17"/>
      <c r="AT91" s="17"/>
      <c r="AU91" s="17"/>
    </row>
    <row r="92" spans="1:47" ht="15.75" hidden="1" customHeight="1">
      <c r="A92" s="60">
        <f>ROW() - ROW(Table1[[#Headers],[s]])</f>
        <v>91</v>
      </c>
      <c r="B92" s="74" t="s">
        <v>541</v>
      </c>
      <c r="C92" s="75">
        <v>46023</v>
      </c>
      <c r="D92" s="63" t="s">
        <v>542</v>
      </c>
      <c r="E92" s="60" t="e" vm="75">
        <v>#VALUE!</v>
      </c>
      <c r="F92" s="60" t="e" vm="21">
        <v>#VALUE!</v>
      </c>
      <c r="G92" s="64" t="s">
        <v>36</v>
      </c>
      <c r="H92" s="60" t="s">
        <v>152</v>
      </c>
      <c r="I92" s="42" t="s">
        <v>43</v>
      </c>
      <c r="J92" s="67" t="s">
        <v>153</v>
      </c>
      <c r="K92" s="60" t="s">
        <v>154</v>
      </c>
      <c r="L92" s="65">
        <v>46038.784722222219</v>
      </c>
      <c r="M92" s="67" t="s">
        <v>39</v>
      </c>
      <c r="N92" s="67" t="s">
        <v>39</v>
      </c>
      <c r="O92" s="64"/>
      <c r="P92" s="60"/>
      <c r="Q92" s="66">
        <v>46039.493055555555</v>
      </c>
      <c r="R92" s="60"/>
      <c r="S92" s="68" t="s">
        <v>543</v>
      </c>
      <c r="T92" s="67" t="s">
        <v>544</v>
      </c>
      <c r="U92" s="60"/>
      <c r="V92" s="68" t="s">
        <v>545</v>
      </c>
      <c r="W92" s="60"/>
      <c r="X92" s="60"/>
      <c r="Y92" s="60" t="s">
        <v>158</v>
      </c>
      <c r="Z92" s="60" t="s">
        <v>70</v>
      </c>
      <c r="AA92" s="60"/>
      <c r="AB92" s="60"/>
      <c r="AC92" s="60"/>
      <c r="AD92" s="60"/>
      <c r="AE92" s="69"/>
      <c r="AF92" s="17"/>
      <c r="AG92" s="17"/>
      <c r="AH92" s="17"/>
      <c r="AI92" s="17"/>
      <c r="AJ92" s="17"/>
      <c r="AK92" s="17"/>
      <c r="AL92" s="17"/>
      <c r="AM92" s="17"/>
      <c r="AN92" s="17"/>
      <c r="AO92" s="17"/>
      <c r="AP92" s="17"/>
      <c r="AQ92" s="17"/>
      <c r="AR92" s="17"/>
      <c r="AS92" s="17"/>
      <c r="AT92" s="17"/>
      <c r="AU92" s="17"/>
    </row>
    <row r="93" spans="1:47" ht="15" hidden="1" customHeight="1">
      <c r="A93" s="60">
        <f>ROW() - ROW(Table1[[#Headers],[s]])</f>
        <v>92</v>
      </c>
      <c r="B93" s="60" t="s">
        <v>546</v>
      </c>
      <c r="C93" s="61">
        <v>46023</v>
      </c>
      <c r="D93" s="63" t="s">
        <v>547</v>
      </c>
      <c r="E93" s="60" t="e" vm="76">
        <v>#VALUE!</v>
      </c>
      <c r="F93" s="60" t="e" vm="35">
        <v>#VALUE!</v>
      </c>
      <c r="G93" s="64" t="s">
        <v>174</v>
      </c>
      <c r="H93" s="60" t="s">
        <v>240</v>
      </c>
      <c r="I93" s="42" t="s">
        <v>175</v>
      </c>
      <c r="J93" s="67" t="s">
        <v>253</v>
      </c>
      <c r="K93" s="60" t="s">
        <v>154</v>
      </c>
      <c r="L93" s="65">
        <v>46038.466666666667</v>
      </c>
      <c r="M93" s="67" t="s">
        <v>227</v>
      </c>
      <c r="N93" s="67" t="s">
        <v>227</v>
      </c>
      <c r="O93" s="65">
        <v>46038.5625</v>
      </c>
      <c r="P93" s="65">
        <v>46038.5625</v>
      </c>
      <c r="Q93" s="65">
        <v>46038.5625</v>
      </c>
      <c r="R93" s="60"/>
      <c r="S93" s="68" t="s">
        <v>548</v>
      </c>
      <c r="T93" s="67" t="s">
        <v>179</v>
      </c>
      <c r="U93" s="60"/>
      <c r="V93" s="68" t="s">
        <v>548</v>
      </c>
      <c r="W93" s="60"/>
      <c r="X93" s="60"/>
      <c r="Y93" s="60" t="s">
        <v>179</v>
      </c>
      <c r="Z93" s="60" t="s">
        <v>70</v>
      </c>
      <c r="AA93" s="60"/>
      <c r="AB93" s="60"/>
      <c r="AC93" s="60"/>
      <c r="AD93" s="60"/>
      <c r="AE93" s="69"/>
      <c r="AF93" s="17"/>
      <c r="AG93" s="17"/>
      <c r="AH93" s="17"/>
      <c r="AI93" s="17"/>
      <c r="AJ93" s="17"/>
      <c r="AK93" s="17"/>
      <c r="AL93" s="17"/>
      <c r="AM93" s="17"/>
      <c r="AN93" s="17"/>
      <c r="AO93" s="17"/>
      <c r="AP93" s="17"/>
      <c r="AQ93" s="17"/>
      <c r="AR93" s="17"/>
      <c r="AS93" s="17"/>
      <c r="AT93" s="17"/>
      <c r="AU93" s="17"/>
    </row>
    <row r="94" spans="1:47" ht="15" hidden="1" customHeight="1">
      <c r="A94" s="60">
        <f>ROW() - ROW(Table1[[#Headers],[s]])</f>
        <v>93</v>
      </c>
      <c r="B94" s="60" t="s">
        <v>549</v>
      </c>
      <c r="C94" s="61">
        <v>46023</v>
      </c>
      <c r="D94" s="63" t="s">
        <v>550</v>
      </c>
      <c r="E94" s="60" t="e" vm="77">
        <v>#VALUE!</v>
      </c>
      <c r="F94" s="60" t="e" vm="46">
        <v>#VALUE!</v>
      </c>
      <c r="G94" s="64" t="s">
        <v>36</v>
      </c>
      <c r="H94" s="60" t="s">
        <v>240</v>
      </c>
      <c r="I94" s="42" t="s">
        <v>43</v>
      </c>
      <c r="J94" s="67" t="s">
        <v>253</v>
      </c>
      <c r="K94" s="60" t="s">
        <v>154</v>
      </c>
      <c r="L94" s="65">
        <v>46039.525000000001</v>
      </c>
      <c r="M94" s="67" t="s">
        <v>81</v>
      </c>
      <c r="N94" s="67" t="s">
        <v>81</v>
      </c>
      <c r="O94" s="64"/>
      <c r="P94" s="60"/>
      <c r="Q94" s="66">
        <v>46039.594444444447</v>
      </c>
      <c r="R94" s="60"/>
      <c r="S94" s="68" t="s">
        <v>551</v>
      </c>
      <c r="T94" s="67" t="s">
        <v>179</v>
      </c>
      <c r="U94" s="60"/>
      <c r="V94" s="68" t="s">
        <v>552</v>
      </c>
      <c r="W94" s="60"/>
      <c r="X94" s="60"/>
      <c r="Y94" s="60" t="s">
        <v>203</v>
      </c>
      <c r="Z94" s="60" t="s">
        <v>70</v>
      </c>
      <c r="AA94" s="60"/>
      <c r="AB94" s="60"/>
      <c r="AC94" s="60"/>
      <c r="AD94" s="60"/>
      <c r="AE94" s="69"/>
      <c r="AF94" s="17"/>
      <c r="AG94" s="17"/>
      <c r="AH94" s="17"/>
      <c r="AI94" s="17"/>
      <c r="AJ94" s="17"/>
      <c r="AK94" s="17"/>
      <c r="AL94" s="17"/>
      <c r="AM94" s="17"/>
      <c r="AN94" s="17"/>
      <c r="AO94" s="17"/>
      <c r="AP94" s="17"/>
      <c r="AQ94" s="17"/>
      <c r="AR94" s="17"/>
      <c r="AS94" s="17"/>
      <c r="AT94" s="17"/>
      <c r="AU94" s="17"/>
    </row>
    <row r="95" spans="1:47" ht="15" hidden="1" customHeight="1">
      <c r="A95" s="60">
        <f>ROW() - ROW(Table1[[#Headers],[s]])</f>
        <v>94</v>
      </c>
      <c r="B95" s="60" t="s">
        <v>553</v>
      </c>
      <c r="C95" s="61">
        <v>46023</v>
      </c>
      <c r="D95" s="63" t="s">
        <v>554</v>
      </c>
      <c r="E95" s="60" t="e" vm="78">
        <v>#VALUE!</v>
      </c>
      <c r="F95" s="60" t="e" vm="40">
        <v>#VALUE!</v>
      </c>
      <c r="G95" s="64" t="s">
        <v>36</v>
      </c>
      <c r="H95" s="60" t="s">
        <v>240</v>
      </c>
      <c r="I95" s="42" t="s">
        <v>43</v>
      </c>
      <c r="J95" s="67" t="s">
        <v>253</v>
      </c>
      <c r="K95" s="60" t="s">
        <v>154</v>
      </c>
      <c r="L95" s="65">
        <v>46040.218055555553</v>
      </c>
      <c r="M95" s="67" t="s">
        <v>555</v>
      </c>
      <c r="N95" s="67" t="s">
        <v>555</v>
      </c>
      <c r="O95" s="64"/>
      <c r="P95" s="60"/>
      <c r="Q95" s="66">
        <v>46040.519444444442</v>
      </c>
      <c r="R95" s="60"/>
      <c r="S95" s="68" t="s">
        <v>441</v>
      </c>
      <c r="T95" s="67" t="s">
        <v>179</v>
      </c>
      <c r="U95" s="60"/>
      <c r="V95" s="68" t="s">
        <v>470</v>
      </c>
      <c r="W95" s="60"/>
      <c r="X95" s="60"/>
      <c r="Y95" s="60" t="s">
        <v>203</v>
      </c>
      <c r="Z95" s="60" t="s">
        <v>70</v>
      </c>
      <c r="AA95" s="60"/>
      <c r="AB95" s="60"/>
      <c r="AC95" s="60"/>
      <c r="AD95" s="60"/>
      <c r="AE95" s="69"/>
      <c r="AF95" s="17"/>
      <c r="AG95" s="17"/>
      <c r="AH95" s="17"/>
      <c r="AI95" s="17"/>
      <c r="AJ95" s="17"/>
      <c r="AK95" s="17"/>
      <c r="AL95" s="17"/>
      <c r="AM95" s="17"/>
      <c r="AN95" s="17"/>
      <c r="AO95" s="17"/>
      <c r="AP95" s="17"/>
      <c r="AQ95" s="17"/>
      <c r="AR95" s="17"/>
      <c r="AS95" s="17"/>
      <c r="AT95" s="17"/>
      <c r="AU95" s="17"/>
    </row>
    <row r="96" spans="1:47" ht="15" hidden="1" customHeight="1">
      <c r="A96" s="60">
        <f>ROW() - ROW(Table1[[#Headers],[s]])</f>
        <v>95</v>
      </c>
      <c r="B96" s="60" t="s">
        <v>556</v>
      </c>
      <c r="C96" s="61">
        <v>46023</v>
      </c>
      <c r="D96" s="63" t="s">
        <v>557</v>
      </c>
      <c r="E96" s="60" t="e" vm="77">
        <v>#VALUE!</v>
      </c>
      <c r="F96" s="60" t="e" vm="46">
        <v>#VALUE!</v>
      </c>
      <c r="G96" s="64" t="s">
        <v>36</v>
      </c>
      <c r="H96" s="60" t="s">
        <v>240</v>
      </c>
      <c r="I96" s="42" t="s">
        <v>43</v>
      </c>
      <c r="J96" s="67" t="s">
        <v>253</v>
      </c>
      <c r="K96" s="60" t="s">
        <v>154</v>
      </c>
      <c r="L96" s="65">
        <v>46040.523611111108</v>
      </c>
      <c r="M96" s="67" t="s">
        <v>81</v>
      </c>
      <c r="N96" s="67" t="s">
        <v>81</v>
      </c>
      <c r="O96" s="64"/>
      <c r="P96" s="60"/>
      <c r="Q96" s="66">
        <v>46040.591666666667</v>
      </c>
      <c r="R96" s="60"/>
      <c r="S96" s="68" t="s">
        <v>558</v>
      </c>
      <c r="T96" s="67" t="s">
        <v>179</v>
      </c>
      <c r="U96" s="60"/>
      <c r="V96" s="68" t="s">
        <v>559</v>
      </c>
      <c r="W96" s="60"/>
      <c r="X96" s="60"/>
      <c r="Y96" s="60" t="s">
        <v>158</v>
      </c>
      <c r="Z96" s="60" t="s">
        <v>70</v>
      </c>
      <c r="AA96" s="60"/>
      <c r="AB96" s="60"/>
      <c r="AC96" s="60"/>
      <c r="AD96" s="60"/>
      <c r="AE96" s="69"/>
      <c r="AF96" s="17"/>
      <c r="AG96" s="17"/>
      <c r="AH96" s="17"/>
      <c r="AI96" s="17"/>
      <c r="AJ96" s="17"/>
      <c r="AK96" s="17"/>
      <c r="AL96" s="17"/>
      <c r="AM96" s="17"/>
      <c r="AN96" s="17"/>
      <c r="AO96" s="17"/>
      <c r="AP96" s="17"/>
      <c r="AQ96" s="17"/>
      <c r="AR96" s="17"/>
      <c r="AS96" s="17"/>
      <c r="AT96" s="17"/>
      <c r="AU96" s="17"/>
    </row>
    <row r="97" spans="1:47" ht="15" hidden="1" customHeight="1">
      <c r="A97" s="60">
        <f>ROW() - ROW(Table1[[#Headers],[s]])</f>
        <v>96</v>
      </c>
      <c r="B97" s="60" t="s">
        <v>560</v>
      </c>
      <c r="C97" s="61">
        <v>46023</v>
      </c>
      <c r="D97" s="63" t="s">
        <v>561</v>
      </c>
      <c r="E97" s="60" t="e" vm="73">
        <v>#VALUE!</v>
      </c>
      <c r="F97" s="60" t="e" vm="49">
        <v>#VALUE!</v>
      </c>
      <c r="G97" s="64" t="s">
        <v>36</v>
      </c>
      <c r="H97" s="60" t="s">
        <v>152</v>
      </c>
      <c r="I97" s="42" t="s">
        <v>43</v>
      </c>
      <c r="J97" s="67" t="s">
        <v>153</v>
      </c>
      <c r="K97" s="60" t="s">
        <v>154</v>
      </c>
      <c r="L97" s="65">
        <v>46040.615972222222</v>
      </c>
      <c r="M97" s="67" t="s">
        <v>227</v>
      </c>
      <c r="N97" s="67" t="s">
        <v>227</v>
      </c>
      <c r="O97" s="64"/>
      <c r="P97" s="60"/>
      <c r="Q97" s="66">
        <v>46040.753472222219</v>
      </c>
      <c r="R97" s="60"/>
      <c r="S97" s="68" t="s">
        <v>562</v>
      </c>
      <c r="T97" s="67" t="s">
        <v>478</v>
      </c>
      <c r="U97" s="60"/>
      <c r="V97" s="68" t="s">
        <v>563</v>
      </c>
      <c r="W97" s="60"/>
      <c r="X97" s="60"/>
      <c r="Y97" s="60" t="s">
        <v>203</v>
      </c>
      <c r="Z97" s="60" t="s">
        <v>70</v>
      </c>
      <c r="AA97" s="60"/>
      <c r="AB97" s="60"/>
      <c r="AC97" s="60"/>
      <c r="AD97" s="60"/>
      <c r="AE97" s="69"/>
      <c r="AF97" s="17"/>
      <c r="AG97" s="17"/>
      <c r="AH97" s="17"/>
      <c r="AI97" s="17"/>
      <c r="AJ97" s="17"/>
      <c r="AK97" s="17"/>
      <c r="AL97" s="17"/>
      <c r="AM97" s="17"/>
      <c r="AN97" s="17"/>
      <c r="AO97" s="17"/>
      <c r="AP97" s="17"/>
      <c r="AQ97" s="17"/>
      <c r="AR97" s="17"/>
      <c r="AS97" s="17"/>
      <c r="AT97" s="17"/>
      <c r="AU97" s="17"/>
    </row>
    <row r="98" spans="1:47" ht="15" customHeight="1">
      <c r="A98" s="60">
        <f>ROW() - ROW(Table1[[#Headers],[s]])</f>
        <v>97</v>
      </c>
      <c r="B98" s="60" t="s">
        <v>564</v>
      </c>
      <c r="C98" s="61">
        <v>46023</v>
      </c>
      <c r="D98" s="63" t="s">
        <v>565</v>
      </c>
      <c r="E98" s="60" t="e" vm="79">
        <v>#VALUE!</v>
      </c>
      <c r="F98" s="60" t="e" vm="25">
        <v>#VALUE!</v>
      </c>
      <c r="G98" s="64" t="s">
        <v>83</v>
      </c>
      <c r="H98" s="60" t="s">
        <v>152</v>
      </c>
      <c r="I98" s="42" t="s">
        <v>43</v>
      </c>
      <c r="J98" s="67" t="s">
        <v>153</v>
      </c>
      <c r="K98" s="60" t="s">
        <v>154</v>
      </c>
      <c r="L98" s="65">
        <v>46041.445833333331</v>
      </c>
      <c r="M98" s="67" t="s">
        <v>566</v>
      </c>
      <c r="N98" s="67" t="s">
        <v>566</v>
      </c>
      <c r="O98" s="71">
        <v>46041.5</v>
      </c>
      <c r="P98" s="72">
        <v>46041.506944444445</v>
      </c>
      <c r="Q98" s="66">
        <v>46041.523611111108</v>
      </c>
      <c r="R98" s="60"/>
      <c r="S98" s="68" t="s">
        <v>567</v>
      </c>
      <c r="T98" s="67" t="s">
        <v>478</v>
      </c>
      <c r="U98" s="60"/>
      <c r="V98" s="68" t="s">
        <v>568</v>
      </c>
      <c r="W98" s="60"/>
      <c r="X98" s="60"/>
      <c r="Y98" s="60" t="s">
        <v>158</v>
      </c>
      <c r="Z98" s="60" t="s">
        <v>70</v>
      </c>
      <c r="AA98" s="60"/>
      <c r="AB98" s="60"/>
      <c r="AC98" s="60"/>
      <c r="AD98" s="60"/>
      <c r="AE98" s="69"/>
      <c r="AF98" s="17"/>
      <c r="AG98" s="17"/>
      <c r="AH98" s="17"/>
      <c r="AI98" s="17"/>
      <c r="AJ98" s="17"/>
      <c r="AK98" s="17"/>
      <c r="AL98" s="17"/>
      <c r="AM98" s="17"/>
      <c r="AN98" s="17"/>
      <c r="AO98" s="17"/>
      <c r="AP98" s="17"/>
      <c r="AQ98" s="17"/>
      <c r="AR98" s="17"/>
      <c r="AS98" s="17"/>
      <c r="AT98" s="17"/>
      <c r="AU98" s="17"/>
    </row>
    <row r="99" spans="1:47" ht="15" hidden="1" customHeight="1">
      <c r="A99" s="60">
        <f>ROW() - ROW(Table1[[#Headers],[s]])</f>
        <v>98</v>
      </c>
      <c r="B99" s="60" t="s">
        <v>569</v>
      </c>
      <c r="C99" s="61" t="s">
        <v>60</v>
      </c>
      <c r="D99" s="120" t="s">
        <v>570</v>
      </c>
      <c r="E99" s="60" t="e" vm="24">
        <v>#VALUE!</v>
      </c>
      <c r="F99" s="60" t="e" vm="25">
        <v>#VALUE!</v>
      </c>
      <c r="G99" s="64" t="s">
        <v>526</v>
      </c>
      <c r="H99" s="60" t="s">
        <v>152</v>
      </c>
      <c r="I99" s="60" t="s">
        <v>60</v>
      </c>
      <c r="J99" s="67" t="s">
        <v>153</v>
      </c>
      <c r="K99" s="60" t="s">
        <v>154</v>
      </c>
      <c r="L99" s="65">
        <v>46041.53125</v>
      </c>
      <c r="M99" s="67" t="s">
        <v>566</v>
      </c>
      <c r="N99" s="67" t="s">
        <v>566</v>
      </c>
      <c r="O99" s="64"/>
      <c r="P99" s="60"/>
      <c r="Q99" s="110"/>
      <c r="R99" s="60"/>
      <c r="S99" s="68" t="s">
        <v>571</v>
      </c>
      <c r="T99" s="67" t="s">
        <v>179</v>
      </c>
      <c r="U99" s="60"/>
      <c r="V99" s="68" t="s">
        <v>572</v>
      </c>
      <c r="W99" s="60"/>
      <c r="X99" s="60"/>
      <c r="Y99" s="60" t="s">
        <v>179</v>
      </c>
      <c r="Z99" s="60" t="s">
        <v>179</v>
      </c>
      <c r="AA99" s="60"/>
      <c r="AB99" s="60"/>
      <c r="AC99" s="60"/>
      <c r="AD99" s="60"/>
      <c r="AE99" s="69"/>
      <c r="AF99" s="17"/>
      <c r="AG99" s="17"/>
      <c r="AH99" s="17"/>
      <c r="AI99" s="17"/>
      <c r="AJ99" s="17"/>
      <c r="AK99" s="17"/>
      <c r="AL99" s="17"/>
      <c r="AM99" s="17"/>
      <c r="AN99" s="17"/>
      <c r="AO99" s="17"/>
      <c r="AP99" s="17"/>
      <c r="AQ99" s="17"/>
      <c r="AR99" s="17"/>
      <c r="AS99" s="17"/>
      <c r="AT99" s="17"/>
      <c r="AU99" s="17"/>
    </row>
    <row r="100" spans="1:47" ht="15" customHeight="1">
      <c r="A100" s="60">
        <f>ROW() - ROW(Table1[[#Headers],[s]])</f>
        <v>99</v>
      </c>
      <c r="B100" s="60" t="s">
        <v>573</v>
      </c>
      <c r="C100" s="61">
        <v>46023</v>
      </c>
      <c r="D100" s="63" t="s">
        <v>574</v>
      </c>
      <c r="E100" s="60" t="s">
        <v>575</v>
      </c>
      <c r="F100" s="60" t="e" vm="39">
        <v>#VALUE!</v>
      </c>
      <c r="G100" s="64" t="s">
        <v>83</v>
      </c>
      <c r="H100" s="60" t="s">
        <v>152</v>
      </c>
      <c r="I100" s="42" t="s">
        <v>43</v>
      </c>
      <c r="J100" s="67" t="s">
        <v>153</v>
      </c>
      <c r="K100" s="60" t="s">
        <v>154</v>
      </c>
      <c r="L100" s="65">
        <v>46041.500694444447</v>
      </c>
      <c r="M100" s="55" t="s">
        <v>162</v>
      </c>
      <c r="N100" s="55" t="s">
        <v>162</v>
      </c>
      <c r="O100" s="71">
        <v>46041.625</v>
      </c>
      <c r="P100" s="72">
        <v>46041.631944444445</v>
      </c>
      <c r="Q100" s="66">
        <v>46041.762499999997</v>
      </c>
      <c r="R100" s="60"/>
      <c r="S100" s="68" t="s">
        <v>576</v>
      </c>
      <c r="T100" s="67" t="s">
        <v>478</v>
      </c>
      <c r="U100" s="60"/>
      <c r="V100" s="68" t="s">
        <v>577</v>
      </c>
      <c r="W100" s="60"/>
      <c r="X100" s="60"/>
      <c r="Y100" s="60" t="s">
        <v>158</v>
      </c>
      <c r="Z100" s="60" t="s">
        <v>70</v>
      </c>
      <c r="AA100" s="60"/>
      <c r="AB100" s="60"/>
      <c r="AC100" s="60"/>
      <c r="AD100" s="60"/>
      <c r="AE100" s="69"/>
      <c r="AF100" s="17"/>
      <c r="AG100" s="17"/>
      <c r="AH100" s="17"/>
      <c r="AI100" s="17"/>
      <c r="AJ100" s="17"/>
      <c r="AK100" s="17"/>
      <c r="AL100" s="17"/>
      <c r="AM100" s="17"/>
      <c r="AN100" s="17"/>
      <c r="AO100" s="17"/>
      <c r="AP100" s="17"/>
      <c r="AQ100" s="17"/>
      <c r="AR100" s="17"/>
      <c r="AS100" s="17"/>
      <c r="AT100" s="17"/>
      <c r="AU100" s="17"/>
    </row>
    <row r="101" spans="1:47" ht="15" customHeight="1">
      <c r="A101" s="60">
        <f>ROW() - ROW(Table1[[#Headers],[s]])</f>
        <v>100</v>
      </c>
      <c r="B101" s="60" t="s">
        <v>578</v>
      </c>
      <c r="C101" s="61">
        <v>46023</v>
      </c>
      <c r="D101" s="63" t="s">
        <v>579</v>
      </c>
      <c r="E101" s="60" t="e" vm="80">
        <v>#VALUE!</v>
      </c>
      <c r="F101" s="60" t="e" vm="10">
        <v>#VALUE!</v>
      </c>
      <c r="G101" s="64" t="s">
        <v>83</v>
      </c>
      <c r="H101" s="60" t="s">
        <v>152</v>
      </c>
      <c r="I101" s="42" t="s">
        <v>43</v>
      </c>
      <c r="J101" s="67" t="s">
        <v>153</v>
      </c>
      <c r="K101" s="60" t="s">
        <v>154</v>
      </c>
      <c r="L101" s="65">
        <v>46041.543055555558</v>
      </c>
      <c r="M101" s="55" t="s">
        <v>78</v>
      </c>
      <c r="N101" s="55" t="s">
        <v>78</v>
      </c>
      <c r="O101" s="71">
        <v>46041.583333333336</v>
      </c>
      <c r="P101" s="72">
        <v>46041.590277777781</v>
      </c>
      <c r="Q101" s="66">
        <v>46041.712500000001</v>
      </c>
      <c r="R101" s="60"/>
      <c r="S101" s="68" t="s">
        <v>580</v>
      </c>
      <c r="T101" s="67" t="s">
        <v>478</v>
      </c>
      <c r="U101" s="60"/>
      <c r="V101" s="68" t="s">
        <v>581</v>
      </c>
      <c r="W101" s="60"/>
      <c r="X101" s="60"/>
      <c r="Y101" s="60" t="s">
        <v>158</v>
      </c>
      <c r="Z101" s="60" t="s">
        <v>70</v>
      </c>
      <c r="AA101" s="60"/>
      <c r="AB101" s="60"/>
      <c r="AC101" s="60"/>
      <c r="AD101" s="60"/>
      <c r="AE101" s="69"/>
      <c r="AF101" s="17"/>
      <c r="AG101" s="17"/>
      <c r="AH101" s="17"/>
      <c r="AI101" s="17"/>
      <c r="AJ101" s="17"/>
      <c r="AK101" s="17"/>
      <c r="AL101" s="17"/>
      <c r="AM101" s="17"/>
      <c r="AN101" s="17"/>
      <c r="AO101" s="17"/>
      <c r="AP101" s="17"/>
      <c r="AQ101" s="17"/>
      <c r="AR101" s="17"/>
      <c r="AS101" s="17"/>
      <c r="AT101" s="17"/>
      <c r="AU101" s="17"/>
    </row>
    <row r="102" spans="1:47" s="29" customFormat="1" ht="15" hidden="1" customHeight="1">
      <c r="A102" s="111">
        <f>ROW() - ROW(Table1[[#Headers],[s]])</f>
        <v>101</v>
      </c>
      <c r="B102" s="122" t="s">
        <v>582</v>
      </c>
      <c r="C102" s="112">
        <v>46023</v>
      </c>
      <c r="D102" s="122" t="s">
        <v>583</v>
      </c>
      <c r="E102" s="111" t="e" vm="79">
        <v>#VALUE!</v>
      </c>
      <c r="F102" s="111" t="e" vm="25">
        <v>#VALUE!</v>
      </c>
      <c r="G102" s="123" t="s">
        <v>584</v>
      </c>
      <c r="H102" s="111" t="s">
        <v>240</v>
      </c>
      <c r="I102" s="42" t="s">
        <v>175</v>
      </c>
      <c r="J102" s="116" t="s">
        <v>253</v>
      </c>
      <c r="K102" s="111" t="s">
        <v>154</v>
      </c>
      <c r="L102" s="115">
        <v>46041.576388888891</v>
      </c>
      <c r="M102" s="116" t="s">
        <v>585</v>
      </c>
      <c r="N102" s="116" t="s">
        <v>585</v>
      </c>
      <c r="O102" s="124">
        <v>46042.354166666664</v>
      </c>
      <c r="P102" s="124">
        <v>46042.354166666664</v>
      </c>
      <c r="Q102" s="124">
        <v>46042.747916666667</v>
      </c>
      <c r="R102" s="111"/>
      <c r="S102" s="117" t="s">
        <v>586</v>
      </c>
      <c r="T102" s="116" t="s">
        <v>478</v>
      </c>
      <c r="U102" s="111"/>
      <c r="V102" s="117" t="s">
        <v>587</v>
      </c>
      <c r="W102" s="111"/>
      <c r="X102" s="111"/>
      <c r="Y102" s="111" t="s">
        <v>70</v>
      </c>
      <c r="Z102" s="111" t="s">
        <v>70</v>
      </c>
      <c r="AA102" s="111" t="s">
        <v>588</v>
      </c>
      <c r="AB102" s="111"/>
      <c r="AC102" s="111"/>
      <c r="AD102" s="111"/>
      <c r="AE102" s="118"/>
      <c r="AF102" s="26"/>
      <c r="AG102" s="26"/>
      <c r="AH102" s="26"/>
      <c r="AI102" s="26"/>
      <c r="AJ102" s="26"/>
      <c r="AK102" s="26"/>
      <c r="AL102" s="26"/>
      <c r="AM102" s="26"/>
      <c r="AN102" s="26"/>
      <c r="AO102" s="26"/>
      <c r="AP102" s="26"/>
      <c r="AQ102" s="26"/>
      <c r="AR102" s="26"/>
      <c r="AS102" s="26"/>
      <c r="AT102" s="26"/>
      <c r="AU102" s="26"/>
    </row>
    <row r="103" spans="1:47" ht="15" hidden="1" customHeight="1">
      <c r="A103" s="60">
        <f>ROW() - ROW(Table1[[#Headers],[s]])</f>
        <v>102</v>
      </c>
      <c r="B103" s="60" t="s">
        <v>589</v>
      </c>
      <c r="C103" s="61">
        <v>46023</v>
      </c>
      <c r="D103" s="63" t="s">
        <v>590</v>
      </c>
      <c r="E103" s="60" t="e" vm="56">
        <v>#VALUE!</v>
      </c>
      <c r="F103" s="60" t="e" vm="35">
        <v>#VALUE!</v>
      </c>
      <c r="G103" s="64" t="s">
        <v>40</v>
      </c>
      <c r="H103" s="60" t="s">
        <v>240</v>
      </c>
      <c r="I103" s="42" t="s">
        <v>43</v>
      </c>
      <c r="J103" s="67" t="s">
        <v>253</v>
      </c>
      <c r="K103" s="60" t="s">
        <v>154</v>
      </c>
      <c r="L103" s="65">
        <v>46041.6875</v>
      </c>
      <c r="M103" s="67" t="s">
        <v>591</v>
      </c>
      <c r="N103" s="67" t="s">
        <v>591</v>
      </c>
      <c r="O103" s="64"/>
      <c r="P103" s="60"/>
      <c r="Q103" s="66">
        <v>46042.770833333336</v>
      </c>
      <c r="R103" s="60"/>
      <c r="S103" s="68" t="s">
        <v>592</v>
      </c>
      <c r="T103" s="67" t="s">
        <v>478</v>
      </c>
      <c r="U103" s="60"/>
      <c r="V103" s="68" t="s">
        <v>593</v>
      </c>
      <c r="W103" s="60"/>
      <c r="X103" s="60"/>
      <c r="Y103" s="60" t="s">
        <v>70</v>
      </c>
      <c r="Z103" s="60" t="s">
        <v>70</v>
      </c>
      <c r="AA103" s="60" t="s">
        <v>594</v>
      </c>
      <c r="AB103" s="60"/>
      <c r="AC103" s="60"/>
      <c r="AD103" s="60"/>
      <c r="AE103" s="69"/>
      <c r="AF103" s="17"/>
      <c r="AG103" s="17"/>
      <c r="AH103" s="17"/>
      <c r="AI103" s="17"/>
      <c r="AJ103" s="17"/>
      <c r="AK103" s="17"/>
      <c r="AL103" s="17"/>
      <c r="AM103" s="17"/>
      <c r="AN103" s="17"/>
      <c r="AO103" s="17"/>
      <c r="AP103" s="17"/>
      <c r="AQ103" s="17"/>
      <c r="AR103" s="17"/>
      <c r="AS103" s="17"/>
      <c r="AT103" s="17"/>
      <c r="AU103" s="17"/>
    </row>
    <row r="104" spans="1:47" ht="15.75" customHeight="1">
      <c r="A104" s="60">
        <f>ROW() - ROW(Table1[[#Headers],[s]])</f>
        <v>103</v>
      </c>
      <c r="B104" s="119" t="s">
        <v>595</v>
      </c>
      <c r="C104" s="61">
        <v>46023</v>
      </c>
      <c r="D104" s="63" t="s">
        <v>596</v>
      </c>
      <c r="E104" s="60" t="e" vm="81">
        <v>#VALUE!</v>
      </c>
      <c r="F104" s="60" t="e" vm="42">
        <v>#VALUE!</v>
      </c>
      <c r="G104" s="64" t="s">
        <v>83</v>
      </c>
      <c r="H104" s="60" t="s">
        <v>152</v>
      </c>
      <c r="I104" s="42" t="s">
        <v>43</v>
      </c>
      <c r="J104" s="67" t="s">
        <v>153</v>
      </c>
      <c r="K104" s="60" t="s">
        <v>154</v>
      </c>
      <c r="L104" s="65">
        <v>46041.583333333336</v>
      </c>
      <c r="M104" s="67" t="s">
        <v>597</v>
      </c>
      <c r="N104" s="67" t="s">
        <v>597</v>
      </c>
      <c r="O104" s="71">
        <v>46041.666666666664</v>
      </c>
      <c r="P104" s="72">
        <v>46041.673611111109</v>
      </c>
      <c r="Q104" s="66">
        <v>46041.75</v>
      </c>
      <c r="R104" s="60"/>
      <c r="S104" s="68" t="s">
        <v>598</v>
      </c>
      <c r="T104" s="67" t="s">
        <v>478</v>
      </c>
      <c r="U104" s="60"/>
      <c r="V104" s="68" t="s">
        <v>599</v>
      </c>
      <c r="W104" s="60"/>
      <c r="X104" s="60"/>
      <c r="Y104" s="60" t="s">
        <v>158</v>
      </c>
      <c r="Z104" s="60" t="s">
        <v>67</v>
      </c>
      <c r="AA104" s="60"/>
      <c r="AB104" s="60"/>
      <c r="AC104" s="60"/>
      <c r="AD104" s="60"/>
      <c r="AE104" s="69"/>
      <c r="AF104" s="17"/>
      <c r="AG104" s="17"/>
      <c r="AH104" s="17"/>
      <c r="AI104" s="17"/>
      <c r="AJ104" s="17"/>
      <c r="AK104" s="17"/>
      <c r="AL104" s="17"/>
      <c r="AM104" s="17"/>
      <c r="AN104" s="17"/>
      <c r="AO104" s="17"/>
      <c r="AP104" s="17"/>
      <c r="AQ104" s="17"/>
      <c r="AR104" s="17"/>
      <c r="AS104" s="17"/>
      <c r="AT104" s="17"/>
      <c r="AU104" s="17"/>
    </row>
    <row r="105" spans="1:47" ht="15" hidden="1" customHeight="1">
      <c r="A105" s="60">
        <f>ROW() - ROW(Table1[[#Headers],[s]])</f>
        <v>104</v>
      </c>
      <c r="B105" s="60" t="s">
        <v>600</v>
      </c>
      <c r="C105" s="61">
        <v>46023</v>
      </c>
      <c r="D105" s="63" t="s">
        <v>601</v>
      </c>
      <c r="E105" s="60" t="e" vm="82">
        <v>#VALUE!</v>
      </c>
      <c r="F105" s="60" t="e" vm="5">
        <v>#VALUE!</v>
      </c>
      <c r="G105" s="64" t="s">
        <v>584</v>
      </c>
      <c r="H105" s="60" t="s">
        <v>152</v>
      </c>
      <c r="I105" s="42" t="s">
        <v>175</v>
      </c>
      <c r="J105" s="67" t="s">
        <v>153</v>
      </c>
      <c r="K105" s="60" t="s">
        <v>154</v>
      </c>
      <c r="L105" s="65">
        <v>46042.317361111112</v>
      </c>
      <c r="M105" s="67" t="s">
        <v>602</v>
      </c>
      <c r="N105" s="67" t="s">
        <v>602</v>
      </c>
      <c r="O105" s="65">
        <v>46042.416666666664</v>
      </c>
      <c r="P105" s="65">
        <v>46042.4375</v>
      </c>
      <c r="Q105" s="65">
        <v>46042.5</v>
      </c>
      <c r="R105" s="60"/>
      <c r="S105" s="68" t="s">
        <v>603</v>
      </c>
      <c r="T105" s="67" t="s">
        <v>604</v>
      </c>
      <c r="U105" s="60"/>
      <c r="V105" s="68" t="s">
        <v>605</v>
      </c>
      <c r="W105" s="60"/>
      <c r="X105" s="60"/>
      <c r="Y105" s="60" t="s">
        <v>158</v>
      </c>
      <c r="Z105" s="60" t="s">
        <v>70</v>
      </c>
      <c r="AA105" s="60"/>
      <c r="AB105" s="60"/>
      <c r="AC105" s="60"/>
      <c r="AD105" s="60"/>
      <c r="AE105" s="69"/>
      <c r="AF105" s="17"/>
      <c r="AG105" s="17"/>
      <c r="AH105" s="17"/>
      <c r="AI105" s="17"/>
      <c r="AJ105" s="17"/>
      <c r="AK105" s="17"/>
      <c r="AL105" s="17"/>
      <c r="AM105" s="17"/>
      <c r="AN105" s="17"/>
      <c r="AO105" s="17"/>
      <c r="AP105" s="17"/>
      <c r="AQ105" s="17"/>
      <c r="AR105" s="17"/>
      <c r="AS105" s="17"/>
      <c r="AT105" s="17"/>
      <c r="AU105" s="17"/>
    </row>
    <row r="106" spans="1:47" ht="15.75" hidden="1" customHeight="1">
      <c r="A106" s="60">
        <f>ROW() - ROW(Table1[[#Headers],[s]])</f>
        <v>105</v>
      </c>
      <c r="B106" s="74" t="s">
        <v>606</v>
      </c>
      <c r="C106" s="61">
        <v>46023</v>
      </c>
      <c r="D106" s="63" t="s">
        <v>607</v>
      </c>
      <c r="E106" s="60" t="e" vm="58">
        <v>#VALUE!</v>
      </c>
      <c r="F106" s="60" t="e" vm="25">
        <v>#VALUE!</v>
      </c>
      <c r="G106" s="64" t="s">
        <v>584</v>
      </c>
      <c r="H106" s="60" t="s">
        <v>152</v>
      </c>
      <c r="I106" s="42" t="s">
        <v>175</v>
      </c>
      <c r="J106" s="67" t="s">
        <v>153</v>
      </c>
      <c r="K106" s="60" t="s">
        <v>154</v>
      </c>
      <c r="L106" s="65">
        <v>46042.425694444442</v>
      </c>
      <c r="M106" s="67" t="s">
        <v>585</v>
      </c>
      <c r="N106" s="67" t="s">
        <v>585</v>
      </c>
      <c r="O106" s="65">
        <v>46042.489583333336</v>
      </c>
      <c r="P106" s="65">
        <v>46042.520833333336</v>
      </c>
      <c r="Q106" s="65">
        <v>46042.5625</v>
      </c>
      <c r="R106" s="60"/>
      <c r="S106" s="68" t="s">
        <v>608</v>
      </c>
      <c r="T106" s="67" t="s">
        <v>478</v>
      </c>
      <c r="U106" s="60"/>
      <c r="V106" s="68" t="s">
        <v>609</v>
      </c>
      <c r="W106" s="60"/>
      <c r="X106" s="60"/>
      <c r="Y106" s="60" t="s">
        <v>158</v>
      </c>
      <c r="Z106" s="60" t="s">
        <v>70</v>
      </c>
      <c r="AA106" s="60"/>
      <c r="AB106" s="60"/>
      <c r="AC106" s="60"/>
      <c r="AD106" s="60"/>
      <c r="AE106" s="69"/>
      <c r="AF106" s="17"/>
      <c r="AG106" s="17"/>
      <c r="AH106" s="17"/>
      <c r="AI106" s="17"/>
      <c r="AJ106" s="17"/>
      <c r="AK106" s="17"/>
      <c r="AL106" s="17"/>
      <c r="AM106" s="17"/>
      <c r="AN106" s="17"/>
      <c r="AO106" s="17"/>
      <c r="AP106" s="17"/>
      <c r="AQ106" s="17"/>
      <c r="AR106" s="17"/>
      <c r="AS106" s="17"/>
      <c r="AT106" s="17"/>
      <c r="AU106" s="17"/>
    </row>
    <row r="107" spans="1:47" ht="15.75" hidden="1" customHeight="1">
      <c r="A107" s="60">
        <f>ROW() - ROW(Table1[[#Headers],[s]])</f>
        <v>106</v>
      </c>
      <c r="B107" s="74" t="s">
        <v>610</v>
      </c>
      <c r="C107" s="61">
        <v>46023</v>
      </c>
      <c r="D107" s="63" t="s">
        <v>611</v>
      </c>
      <c r="E107" s="60" t="e" vm="83">
        <v>#VALUE!</v>
      </c>
      <c r="F107" s="60" t="e" vm="37">
        <v>#VALUE!</v>
      </c>
      <c r="G107" s="64" t="s">
        <v>200</v>
      </c>
      <c r="H107" s="60" t="s">
        <v>152</v>
      </c>
      <c r="I107" s="60" t="s">
        <v>43</v>
      </c>
      <c r="J107" s="67" t="s">
        <v>153</v>
      </c>
      <c r="K107" s="60" t="s">
        <v>332</v>
      </c>
      <c r="L107" s="65">
        <v>46042.592361111114</v>
      </c>
      <c r="M107" s="67" t="s">
        <v>81</v>
      </c>
      <c r="N107" s="67" t="s">
        <v>612</v>
      </c>
      <c r="O107" s="71">
        <v>46043.416666666664</v>
      </c>
      <c r="P107" s="72">
        <v>46043.458333333336</v>
      </c>
      <c r="Q107" s="66">
        <v>46043.5</v>
      </c>
      <c r="R107" s="60"/>
      <c r="S107" s="68" t="s">
        <v>613</v>
      </c>
      <c r="T107" s="67" t="s">
        <v>179</v>
      </c>
      <c r="U107" s="60"/>
      <c r="V107" s="68" t="s">
        <v>374</v>
      </c>
      <c r="W107" s="60"/>
      <c r="X107" s="60"/>
      <c r="Y107" s="60" t="s">
        <v>203</v>
      </c>
      <c r="Z107" s="60" t="s">
        <v>70</v>
      </c>
      <c r="AA107" s="60"/>
      <c r="AB107" s="60"/>
      <c r="AC107" s="60"/>
      <c r="AD107" s="60"/>
      <c r="AE107" s="69"/>
      <c r="AF107" s="17"/>
      <c r="AG107" s="17"/>
      <c r="AH107" s="17"/>
      <c r="AI107" s="17"/>
      <c r="AJ107" s="17"/>
      <c r="AK107" s="17"/>
      <c r="AL107" s="17"/>
      <c r="AM107" s="17"/>
      <c r="AN107" s="17"/>
      <c r="AO107" s="17"/>
      <c r="AP107" s="17"/>
      <c r="AQ107" s="17"/>
      <c r="AR107" s="17"/>
      <c r="AS107" s="17"/>
      <c r="AT107" s="17"/>
      <c r="AU107" s="17"/>
    </row>
    <row r="108" spans="1:47" ht="15.75" hidden="1" customHeight="1">
      <c r="A108" s="60">
        <f>ROW() - ROW(Table1[[#Headers],[s]])</f>
        <v>107</v>
      </c>
      <c r="B108" s="74" t="s">
        <v>614</v>
      </c>
      <c r="C108" s="61">
        <v>46023</v>
      </c>
      <c r="D108" s="63" t="s">
        <v>615</v>
      </c>
      <c r="E108" s="60" t="e" vm="74">
        <v>#VALUE!</v>
      </c>
      <c r="F108" s="60" t="e" vm="17">
        <v>#VALUE!</v>
      </c>
      <c r="G108" s="64" t="s">
        <v>584</v>
      </c>
      <c r="H108" s="60" t="s">
        <v>152</v>
      </c>
      <c r="I108" s="42" t="s">
        <v>175</v>
      </c>
      <c r="J108" s="67" t="s">
        <v>153</v>
      </c>
      <c r="K108" s="60" t="s">
        <v>154</v>
      </c>
      <c r="L108" s="65">
        <v>46042.595138888886</v>
      </c>
      <c r="M108" s="67" t="s">
        <v>227</v>
      </c>
      <c r="N108" s="67" t="s">
        <v>227</v>
      </c>
      <c r="O108" s="65">
        <v>46042.6875</v>
      </c>
      <c r="P108" s="65">
        <v>46042.715277777781</v>
      </c>
      <c r="Q108" s="65">
        <v>46042.729166666664</v>
      </c>
      <c r="R108" s="60"/>
      <c r="S108" s="68" t="s">
        <v>616</v>
      </c>
      <c r="T108" s="67" t="s">
        <v>478</v>
      </c>
      <c r="U108" s="60"/>
      <c r="V108" s="68" t="s">
        <v>617</v>
      </c>
      <c r="W108" s="60"/>
      <c r="X108" s="60"/>
      <c r="Y108" s="60" t="s">
        <v>158</v>
      </c>
      <c r="Z108" s="60" t="s">
        <v>70</v>
      </c>
      <c r="AA108" s="60"/>
      <c r="AB108" s="60"/>
      <c r="AC108" s="60"/>
      <c r="AD108" s="60"/>
      <c r="AE108" s="69"/>
      <c r="AF108" s="17"/>
      <c r="AG108" s="17"/>
      <c r="AH108" s="17"/>
      <c r="AI108" s="17"/>
      <c r="AJ108" s="17"/>
      <c r="AK108" s="17"/>
      <c r="AL108" s="17"/>
      <c r="AM108" s="17"/>
      <c r="AN108" s="17"/>
      <c r="AO108" s="17"/>
      <c r="AP108" s="17"/>
      <c r="AQ108" s="17"/>
      <c r="AR108" s="17"/>
      <c r="AS108" s="17"/>
      <c r="AT108" s="17"/>
      <c r="AU108" s="17"/>
    </row>
    <row r="109" spans="1:47" ht="15.75" hidden="1" customHeight="1">
      <c r="A109" s="60">
        <f>ROW() - ROW(Table1[[#Headers],[s]])</f>
        <v>108</v>
      </c>
      <c r="B109" s="74" t="s">
        <v>618</v>
      </c>
      <c r="C109" s="61">
        <v>46023</v>
      </c>
      <c r="D109" s="63" t="s">
        <v>619</v>
      </c>
      <c r="E109" s="60" t="e" vm="84">
        <v>#VALUE!</v>
      </c>
      <c r="F109" s="60" t="e" vm="17">
        <v>#VALUE!</v>
      </c>
      <c r="G109" s="64" t="s">
        <v>584</v>
      </c>
      <c r="H109" s="60" t="s">
        <v>152</v>
      </c>
      <c r="I109" s="42" t="s">
        <v>175</v>
      </c>
      <c r="J109" s="67" t="s">
        <v>153</v>
      </c>
      <c r="K109" s="60" t="s">
        <v>154</v>
      </c>
      <c r="L109" s="65">
        <v>46042.630555555559</v>
      </c>
      <c r="M109" s="67" t="s">
        <v>227</v>
      </c>
      <c r="N109" s="67" t="s">
        <v>227</v>
      </c>
      <c r="O109" s="65">
        <v>46042.729166666664</v>
      </c>
      <c r="P109" s="65">
        <v>46042.756944444445</v>
      </c>
      <c r="Q109" s="65">
        <v>46042.833333333336</v>
      </c>
      <c r="R109" s="60"/>
      <c r="S109" s="68" t="s">
        <v>620</v>
      </c>
      <c r="T109" s="67" t="s">
        <v>478</v>
      </c>
      <c r="U109" s="60"/>
      <c r="V109" s="68" t="s">
        <v>183</v>
      </c>
      <c r="W109" s="60"/>
      <c r="X109" s="60"/>
      <c r="Y109" s="60" t="s">
        <v>158</v>
      </c>
      <c r="Z109" s="60" t="s">
        <v>70</v>
      </c>
      <c r="AA109" s="60"/>
      <c r="AB109" s="60"/>
      <c r="AC109" s="60"/>
      <c r="AD109" s="60"/>
      <c r="AE109" s="69"/>
      <c r="AF109" s="17"/>
      <c r="AG109" s="17"/>
      <c r="AH109" s="17"/>
      <c r="AI109" s="17"/>
      <c r="AJ109" s="17"/>
      <c r="AK109" s="17"/>
      <c r="AL109" s="17"/>
      <c r="AM109" s="17"/>
      <c r="AN109" s="17"/>
      <c r="AO109" s="17"/>
      <c r="AP109" s="17"/>
      <c r="AQ109" s="17"/>
      <c r="AR109" s="17"/>
      <c r="AS109" s="17"/>
      <c r="AT109" s="17"/>
      <c r="AU109" s="17"/>
    </row>
    <row r="110" spans="1:47" ht="15.75" hidden="1" customHeight="1">
      <c r="A110" s="60">
        <f>ROW() - ROW(Table1[[#Headers],[s]])</f>
        <v>109</v>
      </c>
      <c r="B110" s="74" t="s">
        <v>621</v>
      </c>
      <c r="C110" s="75">
        <v>46023</v>
      </c>
      <c r="D110" s="63" t="s">
        <v>622</v>
      </c>
      <c r="E110" s="60" t="s">
        <v>226</v>
      </c>
      <c r="F110" s="60" t="e" vm="17">
        <v>#VALUE!</v>
      </c>
      <c r="G110" s="64" t="s">
        <v>584</v>
      </c>
      <c r="H110" s="60" t="s">
        <v>152</v>
      </c>
      <c r="I110" s="42" t="s">
        <v>175</v>
      </c>
      <c r="J110" s="67" t="s">
        <v>153</v>
      </c>
      <c r="K110" s="60" t="s">
        <v>154</v>
      </c>
      <c r="L110" s="65">
        <v>46042.646527777775</v>
      </c>
      <c r="M110" s="67" t="s">
        <v>227</v>
      </c>
      <c r="N110" s="67" t="s">
        <v>227</v>
      </c>
      <c r="O110" s="65">
        <v>46042.701388888891</v>
      </c>
      <c r="P110" s="65">
        <v>46042.71875</v>
      </c>
      <c r="Q110" s="65">
        <v>46042.798611111109</v>
      </c>
      <c r="R110" s="60"/>
      <c r="S110" s="68" t="s">
        <v>623</v>
      </c>
      <c r="T110" s="67" t="s">
        <v>478</v>
      </c>
      <c r="U110" s="60"/>
      <c r="V110" s="68" t="s">
        <v>624</v>
      </c>
      <c r="W110" s="60"/>
      <c r="X110" s="60"/>
      <c r="Y110" s="60" t="s">
        <v>158</v>
      </c>
      <c r="Z110" s="60" t="s">
        <v>70</v>
      </c>
      <c r="AA110" s="60"/>
      <c r="AB110" s="60"/>
      <c r="AC110" s="60"/>
      <c r="AD110" s="60"/>
      <c r="AE110" s="69"/>
      <c r="AF110" s="17"/>
      <c r="AG110" s="17"/>
      <c r="AH110" s="17"/>
      <c r="AI110" s="17"/>
      <c r="AJ110" s="17"/>
      <c r="AK110" s="17"/>
      <c r="AL110" s="17"/>
      <c r="AM110" s="17"/>
      <c r="AN110" s="17"/>
      <c r="AO110" s="17"/>
      <c r="AP110" s="17"/>
      <c r="AQ110" s="17"/>
      <c r="AR110" s="17"/>
      <c r="AS110" s="17"/>
      <c r="AT110" s="17"/>
      <c r="AU110" s="17"/>
    </row>
    <row r="111" spans="1:47" ht="15.75" hidden="1" customHeight="1">
      <c r="A111" s="60">
        <f>ROW() - ROW(Table1[[#Headers],[s]])</f>
        <v>110</v>
      </c>
      <c r="B111" s="74" t="s">
        <v>625</v>
      </c>
      <c r="C111" s="61">
        <v>46023</v>
      </c>
      <c r="D111" s="63" t="s">
        <v>626</v>
      </c>
      <c r="E111" s="60" t="e" vm="85">
        <v>#VALUE!</v>
      </c>
      <c r="F111" s="60" t="e" vm="5">
        <v>#VALUE!</v>
      </c>
      <c r="G111" s="64" t="s">
        <v>584</v>
      </c>
      <c r="H111" s="60" t="s">
        <v>240</v>
      </c>
      <c r="I111" s="42" t="s">
        <v>175</v>
      </c>
      <c r="J111" s="67" t="s">
        <v>253</v>
      </c>
      <c r="K111" s="60" t="s">
        <v>154</v>
      </c>
      <c r="L111" s="65">
        <v>46042.675000000003</v>
      </c>
      <c r="M111" s="67" t="s">
        <v>602</v>
      </c>
      <c r="N111" s="67" t="s">
        <v>602</v>
      </c>
      <c r="O111" s="71">
        <v>46044.333333333336</v>
      </c>
      <c r="P111" s="71">
        <v>46044.354166666664</v>
      </c>
      <c r="Q111" s="71">
        <v>46044.416666666664</v>
      </c>
      <c r="R111" s="60"/>
      <c r="S111" s="68" t="s">
        <v>627</v>
      </c>
      <c r="T111" s="67" t="s">
        <v>604</v>
      </c>
      <c r="U111" s="60"/>
      <c r="V111" s="68" t="s">
        <v>628</v>
      </c>
      <c r="W111" s="60"/>
      <c r="X111" s="60"/>
      <c r="Y111" s="60" t="s">
        <v>70</v>
      </c>
      <c r="Z111" s="60" t="s">
        <v>70</v>
      </c>
      <c r="AA111" s="60"/>
      <c r="AB111" s="60"/>
      <c r="AC111" s="60"/>
      <c r="AD111" s="60"/>
      <c r="AE111" s="69"/>
      <c r="AF111" s="17"/>
      <c r="AG111" s="17"/>
      <c r="AH111" s="17"/>
      <c r="AI111" s="17"/>
      <c r="AJ111" s="17"/>
      <c r="AK111" s="17"/>
      <c r="AL111" s="17"/>
      <c r="AM111" s="17"/>
      <c r="AN111" s="17"/>
      <c r="AO111" s="17"/>
      <c r="AP111" s="17"/>
      <c r="AQ111" s="17"/>
      <c r="AR111" s="17"/>
      <c r="AS111" s="17"/>
      <c r="AT111" s="17"/>
      <c r="AU111" s="17"/>
    </row>
    <row r="112" spans="1:47" ht="15" hidden="1" customHeight="1">
      <c r="A112" s="60">
        <f>ROW() - ROW(Table1[[#Headers],[s]])</f>
        <v>111</v>
      </c>
      <c r="B112" s="60" t="s">
        <v>629</v>
      </c>
      <c r="C112" s="75">
        <v>46023</v>
      </c>
      <c r="D112" s="63" t="s">
        <v>630</v>
      </c>
      <c r="E112" s="60" t="e" vm="53">
        <v>#VALUE!</v>
      </c>
      <c r="F112" s="60" t="e" vm="12">
        <v>#VALUE!</v>
      </c>
      <c r="G112" s="64" t="s">
        <v>200</v>
      </c>
      <c r="H112" s="60" t="s">
        <v>240</v>
      </c>
      <c r="I112" s="60" t="s">
        <v>43</v>
      </c>
      <c r="J112" s="67" t="s">
        <v>253</v>
      </c>
      <c r="K112" s="60" t="s">
        <v>154</v>
      </c>
      <c r="L112" s="65">
        <v>46042.844444444447</v>
      </c>
      <c r="M112" s="67" t="s">
        <v>53</v>
      </c>
      <c r="N112" s="67" t="s">
        <v>53</v>
      </c>
      <c r="O112" s="71">
        <v>46043.416666666664</v>
      </c>
      <c r="P112" s="72">
        <v>46043.458333333336</v>
      </c>
      <c r="Q112" s="66">
        <v>46043.458333333336</v>
      </c>
      <c r="R112" s="60"/>
      <c r="S112" s="68" t="s">
        <v>631</v>
      </c>
      <c r="T112" s="67" t="s">
        <v>179</v>
      </c>
      <c r="U112" s="60"/>
      <c r="V112" s="68" t="s">
        <v>632</v>
      </c>
      <c r="W112" s="60"/>
      <c r="X112" s="60"/>
      <c r="Y112" s="60" t="s">
        <v>179</v>
      </c>
      <c r="Z112" s="60" t="s">
        <v>70</v>
      </c>
      <c r="AA112" s="42"/>
      <c r="AB112" s="60"/>
      <c r="AC112" s="60"/>
      <c r="AD112" s="60"/>
      <c r="AE112" s="69"/>
      <c r="AF112" s="17"/>
      <c r="AG112" s="17"/>
      <c r="AH112" s="17"/>
      <c r="AI112" s="17"/>
      <c r="AJ112" s="17"/>
      <c r="AK112" s="17"/>
      <c r="AL112" s="17"/>
      <c r="AM112" s="17"/>
      <c r="AN112" s="17"/>
      <c r="AO112" s="17"/>
      <c r="AP112" s="17"/>
      <c r="AQ112" s="17"/>
      <c r="AR112" s="17"/>
      <c r="AS112" s="17"/>
      <c r="AT112" s="17"/>
      <c r="AU112" s="17"/>
    </row>
    <row r="113" spans="1:47" ht="15.75" hidden="1" customHeight="1">
      <c r="A113" s="60">
        <f>ROW() - ROW(Table1[[#Headers],[s]])</f>
        <v>112</v>
      </c>
      <c r="B113" s="74" t="s">
        <v>633</v>
      </c>
      <c r="C113" s="75">
        <v>46023</v>
      </c>
      <c r="D113" s="63" t="s">
        <v>634</v>
      </c>
      <c r="E113" s="60" t="e" vm="80">
        <v>#VALUE!</v>
      </c>
      <c r="F113" s="60" t="e" vm="10">
        <v>#VALUE!</v>
      </c>
      <c r="G113" s="64" t="s">
        <v>200</v>
      </c>
      <c r="H113" s="60" t="s">
        <v>152</v>
      </c>
      <c r="I113" s="60" t="s">
        <v>43</v>
      </c>
      <c r="J113" s="67" t="s">
        <v>153</v>
      </c>
      <c r="K113" s="60" t="s">
        <v>332</v>
      </c>
      <c r="L113" s="65">
        <v>46042.820833333331</v>
      </c>
      <c r="M113" s="55" t="s">
        <v>78</v>
      </c>
      <c r="N113" s="55" t="s">
        <v>78</v>
      </c>
      <c r="O113" s="71">
        <v>46043.666666666664</v>
      </c>
      <c r="P113" s="72">
        <v>46043.708333333336</v>
      </c>
      <c r="Q113" s="66">
        <v>46043.729166666664</v>
      </c>
      <c r="R113" s="60"/>
      <c r="S113" s="68" t="s">
        <v>635</v>
      </c>
      <c r="T113" s="67" t="s">
        <v>179</v>
      </c>
      <c r="U113" s="60"/>
      <c r="V113" s="68" t="s">
        <v>327</v>
      </c>
      <c r="W113" s="60"/>
      <c r="X113" s="60"/>
      <c r="Y113" s="60" t="s">
        <v>70</v>
      </c>
      <c r="Z113" s="60" t="s">
        <v>70</v>
      </c>
      <c r="AA113" s="60"/>
      <c r="AB113" s="60"/>
      <c r="AC113" s="60"/>
      <c r="AD113" s="60"/>
      <c r="AE113" s="69"/>
      <c r="AF113" s="17"/>
      <c r="AG113" s="17"/>
      <c r="AH113" s="17"/>
      <c r="AI113" s="17"/>
      <c r="AJ113" s="17"/>
      <c r="AK113" s="17"/>
      <c r="AL113" s="17"/>
      <c r="AM113" s="17"/>
      <c r="AN113" s="17"/>
      <c r="AO113" s="17"/>
      <c r="AP113" s="17"/>
      <c r="AQ113" s="17"/>
      <c r="AR113" s="17"/>
      <c r="AS113" s="17"/>
      <c r="AT113" s="17"/>
      <c r="AU113" s="17"/>
    </row>
    <row r="114" spans="1:47" ht="15" hidden="1" customHeight="1">
      <c r="A114" s="60">
        <f>ROW() - ROW(Table1[[#Headers],[s]])</f>
        <v>113</v>
      </c>
      <c r="B114" s="60" t="s">
        <v>636</v>
      </c>
      <c r="C114" s="75">
        <v>46023</v>
      </c>
      <c r="D114" s="63" t="s">
        <v>637</v>
      </c>
      <c r="E114" s="60" t="e" vm="86">
        <v>#VALUE!</v>
      </c>
      <c r="F114" s="60" t="e" vm="35">
        <v>#VALUE!</v>
      </c>
      <c r="G114" s="64" t="s">
        <v>174</v>
      </c>
      <c r="H114" s="60" t="s">
        <v>240</v>
      </c>
      <c r="I114" s="42" t="s">
        <v>175</v>
      </c>
      <c r="J114" s="67" t="s">
        <v>253</v>
      </c>
      <c r="K114" s="60" t="s">
        <v>154</v>
      </c>
      <c r="L114" s="65">
        <v>46042.456250000003</v>
      </c>
      <c r="M114" s="67" t="s">
        <v>44</v>
      </c>
      <c r="N114" s="67" t="s">
        <v>44</v>
      </c>
      <c r="O114" s="65">
        <v>46042.493055555555</v>
      </c>
      <c r="P114" s="65">
        <v>46042.510416666664</v>
      </c>
      <c r="Q114" s="65">
        <v>46042.567361111112</v>
      </c>
      <c r="R114" s="60"/>
      <c r="S114" s="68" t="s">
        <v>638</v>
      </c>
      <c r="T114" s="67" t="s">
        <v>639</v>
      </c>
      <c r="U114" s="60"/>
      <c r="V114" s="68" t="s">
        <v>640</v>
      </c>
      <c r="W114" s="60"/>
      <c r="X114" s="60"/>
      <c r="Y114" s="60" t="s">
        <v>158</v>
      </c>
      <c r="Z114" s="60" t="s">
        <v>70</v>
      </c>
      <c r="AA114" s="60"/>
      <c r="AB114" s="60"/>
      <c r="AC114" s="60"/>
      <c r="AD114" s="60"/>
      <c r="AE114" s="69"/>
      <c r="AF114" s="17"/>
      <c r="AG114" s="17"/>
      <c r="AH114" s="17"/>
      <c r="AI114" s="17"/>
      <c r="AJ114" s="17"/>
      <c r="AK114" s="17"/>
      <c r="AL114" s="17"/>
      <c r="AM114" s="17"/>
      <c r="AN114" s="17"/>
      <c r="AO114" s="17"/>
      <c r="AP114" s="17"/>
      <c r="AQ114" s="17"/>
      <c r="AR114" s="17"/>
      <c r="AS114" s="17"/>
      <c r="AT114" s="17"/>
      <c r="AU114" s="17"/>
    </row>
    <row r="115" spans="1:47" ht="15" hidden="1" customHeight="1">
      <c r="A115" s="60">
        <f>ROW() - ROW(Table1[[#Headers],[s]])</f>
        <v>114</v>
      </c>
      <c r="B115" s="60" t="s">
        <v>641</v>
      </c>
      <c r="C115" s="75">
        <v>46023</v>
      </c>
      <c r="D115" s="63" t="s">
        <v>642</v>
      </c>
      <c r="E115" s="60" t="e" vm="87">
        <v>#VALUE!</v>
      </c>
      <c r="F115" s="60" t="e" vm="49">
        <v>#VALUE!</v>
      </c>
      <c r="G115" s="64" t="s">
        <v>200</v>
      </c>
      <c r="H115" s="60" t="s">
        <v>240</v>
      </c>
      <c r="I115" s="60" t="s">
        <v>43</v>
      </c>
      <c r="J115" s="67" t="s">
        <v>253</v>
      </c>
      <c r="K115" s="60" t="s">
        <v>154</v>
      </c>
      <c r="L115" s="65">
        <v>46042.524305555555</v>
      </c>
      <c r="M115" s="67" t="s">
        <v>431</v>
      </c>
      <c r="N115" s="67" t="s">
        <v>44</v>
      </c>
      <c r="O115" s="64"/>
      <c r="P115" s="60"/>
      <c r="Q115" s="66">
        <v>46043.416666666664</v>
      </c>
      <c r="R115" s="60"/>
      <c r="S115" s="68" t="s">
        <v>643</v>
      </c>
      <c r="T115" s="67" t="s">
        <v>179</v>
      </c>
      <c r="U115" s="60"/>
      <c r="V115" s="68" t="s">
        <v>643</v>
      </c>
      <c r="W115" s="60"/>
      <c r="X115" s="60"/>
      <c r="Y115" s="60" t="s">
        <v>179</v>
      </c>
      <c r="Z115" s="60" t="s">
        <v>70</v>
      </c>
      <c r="AA115" s="60"/>
      <c r="AB115" s="60"/>
      <c r="AC115" s="60"/>
      <c r="AD115" s="60"/>
      <c r="AE115" s="69"/>
      <c r="AF115" s="17"/>
      <c r="AG115" s="17"/>
      <c r="AH115" s="17"/>
      <c r="AI115" s="17"/>
      <c r="AJ115" s="17"/>
      <c r="AK115" s="17"/>
      <c r="AL115" s="17"/>
      <c r="AM115" s="17"/>
      <c r="AN115" s="17"/>
      <c r="AO115" s="17"/>
      <c r="AP115" s="17"/>
      <c r="AQ115" s="17"/>
      <c r="AR115" s="17"/>
      <c r="AS115" s="17"/>
      <c r="AT115" s="17"/>
      <c r="AU115" s="17"/>
    </row>
    <row r="116" spans="1:47" ht="15" hidden="1" customHeight="1">
      <c r="A116" s="60">
        <f>ROW() - ROW(Table1[[#Headers],[s]])</f>
        <v>115</v>
      </c>
      <c r="B116" s="60" t="s">
        <v>644</v>
      </c>
      <c r="C116" s="61">
        <v>46023</v>
      </c>
      <c r="D116" s="63" t="s">
        <v>645</v>
      </c>
      <c r="E116" s="60" t="e" vm="9">
        <v>#VALUE!</v>
      </c>
      <c r="F116" s="60" t="e" vm="10">
        <v>#VALUE!</v>
      </c>
      <c r="G116" s="64" t="s">
        <v>200</v>
      </c>
      <c r="H116" s="60" t="s">
        <v>152</v>
      </c>
      <c r="I116" s="60" t="s">
        <v>43</v>
      </c>
      <c r="J116" s="67" t="s">
        <v>153</v>
      </c>
      <c r="K116" s="60" t="s">
        <v>154</v>
      </c>
      <c r="L116" s="65">
        <v>46043.589583333334</v>
      </c>
      <c r="M116" s="55" t="s">
        <v>78</v>
      </c>
      <c r="N116" s="55" t="s">
        <v>78</v>
      </c>
      <c r="O116" s="71">
        <v>46043.75</v>
      </c>
      <c r="P116" s="72">
        <v>46043.75</v>
      </c>
      <c r="Q116" s="66">
        <v>46043.770833333336</v>
      </c>
      <c r="R116" s="60"/>
      <c r="S116" s="68" t="s">
        <v>646</v>
      </c>
      <c r="T116" s="67" t="s">
        <v>478</v>
      </c>
      <c r="U116" s="60"/>
      <c r="V116" s="68" t="s">
        <v>647</v>
      </c>
      <c r="W116" s="60"/>
      <c r="X116" s="60"/>
      <c r="Y116" s="60" t="s">
        <v>158</v>
      </c>
      <c r="Z116" s="60" t="s">
        <v>70</v>
      </c>
      <c r="AA116" s="60"/>
      <c r="AB116" s="60"/>
      <c r="AC116" s="60"/>
      <c r="AD116" s="60"/>
      <c r="AE116" s="69"/>
      <c r="AF116" s="17"/>
      <c r="AG116" s="17"/>
      <c r="AH116" s="17"/>
      <c r="AI116" s="17"/>
      <c r="AJ116" s="17"/>
      <c r="AK116" s="17"/>
      <c r="AL116" s="17"/>
      <c r="AM116" s="17"/>
      <c r="AN116" s="17"/>
      <c r="AO116" s="17"/>
      <c r="AP116" s="17"/>
      <c r="AQ116" s="17"/>
      <c r="AR116" s="17"/>
      <c r="AS116" s="17"/>
      <c r="AT116" s="17"/>
      <c r="AU116" s="17"/>
    </row>
    <row r="117" spans="1:47" ht="15" hidden="1" customHeight="1">
      <c r="A117" s="60">
        <f>ROW() - ROW(Table1[[#Headers],[s]])</f>
        <v>116</v>
      </c>
      <c r="B117" s="60" t="s">
        <v>648</v>
      </c>
      <c r="C117" s="61">
        <v>46023</v>
      </c>
      <c r="D117" s="63" t="s">
        <v>649</v>
      </c>
      <c r="E117" s="60" t="e" vm="83">
        <v>#VALUE!</v>
      </c>
      <c r="F117" s="60" t="e" vm="37">
        <v>#VALUE!</v>
      </c>
      <c r="G117" s="64" t="s">
        <v>200</v>
      </c>
      <c r="H117" s="60" t="s">
        <v>152</v>
      </c>
      <c r="I117" s="60" t="s">
        <v>43</v>
      </c>
      <c r="J117" s="67" t="s">
        <v>153</v>
      </c>
      <c r="K117" s="60" t="s">
        <v>154</v>
      </c>
      <c r="L117" s="65">
        <v>46043.590277777781</v>
      </c>
      <c r="M117" s="67" t="s">
        <v>612</v>
      </c>
      <c r="N117" s="67" t="s">
        <v>612</v>
      </c>
      <c r="O117" s="71">
        <v>46043.604166666664</v>
      </c>
      <c r="P117" s="72">
        <v>46043.625</v>
      </c>
      <c r="Q117" s="66">
        <v>46043.645833333336</v>
      </c>
      <c r="R117" s="60"/>
      <c r="S117" s="68" t="s">
        <v>613</v>
      </c>
      <c r="T117" s="67" t="s">
        <v>179</v>
      </c>
      <c r="U117" s="60"/>
      <c r="V117" s="68" t="s">
        <v>374</v>
      </c>
      <c r="W117" s="60"/>
      <c r="X117" s="60"/>
      <c r="Y117" s="60" t="s">
        <v>203</v>
      </c>
      <c r="Z117" s="60" t="s">
        <v>70</v>
      </c>
      <c r="AA117" s="60"/>
      <c r="AB117" s="60"/>
      <c r="AC117" s="60"/>
      <c r="AD117" s="60"/>
      <c r="AE117" s="69"/>
      <c r="AF117" s="17"/>
      <c r="AG117" s="17"/>
      <c r="AH117" s="17"/>
      <c r="AI117" s="17"/>
      <c r="AJ117" s="17"/>
      <c r="AK117" s="17"/>
      <c r="AL117" s="17"/>
      <c r="AM117" s="17"/>
      <c r="AN117" s="17"/>
      <c r="AO117" s="17"/>
      <c r="AP117" s="17"/>
      <c r="AQ117" s="17"/>
      <c r="AR117" s="17"/>
      <c r="AS117" s="17"/>
      <c r="AT117" s="17"/>
      <c r="AU117" s="17"/>
    </row>
    <row r="118" spans="1:47" ht="15" hidden="1" customHeight="1">
      <c r="A118" s="60">
        <f>ROW() - ROW(Table1[[#Headers],[s]])</f>
        <v>117</v>
      </c>
      <c r="B118" s="60" t="s">
        <v>650</v>
      </c>
      <c r="C118" s="61">
        <v>46023</v>
      </c>
      <c r="D118" s="63" t="s">
        <v>651</v>
      </c>
      <c r="E118" s="60" t="e" vm="58">
        <v>#VALUE!</v>
      </c>
      <c r="F118" s="60" t="e" vm="25">
        <v>#VALUE!</v>
      </c>
      <c r="G118" s="64" t="s">
        <v>200</v>
      </c>
      <c r="H118" s="60" t="s">
        <v>152</v>
      </c>
      <c r="I118" s="60" t="s">
        <v>43</v>
      </c>
      <c r="J118" s="67" t="s">
        <v>153</v>
      </c>
      <c r="K118" s="60" t="s">
        <v>154</v>
      </c>
      <c r="L118" s="65">
        <v>46043.669444444444</v>
      </c>
      <c r="M118" s="67" t="s">
        <v>72</v>
      </c>
      <c r="N118" s="67" t="s">
        <v>585</v>
      </c>
      <c r="O118" s="71">
        <v>46043.708333333336</v>
      </c>
      <c r="P118" s="72">
        <v>46043.708333333336</v>
      </c>
      <c r="Q118" s="66">
        <v>46043.75</v>
      </c>
      <c r="R118" s="60"/>
      <c r="S118" s="68" t="s">
        <v>652</v>
      </c>
      <c r="T118" s="67" t="s">
        <v>653</v>
      </c>
      <c r="U118" s="60"/>
      <c r="V118" s="125" t="s">
        <v>654</v>
      </c>
      <c r="W118" s="60"/>
      <c r="X118" s="60"/>
      <c r="Y118" s="60" t="s">
        <v>203</v>
      </c>
      <c r="Z118" s="60" t="s">
        <v>70</v>
      </c>
      <c r="AA118" s="60"/>
      <c r="AB118" s="60"/>
      <c r="AC118" s="60"/>
      <c r="AD118" s="60"/>
      <c r="AE118" s="69"/>
      <c r="AF118" s="17"/>
      <c r="AG118" s="17"/>
      <c r="AH118" s="17"/>
      <c r="AI118" s="17"/>
      <c r="AJ118" s="17"/>
      <c r="AK118" s="17"/>
      <c r="AL118" s="17"/>
      <c r="AM118" s="17"/>
      <c r="AN118" s="17"/>
      <c r="AO118" s="17"/>
      <c r="AP118" s="17"/>
      <c r="AQ118" s="17"/>
      <c r="AR118" s="17"/>
      <c r="AS118" s="17"/>
      <c r="AT118" s="17"/>
      <c r="AU118" s="17"/>
    </row>
    <row r="119" spans="1:47" ht="15" hidden="1" customHeight="1">
      <c r="A119" s="60">
        <f>ROW() - ROW(Table1[[#Headers],[s]])</f>
        <v>118</v>
      </c>
      <c r="B119" s="60" t="s">
        <v>655</v>
      </c>
      <c r="C119" s="61">
        <v>46023</v>
      </c>
      <c r="D119" s="63" t="s">
        <v>656</v>
      </c>
      <c r="E119" s="60" t="e" vm="88">
        <v>#VALUE!</v>
      </c>
      <c r="F119" s="60" t="e" vm="2">
        <v>#VALUE!</v>
      </c>
      <c r="G119" s="64" t="s">
        <v>200</v>
      </c>
      <c r="H119" s="42" t="s">
        <v>245</v>
      </c>
      <c r="I119" s="60" t="s">
        <v>43</v>
      </c>
      <c r="J119" s="67" t="s">
        <v>253</v>
      </c>
      <c r="K119" s="60" t="s">
        <v>154</v>
      </c>
      <c r="L119" s="65">
        <v>46043.277083333334</v>
      </c>
      <c r="M119" s="55" t="s">
        <v>162</v>
      </c>
      <c r="N119" s="55" t="s">
        <v>162</v>
      </c>
      <c r="O119" s="71">
        <v>46043.416666666664</v>
      </c>
      <c r="P119" s="72">
        <v>46043.583333333336</v>
      </c>
      <c r="Q119" s="66">
        <v>46043.638888888891</v>
      </c>
      <c r="R119" s="60"/>
      <c r="S119" s="68" t="s">
        <v>326</v>
      </c>
      <c r="T119" s="67" t="s">
        <v>179</v>
      </c>
      <c r="U119" s="60"/>
      <c r="V119" s="68" t="s">
        <v>327</v>
      </c>
      <c r="W119" s="60"/>
      <c r="X119" s="60"/>
      <c r="Y119" s="60" t="s">
        <v>203</v>
      </c>
      <c r="Z119" s="60" t="s">
        <v>70</v>
      </c>
      <c r="AA119" s="60"/>
      <c r="AB119" s="60"/>
      <c r="AC119" s="60"/>
      <c r="AD119" s="60"/>
      <c r="AE119" s="69"/>
      <c r="AF119" s="17"/>
      <c r="AG119" s="17"/>
      <c r="AH119" s="17"/>
      <c r="AI119" s="17"/>
      <c r="AJ119" s="17"/>
      <c r="AK119" s="17"/>
      <c r="AL119" s="17"/>
      <c r="AM119" s="17"/>
      <c r="AN119" s="17"/>
      <c r="AO119" s="17"/>
      <c r="AP119" s="17"/>
      <c r="AQ119" s="17"/>
      <c r="AR119" s="17"/>
      <c r="AS119" s="17"/>
      <c r="AT119" s="17"/>
      <c r="AU119" s="17"/>
    </row>
    <row r="120" spans="1:47" ht="15" hidden="1" customHeight="1">
      <c r="A120" s="60">
        <f>ROW() - ROW(Table1[[#Headers],[s]])</f>
        <v>119</v>
      </c>
      <c r="B120" s="60" t="s">
        <v>657</v>
      </c>
      <c r="C120" s="61">
        <v>46023</v>
      </c>
      <c r="D120" s="63" t="s">
        <v>658</v>
      </c>
      <c r="E120" s="60" t="e" vm="79">
        <v>#VALUE!</v>
      </c>
      <c r="F120" s="60" t="e" vm="25">
        <v>#VALUE!</v>
      </c>
      <c r="G120" s="64" t="s">
        <v>584</v>
      </c>
      <c r="H120" s="60" t="s">
        <v>240</v>
      </c>
      <c r="I120" s="42" t="s">
        <v>175</v>
      </c>
      <c r="J120" s="67" t="s">
        <v>253</v>
      </c>
      <c r="K120" s="60" t="s">
        <v>154</v>
      </c>
      <c r="L120" s="65">
        <v>46044.495833333334</v>
      </c>
      <c r="M120" s="67" t="s">
        <v>72</v>
      </c>
      <c r="N120" s="67" t="s">
        <v>72</v>
      </c>
      <c r="O120" s="65">
        <v>46044.520833333336</v>
      </c>
      <c r="P120" s="65">
        <v>46044.541666666664</v>
      </c>
      <c r="Q120" s="65">
        <v>46044.691666666666</v>
      </c>
      <c r="R120" s="60"/>
      <c r="S120" s="68" t="s">
        <v>659</v>
      </c>
      <c r="T120" s="67" t="s">
        <v>516</v>
      </c>
      <c r="U120" s="60"/>
      <c r="V120" s="68" t="s">
        <v>660</v>
      </c>
      <c r="W120" s="60"/>
      <c r="X120" s="60"/>
      <c r="Y120" s="60" t="s">
        <v>158</v>
      </c>
      <c r="Z120" s="60" t="s">
        <v>70</v>
      </c>
      <c r="AA120" s="60"/>
      <c r="AB120" s="60"/>
      <c r="AC120" s="60"/>
      <c r="AD120" s="60"/>
      <c r="AE120" s="69"/>
      <c r="AF120" s="17"/>
      <c r="AG120" s="17"/>
      <c r="AH120" s="17"/>
      <c r="AI120" s="17"/>
      <c r="AJ120" s="17"/>
      <c r="AK120" s="17"/>
      <c r="AL120" s="17"/>
      <c r="AM120" s="17"/>
      <c r="AN120" s="17"/>
      <c r="AO120" s="17"/>
      <c r="AP120" s="17"/>
      <c r="AQ120" s="17"/>
      <c r="AR120" s="17"/>
      <c r="AS120" s="17"/>
      <c r="AT120" s="17"/>
      <c r="AU120" s="17"/>
    </row>
    <row r="121" spans="1:47" ht="15.75" hidden="1" customHeight="1">
      <c r="A121" s="60">
        <f>ROW() - ROW(Table1[[#Headers],[s]])</f>
        <v>120</v>
      </c>
      <c r="B121" s="74" t="s">
        <v>661</v>
      </c>
      <c r="C121" s="61">
        <v>46023</v>
      </c>
      <c r="D121" s="63" t="s">
        <v>662</v>
      </c>
      <c r="E121" s="60" t="e" vm="9">
        <v>#VALUE!</v>
      </c>
      <c r="F121" s="60" t="e" vm="10">
        <v>#VALUE!</v>
      </c>
      <c r="G121" s="64" t="s">
        <v>584</v>
      </c>
      <c r="H121" s="60" t="s">
        <v>152</v>
      </c>
      <c r="I121" s="42" t="s">
        <v>175</v>
      </c>
      <c r="J121" s="67" t="s">
        <v>153</v>
      </c>
      <c r="K121" s="60" t="s">
        <v>154</v>
      </c>
      <c r="L121" s="65">
        <v>46044.511805555558</v>
      </c>
      <c r="M121" s="55" t="s">
        <v>78</v>
      </c>
      <c r="N121" s="55" t="s">
        <v>78</v>
      </c>
      <c r="O121" s="65">
        <v>46044.59375</v>
      </c>
      <c r="P121" s="65">
        <v>46044.618055555555</v>
      </c>
      <c r="Q121" s="65">
        <v>46044.642361111109</v>
      </c>
      <c r="R121" s="60"/>
      <c r="S121" s="68" t="s">
        <v>663</v>
      </c>
      <c r="T121" s="67" t="s">
        <v>478</v>
      </c>
      <c r="U121" s="60"/>
      <c r="V121" s="68" t="s">
        <v>183</v>
      </c>
      <c r="W121" s="60"/>
      <c r="X121" s="60"/>
      <c r="Y121" s="60" t="s">
        <v>158</v>
      </c>
      <c r="Z121" s="60" t="s">
        <v>70</v>
      </c>
      <c r="AA121" s="60"/>
      <c r="AB121" s="60"/>
      <c r="AC121" s="60"/>
      <c r="AD121" s="60"/>
      <c r="AE121" s="69"/>
      <c r="AF121" s="17"/>
      <c r="AG121" s="17"/>
      <c r="AH121" s="17"/>
      <c r="AI121" s="17"/>
      <c r="AJ121" s="17"/>
      <c r="AK121" s="17"/>
      <c r="AL121" s="17"/>
      <c r="AM121" s="17"/>
      <c r="AN121" s="17"/>
      <c r="AO121" s="17"/>
      <c r="AP121" s="17"/>
      <c r="AQ121" s="17"/>
      <c r="AR121" s="17"/>
      <c r="AS121" s="17"/>
      <c r="AT121" s="17"/>
      <c r="AU121" s="17"/>
    </row>
    <row r="122" spans="1:47" ht="15.75" hidden="1" customHeight="1">
      <c r="A122" s="60">
        <f>ROW() - ROW(Table1[[#Headers],[s]])</f>
        <v>121</v>
      </c>
      <c r="B122" s="74" t="s">
        <v>664</v>
      </c>
      <c r="C122" s="61">
        <v>46023</v>
      </c>
      <c r="D122" s="63" t="s">
        <v>665</v>
      </c>
      <c r="E122" s="60" t="e" vm="89">
        <v>#VALUE!</v>
      </c>
      <c r="F122" s="60" t="e" vm="2">
        <v>#VALUE!</v>
      </c>
      <c r="G122" s="64" t="s">
        <v>36</v>
      </c>
      <c r="H122" s="60" t="s">
        <v>152</v>
      </c>
      <c r="I122" s="42" t="s">
        <v>43</v>
      </c>
      <c r="J122" s="67" t="s">
        <v>153</v>
      </c>
      <c r="K122" s="60" t="s">
        <v>154</v>
      </c>
      <c r="L122" s="65">
        <v>46044.671527777777</v>
      </c>
      <c r="M122" s="55" t="s">
        <v>162</v>
      </c>
      <c r="N122" s="55" t="s">
        <v>162</v>
      </c>
      <c r="O122" s="64"/>
      <c r="P122" s="60"/>
      <c r="Q122" s="66">
        <v>46045.458333333336</v>
      </c>
      <c r="R122" s="60"/>
      <c r="S122" s="68" t="s">
        <v>666</v>
      </c>
      <c r="T122" s="67" t="s">
        <v>478</v>
      </c>
      <c r="U122" s="60"/>
      <c r="V122" s="68" t="s">
        <v>667</v>
      </c>
      <c r="W122" s="60"/>
      <c r="X122" s="60"/>
      <c r="Y122" s="60" t="s">
        <v>203</v>
      </c>
      <c r="Z122" s="60" t="s">
        <v>70</v>
      </c>
      <c r="AA122" s="60"/>
      <c r="AB122" s="60"/>
      <c r="AC122" s="60"/>
      <c r="AD122" s="60"/>
      <c r="AE122" s="69"/>
      <c r="AF122" s="17"/>
      <c r="AG122" s="17"/>
      <c r="AH122" s="17"/>
      <c r="AI122" s="17"/>
      <c r="AJ122" s="17"/>
      <c r="AK122" s="17"/>
      <c r="AL122" s="17"/>
      <c r="AM122" s="17"/>
      <c r="AN122" s="17"/>
      <c r="AO122" s="17"/>
      <c r="AP122" s="17"/>
      <c r="AQ122" s="17"/>
      <c r="AR122" s="17"/>
      <c r="AS122" s="17"/>
      <c r="AT122" s="17"/>
      <c r="AU122" s="17"/>
    </row>
    <row r="123" spans="1:47" ht="15.75" hidden="1" customHeight="1">
      <c r="A123" s="60">
        <f>ROW() - ROW(Table1[[#Headers],[s]])</f>
        <v>122</v>
      </c>
      <c r="B123" s="74" t="s">
        <v>600</v>
      </c>
      <c r="C123" s="61">
        <v>46023</v>
      </c>
      <c r="D123" s="63" t="s">
        <v>668</v>
      </c>
      <c r="E123" s="60" t="e" vm="82">
        <v>#VALUE!</v>
      </c>
      <c r="F123" s="60" t="e" vm="5">
        <v>#VALUE!</v>
      </c>
      <c r="G123" s="64" t="s">
        <v>36</v>
      </c>
      <c r="H123" s="60" t="s">
        <v>152</v>
      </c>
      <c r="I123" s="42" t="s">
        <v>43</v>
      </c>
      <c r="J123" s="67" t="s">
        <v>153</v>
      </c>
      <c r="K123" s="60" t="s">
        <v>154</v>
      </c>
      <c r="L123" s="65">
        <v>46044.70208333333</v>
      </c>
      <c r="M123" s="67" t="s">
        <v>55</v>
      </c>
      <c r="N123" s="67" t="s">
        <v>55</v>
      </c>
      <c r="O123" s="64"/>
      <c r="P123" s="60"/>
      <c r="Q123" s="66">
        <v>46045.458333333336</v>
      </c>
      <c r="R123" s="60"/>
      <c r="S123" s="68" t="s">
        <v>669</v>
      </c>
      <c r="T123" s="67" t="s">
        <v>478</v>
      </c>
      <c r="U123" s="60"/>
      <c r="V123" s="68" t="s">
        <v>670</v>
      </c>
      <c r="W123" s="60"/>
      <c r="X123" s="60"/>
      <c r="Y123" s="60" t="s">
        <v>203</v>
      </c>
      <c r="Z123" s="60" t="s">
        <v>70</v>
      </c>
      <c r="AA123" s="60"/>
      <c r="AB123" s="60"/>
      <c r="AC123" s="60"/>
      <c r="AD123" s="60"/>
      <c r="AE123" s="69"/>
      <c r="AF123" s="17"/>
      <c r="AG123" s="17"/>
      <c r="AH123" s="17"/>
      <c r="AI123" s="17"/>
      <c r="AJ123" s="17"/>
      <c r="AK123" s="17"/>
      <c r="AL123" s="17"/>
      <c r="AM123" s="17"/>
      <c r="AN123" s="17"/>
      <c r="AO123" s="17"/>
      <c r="AP123" s="17"/>
      <c r="AQ123" s="17"/>
      <c r="AR123" s="17"/>
      <c r="AS123" s="17"/>
      <c r="AT123" s="17"/>
      <c r="AU123" s="17"/>
    </row>
    <row r="124" spans="1:47" ht="15.75" hidden="1" customHeight="1">
      <c r="A124" s="60">
        <f>ROW() - ROW(Table1[[#Headers],[s]])</f>
        <v>123</v>
      </c>
      <c r="B124" s="74" t="s">
        <v>671</v>
      </c>
      <c r="C124" s="61">
        <v>46054</v>
      </c>
      <c r="D124" s="63" t="s">
        <v>672</v>
      </c>
      <c r="E124" s="60" t="e" vm="73">
        <v>#VALUE!</v>
      </c>
      <c r="F124" s="60" t="e" vm="49">
        <v>#VALUE!</v>
      </c>
      <c r="G124" s="64" t="s">
        <v>36</v>
      </c>
      <c r="H124" s="60" t="s">
        <v>152</v>
      </c>
      <c r="I124" s="60" t="s">
        <v>43</v>
      </c>
      <c r="J124" s="67" t="s">
        <v>153</v>
      </c>
      <c r="K124" s="60" t="s">
        <v>332</v>
      </c>
      <c r="L124" s="65">
        <v>46044.702777777777</v>
      </c>
      <c r="M124" s="67" t="s">
        <v>227</v>
      </c>
      <c r="N124" s="67" t="s">
        <v>227</v>
      </c>
      <c r="O124" s="64"/>
      <c r="P124" s="60"/>
      <c r="Q124" s="66">
        <v>46045.458333333336</v>
      </c>
      <c r="R124" s="60"/>
      <c r="S124" s="125" t="s">
        <v>673</v>
      </c>
      <c r="T124" s="67"/>
      <c r="U124" s="60"/>
      <c r="V124" s="125" t="s">
        <v>673</v>
      </c>
      <c r="W124" s="60"/>
      <c r="X124" s="60"/>
      <c r="Y124" s="60" t="s">
        <v>179</v>
      </c>
      <c r="Z124" s="60" t="s">
        <v>70</v>
      </c>
      <c r="AA124" s="60"/>
      <c r="AB124" s="60"/>
      <c r="AC124" s="60"/>
      <c r="AD124" s="60"/>
      <c r="AE124" s="69"/>
      <c r="AF124" s="17"/>
      <c r="AG124" s="17"/>
      <c r="AH124" s="17"/>
      <c r="AI124" s="17"/>
      <c r="AJ124" s="17"/>
      <c r="AK124" s="17"/>
      <c r="AL124" s="17"/>
      <c r="AM124" s="17"/>
      <c r="AN124" s="17"/>
      <c r="AO124" s="17"/>
      <c r="AP124" s="17"/>
      <c r="AQ124" s="17"/>
      <c r="AR124" s="17"/>
      <c r="AS124" s="17"/>
      <c r="AT124" s="17"/>
      <c r="AU124" s="17"/>
    </row>
    <row r="125" spans="1:47" ht="15.75" hidden="1" customHeight="1">
      <c r="A125" s="60">
        <f>ROW() - ROW(Table1[[#Headers],[s]])</f>
        <v>124</v>
      </c>
      <c r="B125" s="74" t="s">
        <v>674</v>
      </c>
      <c r="C125" s="61">
        <v>46023</v>
      </c>
      <c r="D125" s="63" t="s">
        <v>675</v>
      </c>
      <c r="E125" s="60" t="e" vm="90">
        <v>#VALUE!</v>
      </c>
      <c r="F125" s="60" t="e" vm="25">
        <v>#VALUE!</v>
      </c>
      <c r="G125" s="64" t="s">
        <v>584</v>
      </c>
      <c r="H125" s="60" t="s">
        <v>152</v>
      </c>
      <c r="I125" s="42" t="s">
        <v>175</v>
      </c>
      <c r="J125" s="67" t="s">
        <v>153</v>
      </c>
      <c r="K125" s="60" t="s">
        <v>154</v>
      </c>
      <c r="L125" s="65">
        <v>46044.887499999997</v>
      </c>
      <c r="M125" s="67" t="s">
        <v>72</v>
      </c>
      <c r="N125" s="67" t="s">
        <v>72</v>
      </c>
      <c r="O125" s="65">
        <v>46044.916666666664</v>
      </c>
      <c r="P125" s="65">
        <v>46044.9375</v>
      </c>
      <c r="Q125" s="65">
        <v>46044.96875</v>
      </c>
      <c r="R125" s="60"/>
      <c r="S125" s="68" t="s">
        <v>676</v>
      </c>
      <c r="T125" s="67" t="s">
        <v>266</v>
      </c>
      <c r="U125" s="60"/>
      <c r="V125" s="68" t="s">
        <v>677</v>
      </c>
      <c r="W125" s="60"/>
      <c r="X125" s="60"/>
      <c r="Y125" s="60" t="s">
        <v>158</v>
      </c>
      <c r="Z125" s="60" t="s">
        <v>70</v>
      </c>
      <c r="AA125" s="60"/>
      <c r="AB125" s="60"/>
      <c r="AC125" s="60"/>
      <c r="AD125" s="60"/>
      <c r="AE125" s="69"/>
      <c r="AF125" s="17"/>
      <c r="AG125" s="17"/>
      <c r="AH125" s="17"/>
      <c r="AI125" s="17"/>
      <c r="AJ125" s="17"/>
      <c r="AK125" s="17"/>
      <c r="AL125" s="17"/>
      <c r="AM125" s="17"/>
      <c r="AN125" s="17"/>
      <c r="AO125" s="17"/>
      <c r="AP125" s="17"/>
      <c r="AQ125" s="17"/>
      <c r="AR125" s="17"/>
      <c r="AS125" s="17"/>
      <c r="AT125" s="17"/>
      <c r="AU125" s="17"/>
    </row>
    <row r="126" spans="1:47" ht="15" hidden="1" customHeight="1">
      <c r="A126" s="60">
        <f>ROW() - ROW(Table1[[#Headers],[s]])</f>
        <v>125</v>
      </c>
      <c r="B126" s="60" t="s">
        <v>678</v>
      </c>
      <c r="C126" s="61">
        <v>46023</v>
      </c>
      <c r="D126" s="63" t="s">
        <v>679</v>
      </c>
      <c r="E126" s="60" t="e" vm="71">
        <v>#VALUE!</v>
      </c>
      <c r="F126" s="60" t="e" vm="49">
        <v>#VALUE!</v>
      </c>
      <c r="G126" s="64" t="s">
        <v>36</v>
      </c>
      <c r="H126" s="60" t="s">
        <v>152</v>
      </c>
      <c r="I126" s="42" t="s">
        <v>43</v>
      </c>
      <c r="J126" s="67" t="s">
        <v>153</v>
      </c>
      <c r="K126" s="60" t="s">
        <v>154</v>
      </c>
      <c r="L126" s="65">
        <v>46045.533333333333</v>
      </c>
      <c r="M126" s="67" t="s">
        <v>227</v>
      </c>
      <c r="N126" s="67" t="s">
        <v>227</v>
      </c>
      <c r="O126" s="64"/>
      <c r="P126" s="60"/>
      <c r="Q126" s="121">
        <v>46045.614583333336</v>
      </c>
      <c r="R126" s="60"/>
      <c r="S126" s="68" t="s">
        <v>680</v>
      </c>
      <c r="T126" s="67" t="s">
        <v>164</v>
      </c>
      <c r="U126" s="60"/>
      <c r="V126" s="68" t="s">
        <v>681</v>
      </c>
      <c r="W126" s="60"/>
      <c r="X126" s="60"/>
      <c r="Y126" s="60" t="s">
        <v>158</v>
      </c>
      <c r="Z126" s="60" t="s">
        <v>70</v>
      </c>
      <c r="AA126" s="60"/>
      <c r="AB126" s="60"/>
      <c r="AC126" s="60"/>
      <c r="AD126" s="60"/>
      <c r="AE126" s="69"/>
      <c r="AF126" s="17"/>
      <c r="AG126" s="17"/>
      <c r="AH126" s="17"/>
      <c r="AI126" s="17"/>
      <c r="AJ126" s="17"/>
      <c r="AK126" s="17"/>
      <c r="AL126" s="17"/>
      <c r="AM126" s="17"/>
      <c r="AN126" s="17"/>
      <c r="AO126" s="17"/>
      <c r="AP126" s="17"/>
      <c r="AQ126" s="17"/>
      <c r="AR126" s="17"/>
      <c r="AS126" s="17"/>
      <c r="AT126" s="17"/>
      <c r="AU126" s="17"/>
    </row>
    <row r="127" spans="1:47" ht="15" hidden="1" customHeight="1">
      <c r="A127" s="60">
        <f>ROW() - ROW(Table1[[#Headers],[s]])</f>
        <v>126</v>
      </c>
      <c r="B127" s="60" t="s">
        <v>682</v>
      </c>
      <c r="C127" s="61">
        <v>46023</v>
      </c>
      <c r="D127" s="63" t="s">
        <v>683</v>
      </c>
      <c r="E127" s="60" t="e" vm="91">
        <v>#VALUE!</v>
      </c>
      <c r="F127" s="60" t="e" vm="25">
        <v>#VALUE!</v>
      </c>
      <c r="G127" s="64" t="s">
        <v>36</v>
      </c>
      <c r="H127" s="60" t="s">
        <v>152</v>
      </c>
      <c r="I127" s="42" t="s">
        <v>43</v>
      </c>
      <c r="J127" s="67" t="s">
        <v>153</v>
      </c>
      <c r="K127" s="60" t="s">
        <v>154</v>
      </c>
      <c r="L127" s="65">
        <v>46045.534722222219</v>
      </c>
      <c r="M127" s="67" t="s">
        <v>72</v>
      </c>
      <c r="N127" s="67" t="s">
        <v>72</v>
      </c>
      <c r="O127" s="64"/>
      <c r="P127" s="60"/>
      <c r="Q127" s="66">
        <v>46045.583333333336</v>
      </c>
      <c r="R127" s="60"/>
      <c r="S127" s="68" t="s">
        <v>684</v>
      </c>
      <c r="T127" s="67" t="s">
        <v>164</v>
      </c>
      <c r="U127" s="60"/>
      <c r="V127" s="68" t="s">
        <v>685</v>
      </c>
      <c r="W127" s="60"/>
      <c r="X127" s="60"/>
      <c r="Y127" s="60" t="s">
        <v>158</v>
      </c>
      <c r="Z127" s="60" t="s">
        <v>70</v>
      </c>
      <c r="AA127" s="60"/>
      <c r="AB127" s="60"/>
      <c r="AC127" s="60"/>
      <c r="AD127" s="60"/>
      <c r="AE127" s="69"/>
      <c r="AF127" s="17"/>
      <c r="AG127" s="17"/>
      <c r="AH127" s="17"/>
      <c r="AI127" s="17"/>
      <c r="AJ127" s="17"/>
      <c r="AK127" s="17"/>
      <c r="AL127" s="17"/>
      <c r="AM127" s="17"/>
      <c r="AN127" s="17"/>
      <c r="AO127" s="17"/>
      <c r="AP127" s="17"/>
      <c r="AQ127" s="17"/>
      <c r="AR127" s="17"/>
      <c r="AS127" s="17"/>
      <c r="AT127" s="17"/>
      <c r="AU127" s="17"/>
    </row>
    <row r="128" spans="1:47" ht="15" hidden="1" customHeight="1">
      <c r="A128" s="60">
        <f>ROW() - ROW(Table1[[#Headers],[s]])</f>
        <v>127</v>
      </c>
      <c r="B128" s="60" t="s">
        <v>686</v>
      </c>
      <c r="C128" s="61">
        <v>46023</v>
      </c>
      <c r="D128" s="63" t="s">
        <v>687</v>
      </c>
      <c r="E128" s="60" t="e" vm="92">
        <v>#VALUE!</v>
      </c>
      <c r="F128" s="60" t="e" vm="16">
        <v>#VALUE!</v>
      </c>
      <c r="G128" s="64" t="s">
        <v>36</v>
      </c>
      <c r="H128" s="60" t="s">
        <v>152</v>
      </c>
      <c r="I128" s="42" t="s">
        <v>43</v>
      </c>
      <c r="J128" s="67" t="s">
        <v>153</v>
      </c>
      <c r="K128" s="60" t="s">
        <v>154</v>
      </c>
      <c r="L128" s="65">
        <v>46045.611111111109</v>
      </c>
      <c r="M128" s="67" t="s">
        <v>58</v>
      </c>
      <c r="N128" s="67" t="s">
        <v>58</v>
      </c>
      <c r="O128" s="64"/>
      <c r="P128" s="60"/>
      <c r="Q128" s="66">
        <v>46045.666666666664</v>
      </c>
      <c r="R128" s="60"/>
      <c r="S128" s="68" t="s">
        <v>688</v>
      </c>
      <c r="T128" s="67" t="s">
        <v>178</v>
      </c>
      <c r="U128" s="60"/>
      <c r="V128" s="68" t="s">
        <v>688</v>
      </c>
      <c r="W128" s="60"/>
      <c r="X128" s="60"/>
      <c r="Y128" s="60" t="s">
        <v>158</v>
      </c>
      <c r="Z128" s="60" t="s">
        <v>70</v>
      </c>
      <c r="AA128" s="60"/>
      <c r="AB128" s="60"/>
      <c r="AC128" s="60"/>
      <c r="AD128" s="60"/>
      <c r="AE128" s="69"/>
      <c r="AF128" s="17"/>
      <c r="AG128" s="17"/>
      <c r="AH128" s="17"/>
      <c r="AI128" s="17"/>
      <c r="AJ128" s="17"/>
      <c r="AK128" s="17"/>
      <c r="AL128" s="17"/>
      <c r="AM128" s="17"/>
      <c r="AN128" s="17"/>
      <c r="AO128" s="17"/>
      <c r="AP128" s="17"/>
      <c r="AQ128" s="17"/>
      <c r="AR128" s="17"/>
      <c r="AS128" s="17"/>
      <c r="AT128" s="17"/>
      <c r="AU128" s="17"/>
    </row>
    <row r="129" spans="1:47" ht="15" hidden="1" customHeight="1">
      <c r="A129" s="60">
        <f>ROW() - ROW(Table1[[#Headers],[s]])</f>
        <v>128</v>
      </c>
      <c r="B129" s="60" t="s">
        <v>689</v>
      </c>
      <c r="C129" s="61">
        <v>46023</v>
      </c>
      <c r="D129" s="63" t="s">
        <v>690</v>
      </c>
      <c r="E129" s="60" t="e" vm="80">
        <v>#VALUE!</v>
      </c>
      <c r="F129" s="60" t="e" vm="10">
        <v>#VALUE!</v>
      </c>
      <c r="G129" s="64" t="s">
        <v>151</v>
      </c>
      <c r="H129" s="60" t="s">
        <v>152</v>
      </c>
      <c r="I129" s="70" t="s">
        <v>43</v>
      </c>
      <c r="J129" s="67" t="s">
        <v>153</v>
      </c>
      <c r="K129" s="60" t="s">
        <v>154</v>
      </c>
      <c r="L129" s="65">
        <v>46047.504861111112</v>
      </c>
      <c r="M129" s="55" t="s">
        <v>78</v>
      </c>
      <c r="N129" s="55" t="s">
        <v>78</v>
      </c>
      <c r="O129" s="71">
        <v>46047.650694444441</v>
      </c>
      <c r="P129" s="72">
        <v>46047.665972222225</v>
      </c>
      <c r="Q129" s="121">
        <v>46047.67291666667</v>
      </c>
      <c r="R129" s="60"/>
      <c r="S129" s="68" t="s">
        <v>691</v>
      </c>
      <c r="T129" s="67" t="s">
        <v>179</v>
      </c>
      <c r="U129" s="60"/>
      <c r="V129" s="68" t="s">
        <v>691</v>
      </c>
      <c r="W129" s="60"/>
      <c r="X129" s="60"/>
      <c r="Y129" s="60" t="s">
        <v>158</v>
      </c>
      <c r="Z129" s="60" t="s">
        <v>70</v>
      </c>
      <c r="AA129" s="60"/>
      <c r="AB129" s="60"/>
      <c r="AC129" s="60"/>
      <c r="AD129" s="60"/>
      <c r="AE129" s="69"/>
      <c r="AF129" s="17"/>
      <c r="AG129" s="17"/>
      <c r="AH129" s="17"/>
      <c r="AI129" s="17"/>
      <c r="AJ129" s="17"/>
      <c r="AK129" s="17"/>
      <c r="AL129" s="17"/>
      <c r="AM129" s="17"/>
      <c r="AN129" s="17"/>
      <c r="AO129" s="17"/>
      <c r="AP129" s="17"/>
      <c r="AQ129" s="17"/>
      <c r="AR129" s="17"/>
      <c r="AS129" s="17"/>
      <c r="AT129" s="17"/>
      <c r="AU129" s="17"/>
    </row>
    <row r="130" spans="1:47" ht="15" hidden="1" customHeight="1">
      <c r="A130" s="60">
        <f>ROW() - ROW(Table1[[#Headers],[s]])</f>
        <v>129</v>
      </c>
      <c r="B130" s="60" t="s">
        <v>692</v>
      </c>
      <c r="C130" s="61">
        <v>46023</v>
      </c>
      <c r="D130" s="63" t="s">
        <v>693</v>
      </c>
      <c r="E130" s="60" t="e" vm="83">
        <v>#VALUE!</v>
      </c>
      <c r="F130" s="60" t="e" vm="37">
        <v>#VALUE!</v>
      </c>
      <c r="G130" s="64" t="s">
        <v>584</v>
      </c>
      <c r="H130" s="60" t="s">
        <v>152</v>
      </c>
      <c r="I130" s="42" t="s">
        <v>175</v>
      </c>
      <c r="J130" s="67" t="s">
        <v>153</v>
      </c>
      <c r="K130" s="60" t="s">
        <v>154</v>
      </c>
      <c r="L130" s="65">
        <v>46047.506944444445</v>
      </c>
      <c r="M130" s="67" t="s">
        <v>59</v>
      </c>
      <c r="N130" s="67" t="s">
        <v>59</v>
      </c>
      <c r="O130" s="71">
        <v>46049.333333333336</v>
      </c>
      <c r="P130" s="71">
        <v>46049.354166666664</v>
      </c>
      <c r="Q130" s="71">
        <v>46048.375</v>
      </c>
      <c r="R130" s="60"/>
      <c r="S130" s="68" t="s">
        <v>694</v>
      </c>
      <c r="T130" s="67" t="s">
        <v>695</v>
      </c>
      <c r="U130" s="60"/>
      <c r="V130" s="68" t="s">
        <v>696</v>
      </c>
      <c r="W130" s="60"/>
      <c r="X130" s="60"/>
      <c r="Y130" s="60" t="s">
        <v>158</v>
      </c>
      <c r="Z130" s="60" t="s">
        <v>70</v>
      </c>
      <c r="AA130" s="60"/>
      <c r="AB130" s="60"/>
      <c r="AC130" s="60"/>
      <c r="AD130" s="60"/>
      <c r="AE130" s="69"/>
      <c r="AF130" s="17"/>
      <c r="AG130" s="17"/>
      <c r="AH130" s="17"/>
      <c r="AI130" s="17"/>
      <c r="AJ130" s="17"/>
      <c r="AK130" s="17"/>
      <c r="AL130" s="17"/>
      <c r="AM130" s="17"/>
      <c r="AN130" s="17"/>
      <c r="AO130" s="17"/>
      <c r="AP130" s="17"/>
      <c r="AQ130" s="17"/>
      <c r="AR130" s="17"/>
      <c r="AS130" s="17"/>
      <c r="AT130" s="17"/>
      <c r="AU130" s="17"/>
    </row>
    <row r="131" spans="1:47" ht="15" hidden="1" customHeight="1">
      <c r="A131" s="60">
        <f>ROW() - ROW(Table1[[#Headers],[s]])</f>
        <v>130</v>
      </c>
      <c r="B131" s="60" t="s">
        <v>697</v>
      </c>
      <c r="C131" s="75">
        <v>46023</v>
      </c>
      <c r="D131" s="63" t="s">
        <v>698</v>
      </c>
      <c r="E131" s="60" t="e" vm="9">
        <v>#VALUE!</v>
      </c>
      <c r="F131" s="60" t="e" vm="10">
        <v>#VALUE!</v>
      </c>
      <c r="G131" s="64" t="s">
        <v>151</v>
      </c>
      <c r="H131" s="60" t="s">
        <v>152</v>
      </c>
      <c r="I131" s="70" t="s">
        <v>43</v>
      </c>
      <c r="J131" s="67" t="s">
        <v>153</v>
      </c>
      <c r="K131" s="60" t="s">
        <v>154</v>
      </c>
      <c r="L131" s="65">
        <v>46047.508333333331</v>
      </c>
      <c r="M131" s="55" t="s">
        <v>78</v>
      </c>
      <c r="N131" s="55" t="s">
        <v>78</v>
      </c>
      <c r="O131" s="71">
        <v>46047.6875</v>
      </c>
      <c r="P131" s="72">
        <v>46047.6875</v>
      </c>
      <c r="Q131" s="66">
        <v>46047.731944444444</v>
      </c>
      <c r="R131" s="60"/>
      <c r="S131" s="68" t="s">
        <v>699</v>
      </c>
      <c r="T131" s="67" t="s">
        <v>164</v>
      </c>
      <c r="U131" s="60"/>
      <c r="V131" s="68" t="s">
        <v>699</v>
      </c>
      <c r="W131" s="60"/>
      <c r="X131" s="60"/>
      <c r="Y131" s="60" t="s">
        <v>158</v>
      </c>
      <c r="Z131" s="60" t="s">
        <v>70</v>
      </c>
      <c r="AA131" s="60"/>
      <c r="AB131" s="60"/>
      <c r="AC131" s="60"/>
      <c r="AD131" s="60"/>
      <c r="AE131" s="69"/>
      <c r="AF131" s="17"/>
      <c r="AG131" s="17"/>
      <c r="AH131" s="17"/>
      <c r="AI131" s="17"/>
      <c r="AJ131" s="17"/>
      <c r="AK131" s="17"/>
      <c r="AL131" s="17"/>
      <c r="AM131" s="17"/>
      <c r="AN131" s="17"/>
      <c r="AO131" s="17"/>
      <c r="AP131" s="17"/>
      <c r="AQ131" s="17"/>
      <c r="AR131" s="17"/>
      <c r="AS131" s="17"/>
      <c r="AT131" s="17"/>
      <c r="AU131" s="17"/>
    </row>
    <row r="132" spans="1:47" ht="15" hidden="1" customHeight="1">
      <c r="A132" s="60">
        <f>ROW() - ROW(Table1[[#Headers],[s]])</f>
        <v>131</v>
      </c>
      <c r="B132" s="60" t="s">
        <v>700</v>
      </c>
      <c r="C132" s="75">
        <v>46023</v>
      </c>
      <c r="D132" s="63" t="s">
        <v>701</v>
      </c>
      <c r="E132" s="60" t="e" vm="93">
        <v>#VALUE!</v>
      </c>
      <c r="F132" s="60" t="e" vm="12">
        <v>#VALUE!</v>
      </c>
      <c r="G132" s="64" t="s">
        <v>151</v>
      </c>
      <c r="H132" s="60" t="s">
        <v>152</v>
      </c>
      <c r="I132" s="70" t="s">
        <v>43</v>
      </c>
      <c r="J132" s="67" t="s">
        <v>153</v>
      </c>
      <c r="K132" s="60" t="s">
        <v>154</v>
      </c>
      <c r="L132" s="65">
        <v>46047.525694444441</v>
      </c>
      <c r="M132" s="67" t="s">
        <v>72</v>
      </c>
      <c r="N132" s="67" t="s">
        <v>72</v>
      </c>
      <c r="O132" s="71">
        <v>46047.645833333336</v>
      </c>
      <c r="P132" s="72">
        <v>46047.655555555553</v>
      </c>
      <c r="Q132" s="66">
        <v>46047.668055555558</v>
      </c>
      <c r="R132" s="60"/>
      <c r="S132" s="68" t="s">
        <v>702</v>
      </c>
      <c r="T132" s="67" t="s">
        <v>179</v>
      </c>
      <c r="U132" s="60"/>
      <c r="V132" s="68" t="s">
        <v>703</v>
      </c>
      <c r="W132" s="60"/>
      <c r="X132" s="60"/>
      <c r="Y132" s="60" t="s">
        <v>158</v>
      </c>
      <c r="Z132" s="60" t="s">
        <v>70</v>
      </c>
      <c r="AA132" s="60"/>
      <c r="AB132" s="60"/>
      <c r="AC132" s="60"/>
      <c r="AD132" s="60"/>
      <c r="AE132" s="69"/>
      <c r="AF132" s="17"/>
      <c r="AG132" s="17"/>
      <c r="AH132" s="17"/>
      <c r="AI132" s="17"/>
      <c r="AJ132" s="17"/>
      <c r="AK132" s="17"/>
      <c r="AL132" s="17"/>
      <c r="AM132" s="17"/>
      <c r="AN132" s="17"/>
      <c r="AO132" s="17"/>
      <c r="AP132" s="17"/>
      <c r="AQ132" s="17"/>
      <c r="AR132" s="17"/>
      <c r="AS132" s="17"/>
      <c r="AT132" s="17"/>
      <c r="AU132" s="17"/>
    </row>
    <row r="133" spans="1:47" ht="15" hidden="1" customHeight="1">
      <c r="A133" s="60">
        <f>ROW() - ROW(Table1[[#Headers],[s]])</f>
        <v>132</v>
      </c>
      <c r="B133" s="60" t="s">
        <v>697</v>
      </c>
      <c r="C133" s="75">
        <v>46023</v>
      </c>
      <c r="D133" s="63" t="s">
        <v>704</v>
      </c>
      <c r="E133" s="60" t="e" vm="9">
        <v>#VALUE!</v>
      </c>
      <c r="F133" s="60" t="e" vm="10">
        <v>#VALUE!</v>
      </c>
      <c r="G133" s="64" t="s">
        <v>151</v>
      </c>
      <c r="H133" s="60" t="s">
        <v>152</v>
      </c>
      <c r="I133" s="70" t="s">
        <v>43</v>
      </c>
      <c r="J133" s="67" t="s">
        <v>153</v>
      </c>
      <c r="K133" s="60" t="s">
        <v>154</v>
      </c>
      <c r="L133" s="65">
        <v>46047.521527777775</v>
      </c>
      <c r="M133" s="55" t="s">
        <v>78</v>
      </c>
      <c r="N133" s="55" t="s">
        <v>78</v>
      </c>
      <c r="O133" s="71">
        <v>46047.677777777775</v>
      </c>
      <c r="P133" s="72">
        <v>46047.678472222222</v>
      </c>
      <c r="Q133" s="66">
        <v>46047.686111111114</v>
      </c>
      <c r="R133" s="60"/>
      <c r="S133" s="68" t="s">
        <v>705</v>
      </c>
      <c r="T133" s="67" t="s">
        <v>179</v>
      </c>
      <c r="U133" s="60"/>
      <c r="V133" s="68" t="s">
        <v>705</v>
      </c>
      <c r="W133" s="60"/>
      <c r="X133" s="60"/>
      <c r="Y133" s="60" t="s">
        <v>158</v>
      </c>
      <c r="Z133" s="60" t="s">
        <v>70</v>
      </c>
      <c r="AA133" s="60"/>
      <c r="AB133" s="60"/>
      <c r="AC133" s="60"/>
      <c r="AD133" s="60"/>
      <c r="AE133" s="69"/>
      <c r="AF133" s="17"/>
      <c r="AG133" s="17"/>
      <c r="AH133" s="17"/>
      <c r="AI133" s="17"/>
      <c r="AJ133" s="17"/>
      <c r="AK133" s="17"/>
      <c r="AL133" s="17"/>
      <c r="AM133" s="17"/>
      <c r="AN133" s="17"/>
      <c r="AO133" s="17"/>
      <c r="AP133" s="17"/>
      <c r="AQ133" s="17"/>
      <c r="AR133" s="17"/>
      <c r="AS133" s="17"/>
      <c r="AT133" s="17"/>
      <c r="AU133" s="17"/>
    </row>
    <row r="134" spans="1:47" ht="15" hidden="1" customHeight="1">
      <c r="A134" s="60">
        <f>ROW() - ROW(Table1[[#Headers],[s]])</f>
        <v>133</v>
      </c>
      <c r="B134" s="60" t="s">
        <v>706</v>
      </c>
      <c r="C134" s="61">
        <v>46023</v>
      </c>
      <c r="D134" s="63" t="s">
        <v>707</v>
      </c>
      <c r="E134" s="60" t="e" vm="58">
        <v>#VALUE!</v>
      </c>
      <c r="F134" s="60" t="e" vm="25">
        <v>#VALUE!</v>
      </c>
      <c r="G134" s="64" t="s">
        <v>584</v>
      </c>
      <c r="H134" s="60" t="s">
        <v>152</v>
      </c>
      <c r="I134" s="42" t="s">
        <v>175</v>
      </c>
      <c r="J134" s="67" t="s">
        <v>153</v>
      </c>
      <c r="K134" s="60" t="s">
        <v>154</v>
      </c>
      <c r="L134" s="65">
        <v>46049.613194444442</v>
      </c>
      <c r="M134" s="67" t="s">
        <v>72</v>
      </c>
      <c r="N134" s="67" t="s">
        <v>72</v>
      </c>
      <c r="O134" s="65">
        <v>46049.635416666664</v>
      </c>
      <c r="P134" s="65">
        <v>46049.65625</v>
      </c>
      <c r="Q134" s="65">
        <v>46049.697916666664</v>
      </c>
      <c r="R134" s="60"/>
      <c r="S134" s="68" t="s">
        <v>708</v>
      </c>
      <c r="T134" s="67" t="s">
        <v>164</v>
      </c>
      <c r="U134" s="60"/>
      <c r="V134" s="68" t="s">
        <v>709</v>
      </c>
      <c r="W134" s="60"/>
      <c r="X134" s="60"/>
      <c r="Y134" s="60" t="s">
        <v>158</v>
      </c>
      <c r="Z134" s="60" t="s">
        <v>70</v>
      </c>
      <c r="AA134" s="60"/>
      <c r="AB134" s="60"/>
      <c r="AC134" s="60"/>
      <c r="AD134" s="60"/>
      <c r="AE134" s="69"/>
      <c r="AF134" s="17"/>
      <c r="AG134" s="17"/>
      <c r="AH134" s="17"/>
      <c r="AI134" s="17"/>
      <c r="AJ134" s="17"/>
      <c r="AK134" s="17"/>
      <c r="AL134" s="17"/>
      <c r="AM134" s="17"/>
      <c r="AN134" s="17"/>
      <c r="AO134" s="17"/>
      <c r="AP134" s="17"/>
      <c r="AQ134" s="17"/>
      <c r="AR134" s="17"/>
      <c r="AS134" s="17"/>
      <c r="AT134" s="17"/>
      <c r="AU134" s="17"/>
    </row>
    <row r="135" spans="1:47" ht="15" hidden="1" customHeight="1">
      <c r="A135" s="60">
        <f>ROW() - ROW(Table1[[#Headers],[s]])</f>
        <v>134</v>
      </c>
      <c r="B135" s="60" t="s">
        <v>710</v>
      </c>
      <c r="C135" s="61" t="s">
        <v>60</v>
      </c>
      <c r="D135" s="63" t="s">
        <v>711</v>
      </c>
      <c r="E135" s="60" t="e" vm="94">
        <v>#VALUE!</v>
      </c>
      <c r="F135" s="60" t="e" vm="17">
        <v>#VALUE!</v>
      </c>
      <c r="G135" s="64" t="s">
        <v>584</v>
      </c>
      <c r="H135" s="60" t="s">
        <v>152</v>
      </c>
      <c r="I135" s="61" t="s">
        <v>60</v>
      </c>
      <c r="J135" s="67" t="s">
        <v>153</v>
      </c>
      <c r="K135" s="42" t="s">
        <v>154</v>
      </c>
      <c r="L135" s="65">
        <v>46049.724305555559</v>
      </c>
      <c r="M135" s="55" t="s">
        <v>155</v>
      </c>
      <c r="N135" s="55" t="s">
        <v>155</v>
      </c>
      <c r="O135" s="64"/>
      <c r="P135" s="60"/>
      <c r="Q135" s="110"/>
      <c r="R135" s="60"/>
      <c r="S135" s="60" t="s">
        <v>712</v>
      </c>
      <c r="T135" s="67" t="s">
        <v>164</v>
      </c>
      <c r="U135" s="60"/>
      <c r="V135" s="68"/>
      <c r="W135" s="60"/>
      <c r="X135" s="60"/>
      <c r="Y135" s="60" t="s">
        <v>179</v>
      </c>
      <c r="Z135" s="60" t="s">
        <v>179</v>
      </c>
      <c r="AA135" s="60"/>
      <c r="AB135" s="60"/>
      <c r="AC135" s="60"/>
      <c r="AD135" s="60"/>
      <c r="AE135" s="69"/>
      <c r="AF135" s="17"/>
      <c r="AG135" s="17"/>
      <c r="AH135" s="17"/>
      <c r="AI135" s="17"/>
      <c r="AJ135" s="17"/>
      <c r="AK135" s="17"/>
      <c r="AL135" s="17"/>
      <c r="AM135" s="17"/>
      <c r="AN135" s="17"/>
      <c r="AO135" s="17"/>
      <c r="AP135" s="17"/>
      <c r="AQ135" s="17"/>
      <c r="AR135" s="17"/>
      <c r="AS135" s="17"/>
      <c r="AT135" s="17"/>
      <c r="AU135" s="17"/>
    </row>
    <row r="136" spans="1:47" ht="15" hidden="1" customHeight="1">
      <c r="A136" s="60">
        <f>ROW() - ROW(Table1[[#Headers],[s]])</f>
        <v>135</v>
      </c>
      <c r="B136" s="60" t="s">
        <v>713</v>
      </c>
      <c r="C136" s="61">
        <v>46023</v>
      </c>
      <c r="D136" s="63" t="s">
        <v>714</v>
      </c>
      <c r="E136" s="60" t="e" vm="95">
        <v>#VALUE!</v>
      </c>
      <c r="F136" s="60" t="e" vm="30">
        <v>#VALUE!</v>
      </c>
      <c r="G136" s="64" t="s">
        <v>584</v>
      </c>
      <c r="H136" s="60" t="s">
        <v>152</v>
      </c>
      <c r="I136" s="42" t="s">
        <v>175</v>
      </c>
      <c r="J136" s="67" t="s">
        <v>153</v>
      </c>
      <c r="K136" s="60" t="s">
        <v>154</v>
      </c>
      <c r="L136" s="65">
        <v>46049.645138888889</v>
      </c>
      <c r="M136" s="67" t="s">
        <v>72</v>
      </c>
      <c r="N136" s="67" t="s">
        <v>72</v>
      </c>
      <c r="O136" s="71">
        <v>46050.333333333336</v>
      </c>
      <c r="P136" s="71">
        <v>46050.354166666664</v>
      </c>
      <c r="Q136" s="71">
        <v>46050.375</v>
      </c>
      <c r="R136" s="60"/>
      <c r="S136" s="60" t="s">
        <v>712</v>
      </c>
      <c r="T136" s="67" t="s">
        <v>164</v>
      </c>
      <c r="U136" s="60"/>
      <c r="V136" s="68" t="s">
        <v>183</v>
      </c>
      <c r="W136" s="60"/>
      <c r="X136" s="60"/>
      <c r="Y136" s="60" t="s">
        <v>70</v>
      </c>
      <c r="Z136" s="60" t="s">
        <v>70</v>
      </c>
      <c r="AA136" s="60"/>
      <c r="AB136" s="60"/>
      <c r="AC136" s="60"/>
      <c r="AD136" s="60"/>
      <c r="AE136" s="69"/>
      <c r="AF136" s="17"/>
      <c r="AG136" s="17"/>
      <c r="AH136" s="17"/>
      <c r="AI136" s="17"/>
      <c r="AJ136" s="17"/>
      <c r="AK136" s="17"/>
      <c r="AL136" s="17"/>
      <c r="AM136" s="17"/>
      <c r="AN136" s="17"/>
      <c r="AO136" s="17"/>
      <c r="AP136" s="17"/>
      <c r="AQ136" s="17"/>
      <c r="AR136" s="17"/>
      <c r="AS136" s="17"/>
      <c r="AT136" s="17"/>
      <c r="AU136" s="17"/>
    </row>
    <row r="137" spans="1:47" ht="15" hidden="1" customHeight="1">
      <c r="A137" s="60">
        <f>ROW() - ROW(Table1[[#Headers],[s]])</f>
        <v>136</v>
      </c>
      <c r="B137" s="60" t="s">
        <v>715</v>
      </c>
      <c r="C137" s="61">
        <v>46082</v>
      </c>
      <c r="D137" s="63" t="s">
        <v>716</v>
      </c>
      <c r="E137" s="60" t="e" vm="94">
        <v>#VALUE!</v>
      </c>
      <c r="F137" s="60" t="e" vm="17">
        <v>#VALUE!</v>
      </c>
      <c r="G137" s="64" t="s">
        <v>584</v>
      </c>
      <c r="H137" s="60" t="s">
        <v>152</v>
      </c>
      <c r="I137" s="60"/>
      <c r="J137" s="67" t="s">
        <v>153</v>
      </c>
      <c r="K137" s="60" t="s">
        <v>154</v>
      </c>
      <c r="L137" s="65">
        <v>46049.65347222222</v>
      </c>
      <c r="M137" s="55" t="s">
        <v>155</v>
      </c>
      <c r="N137" s="55" t="s">
        <v>155</v>
      </c>
      <c r="O137" s="64"/>
      <c r="P137" s="60"/>
      <c r="Q137" s="110"/>
      <c r="R137" s="60"/>
      <c r="S137" s="60" t="s">
        <v>717</v>
      </c>
      <c r="T137" s="67" t="s">
        <v>164</v>
      </c>
      <c r="U137" s="60"/>
      <c r="V137" s="68"/>
      <c r="W137" s="60"/>
      <c r="X137" s="60"/>
      <c r="Y137" s="60"/>
      <c r="Z137" s="60"/>
      <c r="AA137" s="60"/>
      <c r="AB137" s="60"/>
      <c r="AC137" s="60"/>
      <c r="AD137" s="60"/>
      <c r="AE137" s="69"/>
      <c r="AF137" s="17"/>
      <c r="AG137" s="17"/>
      <c r="AH137" s="17"/>
      <c r="AI137" s="17"/>
      <c r="AJ137" s="17"/>
      <c r="AK137" s="17"/>
      <c r="AL137" s="17"/>
      <c r="AM137" s="17"/>
      <c r="AN137" s="17"/>
      <c r="AO137" s="17"/>
      <c r="AP137" s="17"/>
      <c r="AQ137" s="17"/>
      <c r="AR137" s="17"/>
      <c r="AS137" s="17"/>
      <c r="AT137" s="17"/>
      <c r="AU137" s="17"/>
    </row>
    <row r="138" spans="1:47" ht="15.75" hidden="1" customHeight="1">
      <c r="A138" s="60">
        <f>ROW() - ROW(Table1[[#Headers],[s]])</f>
        <v>137</v>
      </c>
      <c r="B138" s="74" t="s">
        <v>718</v>
      </c>
      <c r="C138" s="61">
        <v>46023</v>
      </c>
      <c r="D138" s="63" t="s">
        <v>719</v>
      </c>
      <c r="E138" s="60" t="e" vm="9">
        <v>#VALUE!</v>
      </c>
      <c r="F138" s="60" t="e" vm="10">
        <v>#VALUE!</v>
      </c>
      <c r="G138" s="64" t="s">
        <v>584</v>
      </c>
      <c r="H138" s="60" t="s">
        <v>152</v>
      </c>
      <c r="I138" s="42" t="s">
        <v>175</v>
      </c>
      <c r="J138" s="67" t="s">
        <v>153</v>
      </c>
      <c r="K138" s="60" t="s">
        <v>154</v>
      </c>
      <c r="L138" s="65">
        <v>46049.481249999997</v>
      </c>
      <c r="M138" s="55" t="s">
        <v>78</v>
      </c>
      <c r="N138" s="55" t="s">
        <v>78</v>
      </c>
      <c r="O138" s="65">
        <v>46049.552083333336</v>
      </c>
      <c r="P138" s="65">
        <v>46049.576388888891</v>
      </c>
      <c r="Q138" s="65">
        <v>46049.604166666664</v>
      </c>
      <c r="R138" s="60"/>
      <c r="S138" s="68" t="s">
        <v>720</v>
      </c>
      <c r="T138" s="67" t="s">
        <v>164</v>
      </c>
      <c r="U138" s="60"/>
      <c r="V138" s="68" t="s">
        <v>183</v>
      </c>
      <c r="W138" s="60"/>
      <c r="X138" s="60"/>
      <c r="Y138" s="60" t="s">
        <v>158</v>
      </c>
      <c r="Z138" s="60" t="s">
        <v>70</v>
      </c>
      <c r="AA138" s="60"/>
      <c r="AB138" s="60"/>
      <c r="AC138" s="60"/>
      <c r="AD138" s="60"/>
      <c r="AE138" s="69"/>
      <c r="AF138" s="17"/>
      <c r="AG138" s="17"/>
      <c r="AH138" s="17"/>
      <c r="AI138" s="17"/>
      <c r="AJ138" s="17"/>
      <c r="AK138" s="17"/>
      <c r="AL138" s="17"/>
      <c r="AM138" s="17"/>
      <c r="AN138" s="17"/>
      <c r="AO138" s="17"/>
      <c r="AP138" s="17"/>
      <c r="AQ138" s="17"/>
      <c r="AR138" s="17"/>
      <c r="AS138" s="17"/>
      <c r="AT138" s="17"/>
      <c r="AU138" s="17"/>
    </row>
    <row r="139" spans="1:47" ht="15.75" hidden="1" customHeight="1">
      <c r="A139" s="60">
        <f>ROW() - ROW(Table1[[#Headers],[s]])</f>
        <v>138</v>
      </c>
      <c r="B139" s="74" t="s">
        <v>721</v>
      </c>
      <c r="C139" s="127" t="s">
        <v>60</v>
      </c>
      <c r="D139" s="63" t="s">
        <v>722</v>
      </c>
      <c r="E139" s="60" t="e" vm="94">
        <v>#VALUE!</v>
      </c>
      <c r="F139" s="60" t="e" vm="17">
        <v>#VALUE!</v>
      </c>
      <c r="G139" s="64" t="s">
        <v>584</v>
      </c>
      <c r="H139" s="60" t="s">
        <v>152</v>
      </c>
      <c r="I139" s="61" t="s">
        <v>60</v>
      </c>
      <c r="J139" s="67" t="s">
        <v>153</v>
      </c>
      <c r="K139" s="42" t="s">
        <v>154</v>
      </c>
      <c r="L139" s="65">
        <v>46049.73541666667</v>
      </c>
      <c r="M139" s="55" t="s">
        <v>155</v>
      </c>
      <c r="N139" s="55" t="s">
        <v>155</v>
      </c>
      <c r="O139" s="64"/>
      <c r="P139" s="60"/>
      <c r="Q139" s="110"/>
      <c r="R139" s="60"/>
      <c r="S139" s="60" t="s">
        <v>712</v>
      </c>
      <c r="T139" s="67" t="s">
        <v>164</v>
      </c>
      <c r="U139" s="60"/>
      <c r="V139" s="68"/>
      <c r="W139" s="60"/>
      <c r="X139" s="60"/>
      <c r="Y139" s="60"/>
      <c r="Z139" s="60"/>
      <c r="AA139" s="60"/>
      <c r="AB139" s="60"/>
      <c r="AC139" s="60"/>
      <c r="AD139" s="60"/>
      <c r="AE139" s="69"/>
      <c r="AF139" s="17"/>
      <c r="AG139" s="17"/>
      <c r="AH139" s="17"/>
      <c r="AI139" s="17"/>
      <c r="AJ139" s="17"/>
      <c r="AK139" s="17"/>
      <c r="AL139" s="17"/>
      <c r="AM139" s="17"/>
      <c r="AN139" s="17"/>
      <c r="AO139" s="17"/>
      <c r="AP139" s="17"/>
      <c r="AQ139" s="17"/>
      <c r="AR139" s="17"/>
      <c r="AS139" s="17"/>
      <c r="AT139" s="17"/>
      <c r="AU139" s="17"/>
    </row>
    <row r="140" spans="1:47" ht="15" hidden="1" customHeight="1">
      <c r="A140" s="60">
        <f>ROW() - ROW(Table1[[#Headers],[s]])</f>
        <v>139</v>
      </c>
      <c r="B140" s="60" t="s">
        <v>723</v>
      </c>
      <c r="C140" s="61">
        <v>46023</v>
      </c>
      <c r="D140" s="63" t="s">
        <v>724</v>
      </c>
      <c r="E140" s="60" t="e" vm="9">
        <v>#VALUE!</v>
      </c>
      <c r="F140" s="60" t="e" vm="10">
        <v>#VALUE!</v>
      </c>
      <c r="G140" s="64" t="s">
        <v>200</v>
      </c>
      <c r="H140" s="60" t="s">
        <v>152</v>
      </c>
      <c r="I140" s="60" t="s">
        <v>43</v>
      </c>
      <c r="J140" s="67" t="s">
        <v>153</v>
      </c>
      <c r="K140" s="60" t="s">
        <v>154</v>
      </c>
      <c r="L140" s="65">
        <v>46049.698611111111</v>
      </c>
      <c r="M140" s="55" t="s">
        <v>78</v>
      </c>
      <c r="N140" s="55" t="s">
        <v>78</v>
      </c>
      <c r="O140" s="71">
        <v>46049.770833333336</v>
      </c>
      <c r="P140" s="72">
        <v>46049.791666666664</v>
      </c>
      <c r="Q140" s="66">
        <v>46049.8125</v>
      </c>
      <c r="R140" s="60"/>
      <c r="S140" s="68" t="s">
        <v>725</v>
      </c>
      <c r="T140" s="67" t="s">
        <v>179</v>
      </c>
      <c r="U140" s="60"/>
      <c r="V140" s="68" t="s">
        <v>374</v>
      </c>
      <c r="W140" s="60"/>
      <c r="X140" s="60"/>
      <c r="Y140" s="60" t="s">
        <v>158</v>
      </c>
      <c r="Z140" s="280" t="s">
        <v>70</v>
      </c>
      <c r="AA140" s="60"/>
      <c r="AB140" s="60"/>
      <c r="AC140" s="60"/>
      <c r="AD140" s="60"/>
      <c r="AE140" s="69"/>
      <c r="AF140" s="17"/>
      <c r="AG140" s="17"/>
      <c r="AH140" s="17"/>
      <c r="AI140" s="17"/>
      <c r="AJ140" s="17"/>
      <c r="AK140" s="17"/>
      <c r="AL140" s="17"/>
      <c r="AM140" s="17"/>
      <c r="AN140" s="17"/>
      <c r="AO140" s="17"/>
      <c r="AP140" s="17"/>
      <c r="AQ140" s="17"/>
      <c r="AR140" s="17"/>
      <c r="AS140" s="17"/>
      <c r="AT140" s="17"/>
      <c r="AU140" s="17"/>
    </row>
    <row r="141" spans="1:47" ht="15" hidden="1" customHeight="1">
      <c r="A141" s="60">
        <f>ROW() - ROW(Table1[[#Headers],[s]])</f>
        <v>140</v>
      </c>
      <c r="B141" s="60" t="s">
        <v>726</v>
      </c>
      <c r="C141" s="61">
        <v>46023</v>
      </c>
      <c r="D141" s="63" t="s">
        <v>727</v>
      </c>
      <c r="E141" s="60" t="e" vm="38">
        <v>#VALUE!</v>
      </c>
      <c r="F141" s="60" t="e" vm="10">
        <v>#VALUE!</v>
      </c>
      <c r="G141" s="64" t="s">
        <v>200</v>
      </c>
      <c r="H141" s="60" t="s">
        <v>152</v>
      </c>
      <c r="I141" s="60" t="s">
        <v>43</v>
      </c>
      <c r="J141" s="67" t="s">
        <v>153</v>
      </c>
      <c r="K141" s="60" t="s">
        <v>154</v>
      </c>
      <c r="L141" s="65">
        <v>46049.701388888891</v>
      </c>
      <c r="M141" s="55" t="s">
        <v>78</v>
      </c>
      <c r="N141" s="55" t="s">
        <v>78</v>
      </c>
      <c r="O141" s="71">
        <v>46049.833333333336</v>
      </c>
      <c r="P141" s="72">
        <v>46049.854166666664</v>
      </c>
      <c r="Q141" s="66">
        <v>46049.875</v>
      </c>
      <c r="R141" s="60"/>
      <c r="S141" s="68" t="s">
        <v>728</v>
      </c>
      <c r="T141" s="67" t="s">
        <v>179</v>
      </c>
      <c r="U141" s="60"/>
      <c r="V141" s="68" t="s">
        <v>374</v>
      </c>
      <c r="W141" s="60"/>
      <c r="X141" s="60"/>
      <c r="Y141" s="60" t="s">
        <v>158</v>
      </c>
      <c r="Z141" s="280" t="s">
        <v>70</v>
      </c>
      <c r="AA141" s="60"/>
      <c r="AB141" s="60"/>
      <c r="AC141" s="60"/>
      <c r="AD141" s="60"/>
      <c r="AE141" s="69"/>
      <c r="AF141" s="17"/>
      <c r="AG141" s="17"/>
      <c r="AH141" s="17"/>
      <c r="AI141" s="17"/>
      <c r="AJ141" s="17"/>
      <c r="AK141" s="17"/>
      <c r="AL141" s="17"/>
      <c r="AM141" s="17"/>
      <c r="AN141" s="17"/>
      <c r="AO141" s="17"/>
      <c r="AP141" s="17"/>
      <c r="AQ141" s="17"/>
      <c r="AR141" s="17"/>
      <c r="AS141" s="17"/>
      <c r="AT141" s="17"/>
      <c r="AU141" s="17"/>
    </row>
    <row r="142" spans="1:47" ht="15" hidden="1" customHeight="1">
      <c r="A142" s="60">
        <f>ROW() - ROW(Table1[[#Headers],[s]])</f>
        <v>141</v>
      </c>
      <c r="B142" s="60" t="s">
        <v>729</v>
      </c>
      <c r="C142" s="61">
        <v>46023</v>
      </c>
      <c r="D142" s="63" t="s">
        <v>730</v>
      </c>
      <c r="E142" s="60" t="e" vm="96">
        <v>#VALUE!</v>
      </c>
      <c r="F142" s="60" t="e" vm="25">
        <v>#VALUE!</v>
      </c>
      <c r="G142" s="64" t="s">
        <v>200</v>
      </c>
      <c r="H142" s="60" t="s">
        <v>152</v>
      </c>
      <c r="I142" s="60" t="s">
        <v>43</v>
      </c>
      <c r="J142" s="67" t="s">
        <v>153</v>
      </c>
      <c r="K142" s="60" t="s">
        <v>154</v>
      </c>
      <c r="L142" s="65">
        <v>46049.70416666667</v>
      </c>
      <c r="M142" s="67" t="s">
        <v>731</v>
      </c>
      <c r="N142" s="67" t="s">
        <v>731</v>
      </c>
      <c r="O142" s="71">
        <v>46049.979166666664</v>
      </c>
      <c r="P142" s="72">
        <v>46050.006944444445</v>
      </c>
      <c r="Q142" s="66">
        <v>46050.020833333336</v>
      </c>
      <c r="R142" s="60"/>
      <c r="S142" s="68" t="s">
        <v>732</v>
      </c>
      <c r="T142" s="67" t="s">
        <v>179</v>
      </c>
      <c r="U142" s="60"/>
      <c r="V142" s="68" t="s">
        <v>733</v>
      </c>
      <c r="W142" s="60"/>
      <c r="X142" s="60"/>
      <c r="Y142" s="60" t="s">
        <v>158</v>
      </c>
      <c r="Z142" s="280" t="s">
        <v>70</v>
      </c>
      <c r="AA142" s="60"/>
      <c r="AB142" s="60"/>
      <c r="AC142" s="60"/>
      <c r="AD142" s="60"/>
      <c r="AE142" s="69"/>
      <c r="AF142" s="17"/>
      <c r="AG142" s="17"/>
      <c r="AH142" s="17"/>
      <c r="AI142" s="17"/>
      <c r="AJ142" s="17"/>
      <c r="AK142" s="17"/>
      <c r="AL142" s="17"/>
      <c r="AM142" s="17"/>
      <c r="AN142" s="17"/>
      <c r="AO142" s="17"/>
      <c r="AP142" s="17"/>
      <c r="AQ142" s="17"/>
      <c r="AR142" s="17"/>
      <c r="AS142" s="17"/>
      <c r="AT142" s="17"/>
      <c r="AU142" s="17"/>
    </row>
    <row r="143" spans="1:47" ht="15" hidden="1" customHeight="1">
      <c r="A143" s="60">
        <f>ROW() - ROW(Table1[[#Headers],[s]])</f>
        <v>142</v>
      </c>
      <c r="B143" s="60" t="s">
        <v>734</v>
      </c>
      <c r="C143" s="61" t="s">
        <v>60</v>
      </c>
      <c r="D143" s="63" t="s">
        <v>735</v>
      </c>
      <c r="E143" s="60" t="e" vm="97">
        <v>#VALUE!</v>
      </c>
      <c r="F143" s="60" t="e" vm="42">
        <v>#VALUE!</v>
      </c>
      <c r="G143" s="64" t="s">
        <v>200</v>
      </c>
      <c r="H143" s="60" t="s">
        <v>240</v>
      </c>
      <c r="I143" s="94" t="s">
        <v>60</v>
      </c>
      <c r="J143" s="67" t="s">
        <v>253</v>
      </c>
      <c r="K143" s="60" t="s">
        <v>736</v>
      </c>
      <c r="L143" s="65">
        <v>46049.519444444442</v>
      </c>
      <c r="M143" s="67" t="s">
        <v>227</v>
      </c>
      <c r="N143" s="67" t="s">
        <v>227</v>
      </c>
      <c r="O143" s="71">
        <v>46049.519444444442</v>
      </c>
      <c r="P143" s="72">
        <v>46049.519444444442</v>
      </c>
      <c r="Q143" s="66">
        <v>46049.722916666666</v>
      </c>
      <c r="R143" s="60"/>
      <c r="S143" s="68" t="s">
        <v>737</v>
      </c>
      <c r="T143" s="67" t="s">
        <v>738</v>
      </c>
      <c r="U143" s="60"/>
      <c r="V143" s="68" t="s">
        <v>739</v>
      </c>
      <c r="W143" s="60"/>
      <c r="X143" s="60"/>
      <c r="Y143" s="60" t="s">
        <v>179</v>
      </c>
      <c r="Z143" s="60" t="s">
        <v>179</v>
      </c>
      <c r="AA143" s="60"/>
      <c r="AB143" s="60"/>
      <c r="AC143" s="60"/>
      <c r="AD143" s="60"/>
      <c r="AE143" s="69"/>
      <c r="AF143" s="17"/>
      <c r="AG143" s="17"/>
      <c r="AH143" s="17"/>
      <c r="AI143" s="17"/>
      <c r="AJ143" s="17"/>
      <c r="AK143" s="17"/>
      <c r="AL143" s="17"/>
      <c r="AM143" s="17"/>
      <c r="AN143" s="17"/>
      <c r="AO143" s="17"/>
      <c r="AP143" s="17"/>
      <c r="AQ143" s="17"/>
      <c r="AR143" s="17"/>
      <c r="AS143" s="17"/>
      <c r="AT143" s="17"/>
      <c r="AU143" s="17"/>
    </row>
    <row r="144" spans="1:47" s="464" customFormat="1" ht="15" hidden="1" customHeight="1">
      <c r="A144" s="463">
        <f>ROW() - ROW(Table1[[#Headers],[s]])</f>
        <v>143</v>
      </c>
      <c r="B144" s="463" t="s">
        <v>740</v>
      </c>
      <c r="C144" s="476">
        <v>46023</v>
      </c>
      <c r="D144" s="477" t="s">
        <v>741</v>
      </c>
      <c r="E144" s="463" t="e" vm="53">
        <v>#VALUE!</v>
      </c>
      <c r="F144" s="463" t="e" vm="12">
        <v>#VALUE!</v>
      </c>
      <c r="G144" s="485" t="s">
        <v>200</v>
      </c>
      <c r="H144" s="463" t="s">
        <v>240</v>
      </c>
      <c r="I144" s="463" t="s">
        <v>43</v>
      </c>
      <c r="J144" s="480" t="s">
        <v>253</v>
      </c>
      <c r="K144" s="463" t="s">
        <v>742</v>
      </c>
      <c r="L144" s="481">
        <v>46049.538194444445</v>
      </c>
      <c r="M144" s="480" t="s">
        <v>731</v>
      </c>
      <c r="N144" s="480" t="s">
        <v>731</v>
      </c>
      <c r="O144" s="486">
        <v>46049.625</v>
      </c>
      <c r="P144" s="487">
        <v>46049.666666666664</v>
      </c>
      <c r="Q144" s="488">
        <v>46049.804166666669</v>
      </c>
      <c r="R144" s="463"/>
      <c r="S144" s="482" t="s">
        <v>743</v>
      </c>
      <c r="T144" s="480" t="s">
        <v>478</v>
      </c>
      <c r="U144" s="463"/>
      <c r="V144" s="482" t="s">
        <v>744</v>
      </c>
      <c r="W144" s="463"/>
      <c r="X144" s="463"/>
      <c r="Y144" s="463" t="s">
        <v>158</v>
      </c>
      <c r="Z144" s="463" t="s">
        <v>67</v>
      </c>
      <c r="AA144" s="463"/>
      <c r="AB144" s="463"/>
      <c r="AC144" s="463"/>
      <c r="AD144" s="463"/>
      <c r="AE144" s="483"/>
      <c r="AF144" s="484"/>
      <c r="AG144" s="484"/>
      <c r="AH144" s="484"/>
      <c r="AI144" s="484"/>
      <c r="AJ144" s="484"/>
      <c r="AK144" s="484"/>
      <c r="AL144" s="484"/>
      <c r="AM144" s="484"/>
      <c r="AN144" s="484"/>
      <c r="AO144" s="484"/>
      <c r="AP144" s="484"/>
      <c r="AQ144" s="484"/>
      <c r="AR144" s="484"/>
      <c r="AS144" s="484"/>
      <c r="AT144" s="484"/>
      <c r="AU144" s="484"/>
    </row>
    <row r="145" spans="1:47" ht="15" hidden="1" customHeight="1">
      <c r="A145" s="60">
        <f>ROW() - ROW(Table1[[#Headers],[s]])</f>
        <v>144</v>
      </c>
      <c r="B145" s="60" t="s">
        <v>745</v>
      </c>
      <c r="C145" s="61">
        <v>46023</v>
      </c>
      <c r="D145" s="63" t="s">
        <v>746</v>
      </c>
      <c r="E145" s="60" t="e" vm="77">
        <v>#VALUE!</v>
      </c>
      <c r="F145" s="60" t="e" vm="46">
        <v>#VALUE!</v>
      </c>
      <c r="G145" s="64" t="s">
        <v>200</v>
      </c>
      <c r="H145" s="60" t="s">
        <v>747</v>
      </c>
      <c r="I145" s="60" t="s">
        <v>43</v>
      </c>
      <c r="J145" s="67" t="s">
        <v>253</v>
      </c>
      <c r="K145" s="60" t="s">
        <v>154</v>
      </c>
      <c r="L145" s="65">
        <v>46049.475694444445</v>
      </c>
      <c r="M145" s="67" t="s">
        <v>59</v>
      </c>
      <c r="N145" s="67" t="s">
        <v>59</v>
      </c>
      <c r="O145" s="71">
        <v>46049.486111111109</v>
      </c>
      <c r="P145" s="72">
        <v>46049.486111111109</v>
      </c>
      <c r="Q145" s="66">
        <v>46049.489583333336</v>
      </c>
      <c r="R145" s="60"/>
      <c r="S145" s="68" t="s">
        <v>748</v>
      </c>
      <c r="T145" s="67" t="s">
        <v>478</v>
      </c>
      <c r="U145" s="60"/>
      <c r="V145" s="68" t="s">
        <v>749</v>
      </c>
      <c r="W145" s="60"/>
      <c r="X145" s="60"/>
      <c r="Y145" s="60" t="s">
        <v>203</v>
      </c>
      <c r="Z145" s="60" t="s">
        <v>70</v>
      </c>
      <c r="AA145" s="60"/>
      <c r="AB145" s="60"/>
      <c r="AC145" s="60"/>
      <c r="AD145" s="60"/>
      <c r="AE145" s="69"/>
      <c r="AF145" s="17"/>
      <c r="AG145" s="17"/>
      <c r="AH145" s="17"/>
      <c r="AI145" s="17"/>
      <c r="AJ145" s="17"/>
      <c r="AK145" s="17"/>
      <c r="AL145" s="17"/>
      <c r="AM145" s="17"/>
      <c r="AN145" s="17"/>
      <c r="AO145" s="17"/>
      <c r="AP145" s="17"/>
      <c r="AQ145" s="17"/>
      <c r="AR145" s="17"/>
      <c r="AS145" s="17"/>
      <c r="AT145" s="17"/>
      <c r="AU145" s="17"/>
    </row>
    <row r="146" spans="1:47" ht="15" hidden="1" customHeight="1">
      <c r="A146" s="60">
        <f>ROW() - ROW(Table1[[#Headers],[s]])</f>
        <v>145</v>
      </c>
      <c r="B146" s="60" t="s">
        <v>750</v>
      </c>
      <c r="C146" s="61">
        <v>46023</v>
      </c>
      <c r="D146" s="63" t="s">
        <v>751</v>
      </c>
      <c r="E146" s="60" t="e" vm="53">
        <v>#VALUE!</v>
      </c>
      <c r="F146" s="60" t="e" vm="12">
        <v>#VALUE!</v>
      </c>
      <c r="G146" s="64" t="s">
        <v>200</v>
      </c>
      <c r="H146" s="60" t="s">
        <v>240</v>
      </c>
      <c r="I146" s="60" t="s">
        <v>43</v>
      </c>
      <c r="J146" s="67" t="s">
        <v>253</v>
      </c>
      <c r="K146" s="60" t="s">
        <v>154</v>
      </c>
      <c r="L146" s="65">
        <v>46049.657638888886</v>
      </c>
      <c r="M146" s="67" t="s">
        <v>731</v>
      </c>
      <c r="N146" s="67" t="s">
        <v>731</v>
      </c>
      <c r="O146" s="71">
        <v>46049.90625</v>
      </c>
      <c r="P146" s="72">
        <v>46049.916666666664</v>
      </c>
      <c r="Q146" s="66">
        <v>46049.9375</v>
      </c>
      <c r="R146" s="60"/>
      <c r="S146" s="68" t="s">
        <v>752</v>
      </c>
      <c r="T146" s="67" t="s">
        <v>179</v>
      </c>
      <c r="U146" s="60"/>
      <c r="V146" s="68" t="s">
        <v>753</v>
      </c>
      <c r="W146" s="60"/>
      <c r="X146" s="60"/>
      <c r="Y146" s="60" t="s">
        <v>158</v>
      </c>
      <c r="Z146" s="60" t="s">
        <v>70</v>
      </c>
      <c r="AA146" s="60"/>
      <c r="AB146" s="60"/>
      <c r="AC146" s="60"/>
      <c r="AD146" s="60"/>
      <c r="AE146" s="69"/>
      <c r="AF146" s="17"/>
      <c r="AG146" s="17"/>
      <c r="AH146" s="17"/>
      <c r="AI146" s="17"/>
      <c r="AJ146" s="17"/>
      <c r="AK146" s="17"/>
      <c r="AL146" s="17"/>
      <c r="AM146" s="17"/>
      <c r="AN146" s="17"/>
      <c r="AO146" s="17"/>
      <c r="AP146" s="17"/>
      <c r="AQ146" s="17"/>
      <c r="AR146" s="17"/>
      <c r="AS146" s="17"/>
      <c r="AT146" s="17"/>
      <c r="AU146" s="17"/>
    </row>
    <row r="147" spans="1:47" ht="15" hidden="1" customHeight="1">
      <c r="A147" s="60">
        <f>ROW() - ROW(Table1[[#Headers],[s]])</f>
        <v>146</v>
      </c>
      <c r="B147" s="60" t="s">
        <v>754</v>
      </c>
      <c r="C147" s="61">
        <v>46023</v>
      </c>
      <c r="D147" s="63" t="s">
        <v>755</v>
      </c>
      <c r="E147" s="60" t="s">
        <v>756</v>
      </c>
      <c r="F147" s="60" t="e" vm="10">
        <v>#VALUE!</v>
      </c>
      <c r="G147" s="64" t="s">
        <v>584</v>
      </c>
      <c r="H147" s="60" t="s">
        <v>240</v>
      </c>
      <c r="I147" s="42" t="s">
        <v>175</v>
      </c>
      <c r="J147" s="67" t="s">
        <v>253</v>
      </c>
      <c r="K147" s="60" t="s">
        <v>154</v>
      </c>
      <c r="L147" s="65">
        <v>46050.5625</v>
      </c>
      <c r="M147" s="55" t="s">
        <v>78</v>
      </c>
      <c r="N147" s="55" t="s">
        <v>78</v>
      </c>
      <c r="O147" s="65">
        <v>46050.645833333336</v>
      </c>
      <c r="P147" s="65">
        <v>46050.6875</v>
      </c>
      <c r="Q147" s="66">
        <v>46050.772916666669</v>
      </c>
      <c r="R147" s="60"/>
      <c r="S147" s="68" t="s">
        <v>757</v>
      </c>
      <c r="T147" s="67" t="s">
        <v>164</v>
      </c>
      <c r="U147" s="60"/>
      <c r="V147" s="68" t="s">
        <v>758</v>
      </c>
      <c r="W147" s="60"/>
      <c r="X147" s="60"/>
      <c r="Y147" s="60" t="s">
        <v>158</v>
      </c>
      <c r="Z147" s="60" t="s">
        <v>70</v>
      </c>
      <c r="AA147" s="60"/>
      <c r="AB147" s="60"/>
      <c r="AC147" s="60"/>
      <c r="AD147" s="60"/>
      <c r="AE147" s="69"/>
      <c r="AF147" s="17"/>
      <c r="AG147" s="17"/>
      <c r="AH147" s="17"/>
      <c r="AI147" s="17"/>
      <c r="AJ147" s="17"/>
      <c r="AK147" s="17"/>
      <c r="AL147" s="17"/>
      <c r="AM147" s="17"/>
      <c r="AN147" s="17"/>
      <c r="AO147" s="17"/>
      <c r="AP147" s="17"/>
      <c r="AQ147" s="17"/>
      <c r="AR147" s="17"/>
      <c r="AS147" s="17"/>
      <c r="AT147" s="17"/>
      <c r="AU147" s="17"/>
    </row>
    <row r="148" spans="1:47" ht="15" hidden="1" customHeight="1">
      <c r="A148" s="60">
        <f>ROW() - ROW(Table1[[#Headers],[s]])</f>
        <v>147</v>
      </c>
      <c r="B148" s="60" t="s">
        <v>759</v>
      </c>
      <c r="C148" s="61">
        <v>46023</v>
      </c>
      <c r="D148" s="63" t="s">
        <v>760</v>
      </c>
      <c r="E148" s="60" t="e" vm="9">
        <v>#VALUE!</v>
      </c>
      <c r="F148" s="60" t="e" vm="10">
        <v>#VALUE!</v>
      </c>
      <c r="G148" s="64" t="s">
        <v>36</v>
      </c>
      <c r="H148" s="60" t="s">
        <v>152</v>
      </c>
      <c r="I148" s="42" t="s">
        <v>43</v>
      </c>
      <c r="J148" s="67" t="s">
        <v>153</v>
      </c>
      <c r="K148" s="60" t="s">
        <v>154</v>
      </c>
      <c r="L148" s="65">
        <v>46050.714583333334</v>
      </c>
      <c r="M148" s="55" t="s">
        <v>78</v>
      </c>
      <c r="N148" s="55" t="s">
        <v>78</v>
      </c>
      <c r="O148" s="64"/>
      <c r="P148" s="60"/>
      <c r="Q148" s="66">
        <v>46051.458333333336</v>
      </c>
      <c r="R148" s="60"/>
      <c r="S148" s="68" t="s">
        <v>535</v>
      </c>
      <c r="T148" s="67" t="s">
        <v>164</v>
      </c>
      <c r="U148" s="60"/>
      <c r="V148" s="68" t="s">
        <v>761</v>
      </c>
      <c r="W148" s="60"/>
      <c r="X148" s="60"/>
      <c r="Y148" s="60" t="s">
        <v>158</v>
      </c>
      <c r="Z148" s="60" t="s">
        <v>70</v>
      </c>
      <c r="AA148" s="60"/>
      <c r="AB148" s="60"/>
      <c r="AC148" s="60"/>
      <c r="AD148" s="60"/>
      <c r="AE148" s="69"/>
      <c r="AF148" s="17"/>
      <c r="AG148" s="17"/>
      <c r="AH148" s="17"/>
      <c r="AI148" s="17"/>
      <c r="AJ148" s="17"/>
      <c r="AK148" s="17"/>
      <c r="AL148" s="17"/>
      <c r="AM148" s="17"/>
      <c r="AN148" s="17"/>
      <c r="AO148" s="17"/>
      <c r="AP148" s="17"/>
      <c r="AQ148" s="17"/>
      <c r="AR148" s="17"/>
      <c r="AS148" s="17"/>
      <c r="AT148" s="17"/>
      <c r="AU148" s="17"/>
    </row>
    <row r="149" spans="1:47" ht="15.75" hidden="1" customHeight="1">
      <c r="A149" s="60">
        <f>ROW() - ROW(Table1[[#Headers],[s]])</f>
        <v>148</v>
      </c>
      <c r="B149" s="74" t="s">
        <v>762</v>
      </c>
      <c r="C149" s="61">
        <v>46023</v>
      </c>
      <c r="D149" s="63" t="s">
        <v>763</v>
      </c>
      <c r="E149" s="60" t="e" vm="85">
        <v>#VALUE!</v>
      </c>
      <c r="F149" s="60" t="e" vm="5">
        <v>#VALUE!</v>
      </c>
      <c r="G149" s="64" t="s">
        <v>36</v>
      </c>
      <c r="H149" s="60" t="s">
        <v>152</v>
      </c>
      <c r="I149" s="42" t="s">
        <v>43</v>
      </c>
      <c r="J149" s="67" t="s">
        <v>153</v>
      </c>
      <c r="K149" s="60" t="s">
        <v>154</v>
      </c>
      <c r="L149" s="65">
        <v>46050.689583333333</v>
      </c>
      <c r="M149" s="67" t="s">
        <v>55</v>
      </c>
      <c r="N149" s="67" t="s">
        <v>55</v>
      </c>
      <c r="O149" s="64"/>
      <c r="P149" s="60"/>
      <c r="Q149" s="66">
        <v>46051.486111111109</v>
      </c>
      <c r="R149" s="60"/>
      <c r="S149" s="68" t="s">
        <v>764</v>
      </c>
      <c r="T149" s="67" t="s">
        <v>164</v>
      </c>
      <c r="U149" s="60"/>
      <c r="V149" s="68" t="s">
        <v>764</v>
      </c>
      <c r="W149" s="60"/>
      <c r="X149" s="60"/>
      <c r="Y149" s="60" t="s">
        <v>203</v>
      </c>
      <c r="Z149" s="60" t="s">
        <v>70</v>
      </c>
      <c r="AA149" s="60"/>
      <c r="AB149" s="60"/>
      <c r="AC149" s="60"/>
      <c r="AD149" s="60"/>
      <c r="AE149" s="69"/>
      <c r="AF149" s="17"/>
      <c r="AG149" s="17"/>
      <c r="AH149" s="17"/>
      <c r="AI149" s="17"/>
      <c r="AJ149" s="17"/>
      <c r="AK149" s="17"/>
      <c r="AL149" s="17"/>
      <c r="AM149" s="17"/>
      <c r="AN149" s="17"/>
      <c r="AO149" s="17"/>
      <c r="AP149" s="17"/>
      <c r="AQ149" s="17"/>
      <c r="AR149" s="17"/>
      <c r="AS149" s="17"/>
      <c r="AT149" s="17"/>
      <c r="AU149" s="17"/>
    </row>
    <row r="150" spans="1:47" ht="15.75" hidden="1" customHeight="1">
      <c r="A150" s="60">
        <f>ROW() - ROW(Table1[[#Headers],[s]])</f>
        <v>149</v>
      </c>
      <c r="B150" s="74" t="s">
        <v>765</v>
      </c>
      <c r="C150" s="61">
        <v>46023</v>
      </c>
      <c r="D150" s="63" t="s">
        <v>766</v>
      </c>
      <c r="E150" s="60" t="e" vm="85">
        <v>#VALUE!</v>
      </c>
      <c r="F150" s="60" t="e" vm="5">
        <v>#VALUE!</v>
      </c>
      <c r="G150" s="64" t="s">
        <v>36</v>
      </c>
      <c r="H150" s="60" t="s">
        <v>152</v>
      </c>
      <c r="I150" s="42" t="s">
        <v>43</v>
      </c>
      <c r="J150" s="67" t="s">
        <v>153</v>
      </c>
      <c r="K150" s="60" t="s">
        <v>154</v>
      </c>
      <c r="L150" s="65">
        <v>46050.95416666667</v>
      </c>
      <c r="M150" s="67" t="s">
        <v>55</v>
      </c>
      <c r="N150" s="67" t="s">
        <v>55</v>
      </c>
      <c r="O150" s="64"/>
      <c r="P150" s="60"/>
      <c r="Q150" s="121">
        <v>46051.458333333336</v>
      </c>
      <c r="R150" s="60"/>
      <c r="S150" s="68" t="s">
        <v>767</v>
      </c>
      <c r="T150" s="67" t="s">
        <v>164</v>
      </c>
      <c r="U150" s="60"/>
      <c r="V150" s="68" t="s">
        <v>768</v>
      </c>
      <c r="W150" s="60"/>
      <c r="X150" s="60"/>
      <c r="Y150" s="60" t="s">
        <v>203</v>
      </c>
      <c r="Z150" s="60" t="s">
        <v>70</v>
      </c>
      <c r="AA150" s="60"/>
      <c r="AB150" s="60"/>
      <c r="AC150" s="60"/>
      <c r="AD150" s="60"/>
      <c r="AE150" s="69"/>
      <c r="AF150" s="17"/>
      <c r="AG150" s="17"/>
      <c r="AH150" s="17"/>
      <c r="AI150" s="17"/>
      <c r="AJ150" s="17"/>
      <c r="AK150" s="17"/>
      <c r="AL150" s="17"/>
      <c r="AM150" s="17"/>
      <c r="AN150" s="17"/>
      <c r="AO150" s="17"/>
      <c r="AP150" s="17"/>
      <c r="AQ150" s="17"/>
      <c r="AR150" s="17"/>
      <c r="AS150" s="17"/>
      <c r="AT150" s="17"/>
      <c r="AU150" s="17"/>
    </row>
    <row r="151" spans="1:47" ht="15" hidden="1" customHeight="1">
      <c r="A151" s="60">
        <f>ROW() - ROW(Table1[[#Headers],[s]])</f>
        <v>150</v>
      </c>
      <c r="B151" s="60" t="s">
        <v>769</v>
      </c>
      <c r="C151" s="61">
        <v>46023</v>
      </c>
      <c r="D151" s="63" t="s">
        <v>770</v>
      </c>
      <c r="E151" s="60" t="e" vm="98">
        <v>#VALUE!</v>
      </c>
      <c r="F151" s="60" t="e" vm="2">
        <v>#VALUE!</v>
      </c>
      <c r="G151" s="64" t="s">
        <v>42</v>
      </c>
      <c r="H151" s="60" t="s">
        <v>152</v>
      </c>
      <c r="I151" s="60" t="s">
        <v>43</v>
      </c>
      <c r="J151" s="67" t="s">
        <v>153</v>
      </c>
      <c r="K151" s="60" t="s">
        <v>154</v>
      </c>
      <c r="L151" s="65">
        <v>46051.395960648151</v>
      </c>
      <c r="M151" s="55" t="s">
        <v>162</v>
      </c>
      <c r="N151" s="55" t="s">
        <v>162</v>
      </c>
      <c r="O151" s="64"/>
      <c r="P151" s="60"/>
      <c r="Q151" s="66">
        <v>46051.527777777781</v>
      </c>
      <c r="R151" s="60"/>
      <c r="S151" s="68" t="s">
        <v>771</v>
      </c>
      <c r="T151" s="67" t="s">
        <v>164</v>
      </c>
      <c r="U151" s="60"/>
      <c r="V151" s="68" t="s">
        <v>772</v>
      </c>
      <c r="W151" s="60"/>
      <c r="X151" s="60"/>
      <c r="Y151" s="60" t="s">
        <v>203</v>
      </c>
      <c r="Z151" s="60" t="s">
        <v>70</v>
      </c>
      <c r="AA151" s="60"/>
      <c r="AB151" s="60"/>
      <c r="AC151" s="60"/>
      <c r="AD151" s="60"/>
      <c r="AE151" s="69"/>
      <c r="AF151" s="17"/>
      <c r="AG151" s="17"/>
      <c r="AH151" s="17"/>
      <c r="AI151" s="17"/>
      <c r="AJ151" s="17"/>
      <c r="AK151" s="17"/>
      <c r="AL151" s="17"/>
      <c r="AM151" s="17"/>
      <c r="AN151" s="17"/>
      <c r="AO151" s="17"/>
      <c r="AP151" s="17"/>
      <c r="AQ151" s="17"/>
      <c r="AR151" s="17"/>
      <c r="AS151" s="17"/>
      <c r="AT151" s="17"/>
      <c r="AU151" s="17"/>
    </row>
    <row r="152" spans="1:47" ht="15" hidden="1" customHeight="1">
      <c r="A152" s="60">
        <f>ROW() - ROW(Table1[[#Headers],[s]])</f>
        <v>151</v>
      </c>
      <c r="B152" s="60" t="s">
        <v>773</v>
      </c>
      <c r="C152" s="61">
        <v>46023</v>
      </c>
      <c r="D152" s="63" t="s">
        <v>774</v>
      </c>
      <c r="E152" s="60" t="e" vm="77">
        <v>#VALUE!</v>
      </c>
      <c r="F152" s="60" t="e" vm="46">
        <v>#VALUE!</v>
      </c>
      <c r="G152" s="64" t="s">
        <v>36</v>
      </c>
      <c r="H152" s="60" t="s">
        <v>240</v>
      </c>
      <c r="I152" s="42" t="s">
        <v>43</v>
      </c>
      <c r="J152" s="67" t="s">
        <v>253</v>
      </c>
      <c r="K152" s="60" t="s">
        <v>154</v>
      </c>
      <c r="L152" s="65">
        <v>46051.621527777781</v>
      </c>
      <c r="M152" s="67" t="s">
        <v>81</v>
      </c>
      <c r="N152" s="67" t="s">
        <v>81</v>
      </c>
      <c r="O152" s="64"/>
      <c r="P152" s="60"/>
      <c r="Q152" s="66">
        <v>46051.745833333334</v>
      </c>
      <c r="R152" s="60"/>
      <c r="S152" s="68" t="s">
        <v>775</v>
      </c>
      <c r="T152" s="67" t="s">
        <v>164</v>
      </c>
      <c r="U152" s="60"/>
      <c r="V152" s="68" t="s">
        <v>776</v>
      </c>
      <c r="W152" s="60"/>
      <c r="X152" s="60"/>
      <c r="Y152" s="60" t="s">
        <v>203</v>
      </c>
      <c r="Z152" s="60" t="s">
        <v>70</v>
      </c>
      <c r="AA152" s="60"/>
      <c r="AB152" s="60"/>
      <c r="AC152" s="60"/>
      <c r="AD152" s="60"/>
      <c r="AE152" s="69"/>
      <c r="AF152" s="17"/>
      <c r="AG152" s="17"/>
      <c r="AH152" s="17"/>
      <c r="AI152" s="17"/>
      <c r="AJ152" s="17"/>
      <c r="AK152" s="17"/>
      <c r="AL152" s="17"/>
      <c r="AM152" s="17"/>
      <c r="AN152" s="17"/>
      <c r="AO152" s="17"/>
      <c r="AP152" s="17"/>
      <c r="AQ152" s="17"/>
      <c r="AR152" s="17"/>
      <c r="AS152" s="17"/>
      <c r="AT152" s="17"/>
      <c r="AU152" s="17"/>
    </row>
    <row r="153" spans="1:47" ht="15" hidden="1" customHeight="1">
      <c r="A153" s="60">
        <f>ROW() - ROW(Table1[[#Headers],[s]])</f>
        <v>152</v>
      </c>
      <c r="B153" s="126" t="s">
        <v>777</v>
      </c>
      <c r="C153" s="61">
        <v>46023</v>
      </c>
      <c r="D153" s="63" t="s">
        <v>778</v>
      </c>
      <c r="E153" s="60" t="e" vm="99">
        <v>#VALUE!</v>
      </c>
      <c r="F153" s="60" t="e" vm="35">
        <v>#VALUE!</v>
      </c>
      <c r="G153" s="64" t="s">
        <v>36</v>
      </c>
      <c r="H153" s="60" t="s">
        <v>152</v>
      </c>
      <c r="I153" s="42" t="s">
        <v>43</v>
      </c>
      <c r="J153" s="67" t="s">
        <v>153</v>
      </c>
      <c r="K153" s="60" t="s">
        <v>154</v>
      </c>
      <c r="L153" s="65">
        <v>46051.768055555556</v>
      </c>
      <c r="M153" s="67" t="s">
        <v>72</v>
      </c>
      <c r="N153" s="67" t="s">
        <v>779</v>
      </c>
      <c r="O153" s="64"/>
      <c r="P153" s="60"/>
      <c r="Q153" s="66">
        <v>46051.993055555555</v>
      </c>
      <c r="R153" s="60"/>
      <c r="S153" s="68" t="s">
        <v>780</v>
      </c>
      <c r="T153" s="67" t="s">
        <v>164</v>
      </c>
      <c r="U153" s="60"/>
      <c r="V153" s="68" t="s">
        <v>781</v>
      </c>
      <c r="W153" s="60"/>
      <c r="X153" s="60"/>
      <c r="Y153" s="60" t="s">
        <v>203</v>
      </c>
      <c r="Z153" s="60" t="s">
        <v>70</v>
      </c>
      <c r="AA153" s="60"/>
      <c r="AB153" s="60"/>
      <c r="AC153" s="60"/>
      <c r="AD153" s="60"/>
      <c r="AE153" s="69"/>
      <c r="AF153" s="17"/>
      <c r="AG153" s="17"/>
      <c r="AH153" s="17"/>
      <c r="AI153" s="17"/>
      <c r="AJ153" s="17"/>
      <c r="AK153" s="17"/>
      <c r="AL153" s="17"/>
      <c r="AM153" s="17"/>
      <c r="AN153" s="17"/>
      <c r="AO153" s="17"/>
      <c r="AP153" s="17"/>
      <c r="AQ153" s="17"/>
      <c r="AR153" s="17"/>
      <c r="AS153" s="17"/>
      <c r="AT153" s="17"/>
      <c r="AU153" s="17"/>
    </row>
    <row r="154" spans="1:47" ht="15" hidden="1" customHeight="1">
      <c r="A154" s="60">
        <f>ROW() - ROW(Table1[[#Headers],[s]])</f>
        <v>153</v>
      </c>
      <c r="B154" s="60" t="s">
        <v>782</v>
      </c>
      <c r="C154" s="75">
        <v>46054</v>
      </c>
      <c r="D154" s="52" t="s">
        <v>783</v>
      </c>
      <c r="E154" s="60" t="e" vm="100">
        <v>#VALUE!</v>
      </c>
      <c r="F154" s="60" t="e" vm="21">
        <v>#VALUE!</v>
      </c>
      <c r="G154" s="64" t="s">
        <v>151</v>
      </c>
      <c r="H154" s="60" t="s">
        <v>152</v>
      </c>
      <c r="I154" s="70" t="s">
        <v>43</v>
      </c>
      <c r="J154" s="67" t="s">
        <v>153</v>
      </c>
      <c r="K154" s="60" t="s">
        <v>154</v>
      </c>
      <c r="L154" s="65">
        <v>46052.60833333333</v>
      </c>
      <c r="M154" s="67" t="s">
        <v>39</v>
      </c>
      <c r="N154" s="67" t="s">
        <v>39</v>
      </c>
      <c r="O154" s="71">
        <v>46052.63958333333</v>
      </c>
      <c r="P154" s="72">
        <v>46052.643055555556</v>
      </c>
      <c r="Q154" s="66">
        <v>46052.707638888889</v>
      </c>
      <c r="R154" s="60"/>
      <c r="S154" s="68" t="s">
        <v>784</v>
      </c>
      <c r="T154" s="67" t="s">
        <v>164</v>
      </c>
      <c r="U154" s="60"/>
      <c r="V154" s="68" t="s">
        <v>785</v>
      </c>
      <c r="W154" s="60"/>
      <c r="X154" s="60"/>
      <c r="Y154" s="60" t="s">
        <v>203</v>
      </c>
      <c r="Z154" s="60" t="s">
        <v>70</v>
      </c>
      <c r="AA154" s="60"/>
      <c r="AB154" s="60"/>
      <c r="AC154" s="60"/>
      <c r="AD154" s="60"/>
      <c r="AE154" s="69"/>
      <c r="AF154" s="17"/>
      <c r="AG154" s="17"/>
      <c r="AH154" s="17"/>
      <c r="AI154" s="17"/>
      <c r="AJ154" s="17"/>
      <c r="AK154" s="17"/>
      <c r="AL154" s="17"/>
      <c r="AM154" s="17"/>
      <c r="AN154" s="17"/>
      <c r="AO154" s="17"/>
      <c r="AP154" s="17"/>
      <c r="AQ154" s="17"/>
      <c r="AR154" s="17"/>
      <c r="AS154" s="17"/>
      <c r="AT154" s="17"/>
      <c r="AU154" s="17"/>
    </row>
    <row r="155" spans="1:47" ht="15" customHeight="1">
      <c r="A155" s="60">
        <f>ROW() - ROW(Table1[[#Headers],[s]])</f>
        <v>154</v>
      </c>
      <c r="B155" s="60" t="s">
        <v>786</v>
      </c>
      <c r="C155" s="75">
        <v>46054</v>
      </c>
      <c r="D155" s="63" t="s">
        <v>787</v>
      </c>
      <c r="E155" s="60" t="e" vm="101">
        <v>#VALUE!</v>
      </c>
      <c r="F155" s="60" t="e" vm="2">
        <v>#VALUE!</v>
      </c>
      <c r="G155" s="64" t="s">
        <v>83</v>
      </c>
      <c r="H155" s="60" t="s">
        <v>152</v>
      </c>
      <c r="I155" s="42" t="s">
        <v>43</v>
      </c>
      <c r="J155" s="67" t="s">
        <v>153</v>
      </c>
      <c r="K155" s="60" t="s">
        <v>154</v>
      </c>
      <c r="L155" s="65">
        <v>46052.629166666666</v>
      </c>
      <c r="M155" s="55" t="s">
        <v>162</v>
      </c>
      <c r="N155" s="55" t="s">
        <v>162</v>
      </c>
      <c r="O155" s="71">
        <v>46053.458333333336</v>
      </c>
      <c r="P155" s="72">
        <v>46053.465277777781</v>
      </c>
      <c r="Q155" s="66">
        <v>46053.535416666666</v>
      </c>
      <c r="R155" s="60"/>
      <c r="S155" s="68" t="s">
        <v>788</v>
      </c>
      <c r="T155" s="67" t="s">
        <v>164</v>
      </c>
      <c r="U155" s="60"/>
      <c r="V155" s="68" t="s">
        <v>789</v>
      </c>
      <c r="W155" s="60"/>
      <c r="X155" s="60"/>
      <c r="Y155" s="60" t="s">
        <v>158</v>
      </c>
      <c r="Z155" t="s">
        <v>67</v>
      </c>
      <c r="AB155" s="60"/>
      <c r="AC155" s="60"/>
      <c r="AD155" s="60"/>
      <c r="AE155" s="69"/>
      <c r="AF155" s="17"/>
      <c r="AG155" s="17"/>
      <c r="AH155" s="17"/>
      <c r="AI155" s="17"/>
      <c r="AJ155" s="17"/>
      <c r="AK155" s="17"/>
      <c r="AL155" s="17"/>
      <c r="AM155" s="17"/>
      <c r="AN155" s="17"/>
      <c r="AO155" s="17"/>
      <c r="AP155" s="17"/>
      <c r="AQ155" s="17"/>
      <c r="AR155" s="17"/>
      <c r="AS155" s="17"/>
      <c r="AT155" s="17"/>
      <c r="AU155" s="17"/>
    </row>
    <row r="156" spans="1:47" ht="15" customHeight="1">
      <c r="A156" s="60">
        <f>ROW() - ROW(Table1[[#Headers],[s]])</f>
        <v>155</v>
      </c>
      <c r="B156" s="60" t="s">
        <v>790</v>
      </c>
      <c r="C156" s="75">
        <v>46054</v>
      </c>
      <c r="D156" s="63" t="s">
        <v>791</v>
      </c>
      <c r="E156" s="60" t="e" vm="95">
        <v>#VALUE!</v>
      </c>
      <c r="F156" s="60" t="e" vm="30">
        <v>#VALUE!</v>
      </c>
      <c r="G156" s="64" t="s">
        <v>83</v>
      </c>
      <c r="H156" s="60" t="s">
        <v>152</v>
      </c>
      <c r="I156" s="42" t="s">
        <v>43</v>
      </c>
      <c r="J156" s="67" t="s">
        <v>153</v>
      </c>
      <c r="K156" s="60" t="s">
        <v>154</v>
      </c>
      <c r="L156" s="65">
        <v>46052.688888888886</v>
      </c>
      <c r="M156" s="67" t="s">
        <v>72</v>
      </c>
      <c r="N156" s="67" t="s">
        <v>72</v>
      </c>
      <c r="O156" s="71">
        <v>46053.458333333336</v>
      </c>
      <c r="P156" s="72">
        <v>46053.465277777781</v>
      </c>
      <c r="Q156" s="66">
        <v>46053.537499999999</v>
      </c>
      <c r="R156" s="60"/>
      <c r="S156" s="68" t="s">
        <v>792</v>
      </c>
      <c r="T156" s="67" t="s">
        <v>164</v>
      </c>
      <c r="U156" s="60"/>
      <c r="V156" s="68" t="s">
        <v>793</v>
      </c>
      <c r="W156" s="60"/>
      <c r="X156" s="60"/>
      <c r="Y156" s="60" t="s">
        <v>158</v>
      </c>
      <c r="Z156" s="60" t="s">
        <v>67</v>
      </c>
      <c r="AB156" s="60"/>
      <c r="AC156" s="60"/>
      <c r="AD156" s="60"/>
      <c r="AE156" s="69"/>
      <c r="AF156" s="17"/>
      <c r="AG156" s="17"/>
      <c r="AH156" s="17"/>
      <c r="AI156" s="17"/>
      <c r="AJ156" s="17"/>
      <c r="AK156" s="17"/>
      <c r="AL156" s="17"/>
      <c r="AM156" s="17"/>
      <c r="AN156" s="17"/>
      <c r="AO156" s="17"/>
      <c r="AP156" s="17"/>
      <c r="AQ156" s="17"/>
      <c r="AR156" s="17"/>
      <c r="AS156" s="17"/>
      <c r="AT156" s="17"/>
      <c r="AU156" s="17"/>
    </row>
    <row r="157" spans="1:47" ht="15" customHeight="1">
      <c r="A157" s="60">
        <f>ROW() - ROW(Table1[[#Headers],[s]])</f>
        <v>156</v>
      </c>
      <c r="B157" s="60" t="s">
        <v>794</v>
      </c>
      <c r="C157" s="75">
        <v>46054</v>
      </c>
      <c r="D157" s="63" t="s">
        <v>795</v>
      </c>
      <c r="E157" s="60" t="e" vm="102">
        <v>#VALUE!</v>
      </c>
      <c r="F157" s="60" t="e" vm="21">
        <v>#VALUE!</v>
      </c>
      <c r="G157" s="64" t="s">
        <v>83</v>
      </c>
      <c r="H157" s="60" t="s">
        <v>152</v>
      </c>
      <c r="I157" s="42" t="s">
        <v>43</v>
      </c>
      <c r="J157" s="67" t="s">
        <v>153</v>
      </c>
      <c r="K157" s="60" t="s">
        <v>154</v>
      </c>
      <c r="L157" s="65">
        <v>46053.625694444447</v>
      </c>
      <c r="M157" s="67" t="s">
        <v>39</v>
      </c>
      <c r="N157" s="67" t="s">
        <v>39</v>
      </c>
      <c r="O157" s="71">
        <v>46053.666666666664</v>
      </c>
      <c r="P157" s="72">
        <v>46053.673611111109</v>
      </c>
      <c r="Q157" s="66">
        <v>46053.722916666666</v>
      </c>
      <c r="R157" s="60"/>
      <c r="S157" s="68" t="s">
        <v>796</v>
      </c>
      <c r="T157" s="67" t="s">
        <v>164</v>
      </c>
      <c r="U157" s="60"/>
      <c r="V157" s="68" t="s">
        <v>797</v>
      </c>
      <c r="W157" s="60"/>
      <c r="X157" s="60"/>
      <c r="Y157" s="60" t="s">
        <v>158</v>
      </c>
      <c r="Z157" s="60" t="s">
        <v>70</v>
      </c>
      <c r="AA157" s="60"/>
      <c r="AB157" s="60"/>
      <c r="AC157" s="60"/>
      <c r="AD157" s="60"/>
      <c r="AE157" s="69"/>
      <c r="AF157" s="17"/>
      <c r="AG157" s="17"/>
      <c r="AH157" s="17"/>
      <c r="AI157" s="17"/>
      <c r="AJ157" s="17"/>
      <c r="AK157" s="17"/>
      <c r="AL157" s="17"/>
      <c r="AM157" s="17"/>
      <c r="AN157" s="17"/>
      <c r="AO157" s="17"/>
      <c r="AP157" s="17"/>
      <c r="AQ157" s="17"/>
      <c r="AR157" s="17"/>
      <c r="AS157" s="17"/>
      <c r="AT157" s="17"/>
      <c r="AU157" s="17"/>
    </row>
    <row r="158" spans="1:47" ht="15" customHeight="1">
      <c r="A158" s="60">
        <f>ROW() - ROW(Table1[[#Headers],[s]])</f>
        <v>157</v>
      </c>
      <c r="B158" s="60" t="s">
        <v>798</v>
      </c>
      <c r="C158" s="75">
        <v>46054</v>
      </c>
      <c r="D158" s="63" t="s">
        <v>799</v>
      </c>
      <c r="E158" s="60" t="e" vm="77">
        <v>#VALUE!</v>
      </c>
      <c r="F158" s="60" t="e" vm="46">
        <v>#VALUE!</v>
      </c>
      <c r="G158" s="64" t="s">
        <v>83</v>
      </c>
      <c r="H158" s="60" t="s">
        <v>152</v>
      </c>
      <c r="I158" s="42" t="s">
        <v>43</v>
      </c>
      <c r="J158" s="67" t="s">
        <v>153</v>
      </c>
      <c r="K158" s="60" t="s">
        <v>154</v>
      </c>
      <c r="L158" s="65">
        <v>46054.419444444444</v>
      </c>
      <c r="M158" s="67" t="s">
        <v>800</v>
      </c>
      <c r="N158" s="67" t="s">
        <v>800</v>
      </c>
      <c r="O158" s="71">
        <v>46054.458333333336</v>
      </c>
      <c r="P158" s="72">
        <v>46054.465277777781</v>
      </c>
      <c r="Q158" s="66">
        <v>46054.482638888891</v>
      </c>
      <c r="R158" s="60"/>
      <c r="S158" s="53" t="s">
        <v>801</v>
      </c>
      <c r="T158" s="67" t="s">
        <v>164</v>
      </c>
      <c r="U158" s="60"/>
      <c r="V158" s="68" t="s">
        <v>802</v>
      </c>
      <c r="W158" s="60"/>
      <c r="X158" s="60"/>
      <c r="Y158" s="60" t="s">
        <v>203</v>
      </c>
      <c r="Z158" s="60" t="s">
        <v>70</v>
      </c>
      <c r="AA158" s="60"/>
      <c r="AB158" s="60"/>
      <c r="AC158" s="60"/>
      <c r="AD158" s="60"/>
      <c r="AE158" s="69"/>
      <c r="AF158" s="17"/>
      <c r="AG158" s="17"/>
      <c r="AH158" s="17"/>
      <c r="AI158" s="17"/>
      <c r="AJ158" s="17"/>
      <c r="AK158" s="17"/>
      <c r="AL158" s="17"/>
      <c r="AM158" s="17"/>
      <c r="AN158" s="17"/>
      <c r="AO158" s="17"/>
      <c r="AP158" s="17"/>
      <c r="AQ158" s="17"/>
      <c r="AR158" s="17"/>
      <c r="AS158" s="17"/>
      <c r="AT158" s="17"/>
      <c r="AU158" s="17"/>
    </row>
    <row r="159" spans="1:47" ht="15" customHeight="1">
      <c r="A159" s="60">
        <f>ROW() - ROW(Table1[[#Headers],[s]])</f>
        <v>158</v>
      </c>
      <c r="B159" s="60" t="s">
        <v>803</v>
      </c>
      <c r="C159" s="75">
        <v>46054</v>
      </c>
      <c r="D159" s="63" t="s">
        <v>804</v>
      </c>
      <c r="E159" s="60" t="e" vm="72">
        <v>#VALUE!</v>
      </c>
      <c r="F159" s="60" t="e" vm="25">
        <v>#VALUE!</v>
      </c>
      <c r="G159" s="64" t="s">
        <v>83</v>
      </c>
      <c r="H159" s="60" t="s">
        <v>152</v>
      </c>
      <c r="I159" s="42" t="s">
        <v>43</v>
      </c>
      <c r="J159" s="67" t="s">
        <v>153</v>
      </c>
      <c r="K159" s="60" t="s">
        <v>154</v>
      </c>
      <c r="L159" s="65">
        <v>46054.42083333333</v>
      </c>
      <c r="M159" s="67" t="s">
        <v>805</v>
      </c>
      <c r="N159" s="67" t="s">
        <v>805</v>
      </c>
      <c r="O159" s="71">
        <v>46054.541666666664</v>
      </c>
      <c r="P159" s="72">
        <v>46054.548611111109</v>
      </c>
      <c r="Q159" s="66">
        <v>46054.647916666669</v>
      </c>
      <c r="R159" s="60"/>
      <c r="S159" s="68" t="s">
        <v>298</v>
      </c>
      <c r="T159" s="67" t="s">
        <v>164</v>
      </c>
      <c r="U159" s="60"/>
      <c r="V159" s="68" t="s">
        <v>806</v>
      </c>
      <c r="W159" s="60"/>
      <c r="X159" s="60"/>
      <c r="Y159" s="60" t="s">
        <v>158</v>
      </c>
      <c r="Z159" s="60" t="s">
        <v>70</v>
      </c>
      <c r="AA159" s="60"/>
      <c r="AB159" s="60"/>
      <c r="AC159" s="60"/>
      <c r="AD159" s="60"/>
      <c r="AE159" s="69"/>
      <c r="AF159" s="17"/>
      <c r="AG159" s="17"/>
      <c r="AH159" s="17"/>
      <c r="AI159" s="17"/>
      <c r="AJ159" s="17"/>
      <c r="AK159" s="17"/>
      <c r="AL159" s="17"/>
      <c r="AM159" s="17"/>
      <c r="AN159" s="17"/>
      <c r="AO159" s="17"/>
      <c r="AP159" s="17"/>
      <c r="AQ159" s="17"/>
      <c r="AR159" s="17"/>
      <c r="AS159" s="17"/>
      <c r="AT159" s="17"/>
      <c r="AU159" s="17"/>
    </row>
    <row r="160" spans="1:47" ht="15" customHeight="1">
      <c r="A160" s="60">
        <f>ROW() - ROW(Table1[[#Headers],[s]])</f>
        <v>159</v>
      </c>
      <c r="B160" s="60" t="s">
        <v>807</v>
      </c>
      <c r="C160" s="75">
        <v>46054</v>
      </c>
      <c r="D160" s="63" t="s">
        <v>808</v>
      </c>
      <c r="E160" s="60" t="e" vm="80">
        <v>#VALUE!</v>
      </c>
      <c r="F160" s="60" t="e" vm="10">
        <v>#VALUE!</v>
      </c>
      <c r="G160" s="64" t="s">
        <v>83</v>
      </c>
      <c r="H160" s="60" t="s">
        <v>152</v>
      </c>
      <c r="I160" s="42" t="s">
        <v>43</v>
      </c>
      <c r="J160" s="67" t="s">
        <v>153</v>
      </c>
      <c r="K160" s="60" t="s">
        <v>154</v>
      </c>
      <c r="L160" s="65">
        <v>46054.422222222223</v>
      </c>
      <c r="M160" s="55" t="s">
        <v>78</v>
      </c>
      <c r="N160" s="55" t="s">
        <v>78</v>
      </c>
      <c r="O160" s="71">
        <v>46054.479166666664</v>
      </c>
      <c r="P160" s="72">
        <v>46054.486111111109</v>
      </c>
      <c r="Q160" s="66">
        <v>46054.503472222219</v>
      </c>
      <c r="R160" s="60"/>
      <c r="S160" s="68" t="s">
        <v>801</v>
      </c>
      <c r="T160" s="67" t="s">
        <v>164</v>
      </c>
      <c r="U160" s="60"/>
      <c r="V160" s="68" t="s">
        <v>809</v>
      </c>
      <c r="W160" s="60"/>
      <c r="X160" s="60"/>
      <c r="Y160" s="60" t="s">
        <v>158</v>
      </c>
      <c r="Z160" s="60" t="s">
        <v>70</v>
      </c>
      <c r="AA160" s="42"/>
      <c r="AB160" s="60"/>
      <c r="AC160" s="60"/>
      <c r="AD160" s="60"/>
      <c r="AE160" s="69"/>
      <c r="AF160" s="17"/>
      <c r="AG160" s="17"/>
      <c r="AH160" s="17"/>
      <c r="AI160" s="17"/>
      <c r="AJ160" s="17"/>
      <c r="AK160" s="17"/>
      <c r="AL160" s="17"/>
      <c r="AM160" s="17"/>
      <c r="AN160" s="17"/>
      <c r="AO160" s="17"/>
      <c r="AP160" s="17"/>
      <c r="AQ160" s="17"/>
      <c r="AR160" s="17"/>
      <c r="AS160" s="17"/>
      <c r="AT160" s="17"/>
      <c r="AU160" s="17"/>
    </row>
    <row r="161" spans="1:47" ht="15" customHeight="1">
      <c r="A161" s="60">
        <f>ROW() - ROW(Table1[[#Headers],[s]])</f>
        <v>160</v>
      </c>
      <c r="B161" s="60" t="s">
        <v>810</v>
      </c>
      <c r="C161" s="75">
        <v>46054</v>
      </c>
      <c r="D161" s="63" t="s">
        <v>811</v>
      </c>
      <c r="E161" s="60" t="e" vm="73">
        <v>#VALUE!</v>
      </c>
      <c r="F161" s="60" t="e" vm="49">
        <v>#VALUE!</v>
      </c>
      <c r="G161" s="64" t="s">
        <v>83</v>
      </c>
      <c r="H161" s="60" t="s">
        <v>152</v>
      </c>
      <c r="I161" s="42" t="s">
        <v>43</v>
      </c>
      <c r="J161" s="67" t="s">
        <v>153</v>
      </c>
      <c r="K161" s="60" t="s">
        <v>154</v>
      </c>
      <c r="L161" s="65">
        <v>46054.423611111109</v>
      </c>
      <c r="M161" s="67" t="s">
        <v>812</v>
      </c>
      <c r="N161" s="67" t="s">
        <v>812</v>
      </c>
      <c r="O161" s="71">
        <v>46054.5</v>
      </c>
      <c r="P161" s="72">
        <v>46054.506944444445</v>
      </c>
      <c r="Q161" s="66">
        <v>46054.62222222222</v>
      </c>
      <c r="R161" s="60"/>
      <c r="S161" s="68" t="s">
        <v>813</v>
      </c>
      <c r="T161" s="67" t="s">
        <v>164</v>
      </c>
      <c r="U161" s="60"/>
      <c r="V161" s="68" t="s">
        <v>814</v>
      </c>
      <c r="W161" s="60"/>
      <c r="X161" s="60"/>
      <c r="Y161" s="60" t="s">
        <v>158</v>
      </c>
      <c r="Z161" s="60" t="s">
        <v>70</v>
      </c>
      <c r="AA161" s="60"/>
      <c r="AB161" s="60"/>
      <c r="AC161" s="60"/>
      <c r="AD161" s="60"/>
      <c r="AE161" s="69"/>
      <c r="AF161" s="17"/>
      <c r="AG161" s="17"/>
      <c r="AH161" s="17"/>
      <c r="AI161" s="17"/>
      <c r="AJ161" s="17"/>
      <c r="AK161" s="17"/>
      <c r="AL161" s="17"/>
      <c r="AM161" s="17"/>
      <c r="AN161" s="17"/>
      <c r="AO161" s="17"/>
      <c r="AP161" s="17"/>
      <c r="AQ161" s="17"/>
      <c r="AR161" s="17"/>
      <c r="AS161" s="17"/>
      <c r="AT161" s="17"/>
      <c r="AU161" s="17"/>
    </row>
    <row r="162" spans="1:47" ht="15" customHeight="1">
      <c r="A162" s="60">
        <f>ROW() - ROW(Table1[[#Headers],[s]])</f>
        <v>161</v>
      </c>
      <c r="B162" s="60" t="s">
        <v>815</v>
      </c>
      <c r="C162" s="75">
        <v>46054</v>
      </c>
      <c r="D162" s="63" t="s">
        <v>816</v>
      </c>
      <c r="E162" s="60" t="e" vm="103">
        <v>#VALUE!</v>
      </c>
      <c r="F162" s="60" t="e" vm="42">
        <v>#VALUE!</v>
      </c>
      <c r="G162" s="64" t="s">
        <v>83</v>
      </c>
      <c r="H162" s="60" t="s">
        <v>152</v>
      </c>
      <c r="I162" s="42" t="s">
        <v>43</v>
      </c>
      <c r="J162" s="67" t="s">
        <v>153</v>
      </c>
      <c r="K162" s="60" t="s">
        <v>154</v>
      </c>
      <c r="L162" s="65">
        <v>46054.424305555556</v>
      </c>
      <c r="M162" s="55" t="s">
        <v>155</v>
      </c>
      <c r="N162" s="55" t="s">
        <v>155</v>
      </c>
      <c r="O162" s="71">
        <v>46054.541666666664</v>
      </c>
      <c r="P162" s="72">
        <v>46054.548611111109</v>
      </c>
      <c r="Q162" s="66">
        <v>46054.6</v>
      </c>
      <c r="R162" s="60"/>
      <c r="S162" s="68" t="s">
        <v>817</v>
      </c>
      <c r="T162" s="67" t="s">
        <v>164</v>
      </c>
      <c r="U162" s="60"/>
      <c r="V162" s="68" t="s">
        <v>581</v>
      </c>
      <c r="W162" s="60"/>
      <c r="X162" s="60"/>
      <c r="Y162" s="60" t="s">
        <v>158</v>
      </c>
      <c r="Z162" s="60" t="s">
        <v>70</v>
      </c>
      <c r="AA162" s="60"/>
      <c r="AB162" s="60"/>
      <c r="AC162" s="60"/>
      <c r="AD162" s="60"/>
      <c r="AE162" s="69"/>
      <c r="AF162" s="17"/>
      <c r="AG162" s="17"/>
      <c r="AH162" s="17"/>
      <c r="AI162" s="17"/>
      <c r="AJ162" s="17"/>
      <c r="AK162" s="17"/>
      <c r="AL162" s="17"/>
      <c r="AM162" s="17"/>
      <c r="AN162" s="17"/>
      <c r="AO162" s="17"/>
      <c r="AP162" s="17"/>
      <c r="AQ162" s="17"/>
      <c r="AR162" s="17"/>
      <c r="AS162" s="17"/>
      <c r="AT162" s="17"/>
      <c r="AU162" s="17"/>
    </row>
    <row r="163" spans="1:47" ht="15" customHeight="1">
      <c r="A163" s="60">
        <f>ROW() - ROW(Table1[[#Headers],[s]])</f>
        <v>162</v>
      </c>
      <c r="B163" s="60" t="s">
        <v>818</v>
      </c>
      <c r="C163" s="61">
        <v>46054</v>
      </c>
      <c r="D163" s="63" t="s">
        <v>819</v>
      </c>
      <c r="E163" s="60" t="e" vm="86">
        <v>#VALUE!</v>
      </c>
      <c r="F163" s="60" t="e" vm="35">
        <v>#VALUE!</v>
      </c>
      <c r="G163" s="64" t="s">
        <v>83</v>
      </c>
      <c r="H163" s="60" t="s">
        <v>152</v>
      </c>
      <c r="I163" s="42" t="s">
        <v>43</v>
      </c>
      <c r="J163" s="67" t="s">
        <v>153</v>
      </c>
      <c r="K163" s="60" t="s">
        <v>154</v>
      </c>
      <c r="L163" s="65">
        <v>46054.425694444442</v>
      </c>
      <c r="M163" s="67" t="s">
        <v>820</v>
      </c>
      <c r="N163" s="67" t="s">
        <v>820</v>
      </c>
      <c r="O163" s="71">
        <v>46054.5</v>
      </c>
      <c r="P163" s="72">
        <v>46054.506944444445</v>
      </c>
      <c r="Q163" s="66">
        <v>46054.550694444442</v>
      </c>
      <c r="R163" s="60"/>
      <c r="S163" s="68" t="s">
        <v>813</v>
      </c>
      <c r="T163" s="67" t="s">
        <v>164</v>
      </c>
      <c r="U163" s="60"/>
      <c r="V163" s="68" t="s">
        <v>814</v>
      </c>
      <c r="W163" s="60"/>
      <c r="X163" s="60"/>
      <c r="Y163" s="60" t="s">
        <v>158</v>
      </c>
      <c r="Z163" s="60" t="s">
        <v>70</v>
      </c>
      <c r="AA163" s="60"/>
      <c r="AB163" s="60"/>
      <c r="AC163" s="60"/>
      <c r="AD163" s="60"/>
      <c r="AE163" s="69"/>
      <c r="AF163" s="17"/>
      <c r="AG163" s="17"/>
      <c r="AH163" s="17"/>
      <c r="AI163" s="17"/>
      <c r="AJ163" s="17"/>
      <c r="AK163" s="17"/>
      <c r="AL163" s="17"/>
      <c r="AM163" s="17"/>
      <c r="AN163" s="17"/>
      <c r="AO163" s="17"/>
      <c r="AP163" s="17"/>
      <c r="AQ163" s="17"/>
      <c r="AR163" s="17"/>
      <c r="AS163" s="17"/>
      <c r="AT163" s="17"/>
      <c r="AU163" s="17"/>
    </row>
    <row r="164" spans="1:47" ht="15" hidden="1" customHeight="1">
      <c r="A164" s="60">
        <f>ROW() - ROW(Table1[[#Headers],[s]])</f>
        <v>163</v>
      </c>
      <c r="B164" s="60" t="s">
        <v>821</v>
      </c>
      <c r="C164" s="61">
        <v>46054</v>
      </c>
      <c r="D164" s="95" t="s">
        <v>822</v>
      </c>
      <c r="E164" s="60" t="e" vm="24">
        <v>#VALUE!</v>
      </c>
      <c r="F164" s="60" t="e" vm="25">
        <v>#VALUE!</v>
      </c>
      <c r="G164" s="64" t="s">
        <v>36</v>
      </c>
      <c r="H164" s="60" t="s">
        <v>152</v>
      </c>
      <c r="I164" s="60" t="s">
        <v>43</v>
      </c>
      <c r="J164" s="67" t="s">
        <v>153</v>
      </c>
      <c r="K164" s="60" t="s">
        <v>154</v>
      </c>
      <c r="L164" s="65">
        <v>46055.547222222223</v>
      </c>
      <c r="M164" s="67" t="s">
        <v>72</v>
      </c>
      <c r="N164" s="67" t="s">
        <v>823</v>
      </c>
      <c r="O164" s="64"/>
      <c r="P164" s="60"/>
      <c r="Q164" s="66">
        <v>46057.645833333336</v>
      </c>
      <c r="R164" s="60"/>
      <c r="S164" s="68" t="s">
        <v>824</v>
      </c>
      <c r="T164" s="55" t="s">
        <v>825</v>
      </c>
      <c r="U164" s="60"/>
      <c r="V164" s="68" t="s">
        <v>826</v>
      </c>
      <c r="W164" s="60"/>
      <c r="X164" s="60"/>
      <c r="Y164" s="60" t="s">
        <v>158</v>
      </c>
      <c r="Z164" s="60" t="s">
        <v>67</v>
      </c>
      <c r="AA164" s="60"/>
      <c r="AB164" s="60"/>
      <c r="AC164" s="60"/>
      <c r="AD164" s="60"/>
      <c r="AE164" s="69"/>
      <c r="AF164" s="17"/>
      <c r="AG164" s="17"/>
      <c r="AH164" s="17"/>
      <c r="AI164" s="17"/>
      <c r="AJ164" s="17"/>
      <c r="AK164" s="17"/>
      <c r="AL164" s="17"/>
      <c r="AM164" s="17"/>
      <c r="AN164" s="17"/>
      <c r="AO164" s="17"/>
      <c r="AP164" s="17"/>
      <c r="AQ164" s="17"/>
      <c r="AR164" s="17"/>
      <c r="AS164" s="17"/>
      <c r="AT164" s="17"/>
      <c r="AU164" s="17"/>
    </row>
    <row r="165" spans="1:47" ht="15" hidden="1" customHeight="1">
      <c r="A165" s="60">
        <f>ROW() - ROW(Table1[[#Headers],[s]])</f>
        <v>164</v>
      </c>
      <c r="B165" s="72" t="s">
        <v>827</v>
      </c>
      <c r="C165" s="61">
        <v>46054</v>
      </c>
      <c r="D165" s="63" t="s">
        <v>828</v>
      </c>
      <c r="E165" s="60" t="e" vm="90">
        <v>#VALUE!</v>
      </c>
      <c r="F165" s="60" t="e" vm="25">
        <v>#VALUE!</v>
      </c>
      <c r="G165" s="64" t="s">
        <v>200</v>
      </c>
      <c r="H165" s="60" t="s">
        <v>152</v>
      </c>
      <c r="I165" s="60" t="s">
        <v>43</v>
      </c>
      <c r="J165" s="67" t="s">
        <v>153</v>
      </c>
      <c r="K165" s="60" t="s">
        <v>154</v>
      </c>
      <c r="L165" s="65">
        <v>46055.543055555558</v>
      </c>
      <c r="M165" s="67" t="s">
        <v>72</v>
      </c>
      <c r="N165" s="67" t="s">
        <v>72</v>
      </c>
      <c r="O165" s="71">
        <v>46055.625</v>
      </c>
      <c r="P165" s="72">
        <v>46055.631944444445</v>
      </c>
      <c r="Q165" s="66">
        <v>46055.645833333336</v>
      </c>
      <c r="R165" s="60"/>
      <c r="S165" s="68" t="s">
        <v>829</v>
      </c>
      <c r="T165" s="67" t="s">
        <v>179</v>
      </c>
      <c r="U165" s="60"/>
      <c r="V165" s="68" t="s">
        <v>513</v>
      </c>
      <c r="W165" s="60"/>
      <c r="X165" s="60"/>
      <c r="Y165" s="60" t="s">
        <v>203</v>
      </c>
      <c r="Z165" s="60" t="s">
        <v>70</v>
      </c>
      <c r="AA165" s="60"/>
      <c r="AB165" s="60"/>
      <c r="AC165" s="60"/>
      <c r="AD165" s="60"/>
      <c r="AE165" s="69"/>
      <c r="AF165" s="17"/>
      <c r="AG165" s="17"/>
      <c r="AH165" s="17"/>
      <c r="AI165" s="17"/>
      <c r="AJ165" s="17"/>
      <c r="AK165" s="17"/>
      <c r="AL165" s="17"/>
      <c r="AM165" s="17"/>
      <c r="AN165" s="17"/>
      <c r="AO165" s="17"/>
      <c r="AP165" s="17"/>
      <c r="AQ165" s="17"/>
      <c r="AR165" s="17"/>
      <c r="AS165" s="17"/>
      <c r="AT165" s="17"/>
      <c r="AU165" s="17"/>
    </row>
    <row r="166" spans="1:47" ht="15" hidden="1" customHeight="1">
      <c r="A166" s="60">
        <f>ROW() - ROW(Table1[[#Headers],[s]])</f>
        <v>165</v>
      </c>
      <c r="B166" s="60" t="s">
        <v>830</v>
      </c>
      <c r="C166" s="61">
        <v>46054</v>
      </c>
      <c r="D166" s="63" t="s">
        <v>831</v>
      </c>
      <c r="E166" s="60" t="e" vm="9">
        <v>#VALUE!</v>
      </c>
      <c r="F166" s="60" t="e" vm="10">
        <v>#VALUE!</v>
      </c>
      <c r="G166" s="64" t="s">
        <v>200</v>
      </c>
      <c r="H166" s="60" t="s">
        <v>152</v>
      </c>
      <c r="I166" s="60" t="s">
        <v>43</v>
      </c>
      <c r="J166" s="67" t="s">
        <v>153</v>
      </c>
      <c r="K166" s="60" t="s">
        <v>154</v>
      </c>
      <c r="L166" s="65">
        <v>46055.57916666667</v>
      </c>
      <c r="M166" s="67" t="s">
        <v>78</v>
      </c>
      <c r="N166" s="55" t="s">
        <v>78</v>
      </c>
      <c r="O166" s="71">
        <v>46055.708333333336</v>
      </c>
      <c r="P166" s="72">
        <v>46055.708333333336</v>
      </c>
      <c r="Q166" s="66">
        <v>46055.75</v>
      </c>
      <c r="R166" s="60"/>
      <c r="S166" s="68" t="s">
        <v>832</v>
      </c>
      <c r="T166" s="67" t="s">
        <v>478</v>
      </c>
      <c r="U166" s="60"/>
      <c r="V166" s="68" t="s">
        <v>833</v>
      </c>
      <c r="W166" s="60"/>
      <c r="X166" s="60"/>
      <c r="Y166" s="60" t="s">
        <v>203</v>
      </c>
      <c r="Z166" s="60" t="s">
        <v>70</v>
      </c>
      <c r="AA166" s="60"/>
      <c r="AB166" s="60"/>
      <c r="AC166" s="60"/>
      <c r="AD166" s="60"/>
      <c r="AE166" s="69"/>
      <c r="AF166" s="17"/>
      <c r="AG166" s="17"/>
      <c r="AH166" s="17"/>
      <c r="AI166" s="17"/>
      <c r="AJ166" s="17"/>
      <c r="AK166" s="17"/>
      <c r="AL166" s="17"/>
      <c r="AM166" s="17"/>
      <c r="AN166" s="17"/>
      <c r="AO166" s="17"/>
      <c r="AP166" s="17"/>
      <c r="AQ166" s="17"/>
      <c r="AR166" s="17"/>
      <c r="AS166" s="17"/>
      <c r="AT166" s="17"/>
      <c r="AU166" s="17"/>
    </row>
    <row r="167" spans="1:47" ht="15" hidden="1" customHeight="1">
      <c r="A167" s="60">
        <f>ROW() - ROW(Table1[[#Headers],[s]])</f>
        <v>166</v>
      </c>
      <c r="B167" s="60" t="s">
        <v>834</v>
      </c>
      <c r="C167" s="61">
        <v>46054</v>
      </c>
      <c r="D167" s="63" t="s">
        <v>835</v>
      </c>
      <c r="E167" s="60" t="e" vm="104">
        <v>#VALUE!</v>
      </c>
      <c r="F167" s="60" t="e" vm="1">
        <v>#VALUE!</v>
      </c>
      <c r="G167" s="64" t="s">
        <v>200</v>
      </c>
      <c r="H167" s="60" t="s">
        <v>245</v>
      </c>
      <c r="I167" s="60" t="s">
        <v>43</v>
      </c>
      <c r="J167" s="67" t="s">
        <v>253</v>
      </c>
      <c r="K167" s="60" t="s">
        <v>170</v>
      </c>
      <c r="L167" s="65">
        <v>46055.47152777778</v>
      </c>
      <c r="M167" s="55" t="s">
        <v>155</v>
      </c>
      <c r="N167" s="55" t="s">
        <v>155</v>
      </c>
      <c r="O167" s="71">
        <v>46055.583333333336</v>
      </c>
      <c r="P167" s="72">
        <v>46055.583333333336</v>
      </c>
      <c r="Q167" s="66">
        <v>46055.792361111111</v>
      </c>
      <c r="R167" s="60"/>
      <c r="S167" s="68" t="s">
        <v>836</v>
      </c>
      <c r="T167" s="67" t="s">
        <v>478</v>
      </c>
      <c r="U167" s="60"/>
      <c r="V167" s="68" t="s">
        <v>837</v>
      </c>
      <c r="W167" s="60"/>
      <c r="X167" s="60"/>
      <c r="Y167" s="60" t="s">
        <v>203</v>
      </c>
      <c r="Z167" s="280" t="s">
        <v>70</v>
      </c>
      <c r="AA167" s="60"/>
      <c r="AB167" s="60"/>
      <c r="AC167" s="60"/>
      <c r="AD167" s="60"/>
      <c r="AE167" s="69"/>
      <c r="AF167" s="17"/>
      <c r="AG167" s="17"/>
      <c r="AH167" s="17"/>
      <c r="AI167" s="17"/>
      <c r="AJ167" s="17"/>
      <c r="AK167" s="17"/>
      <c r="AL167" s="17"/>
      <c r="AM167" s="17"/>
      <c r="AN167" s="17"/>
      <c r="AO167" s="17"/>
      <c r="AP167" s="17"/>
      <c r="AQ167" s="17"/>
      <c r="AR167" s="17"/>
      <c r="AS167" s="17"/>
      <c r="AT167" s="17"/>
      <c r="AU167" s="17"/>
    </row>
    <row r="168" spans="1:47" s="464" customFormat="1" ht="15" hidden="1" customHeight="1">
      <c r="A168" s="463">
        <f>ROW() - ROW(Table1[[#Headers],[s]])</f>
        <v>167</v>
      </c>
      <c r="B168" s="463" t="s">
        <v>838</v>
      </c>
      <c r="C168" s="476">
        <v>46054</v>
      </c>
      <c r="D168" s="477" t="s">
        <v>839</v>
      </c>
      <c r="E168" s="463" t="e" vm="105">
        <v>#VALUE!</v>
      </c>
      <c r="F168" s="463" t="e" vm="30">
        <v>#VALUE!</v>
      </c>
      <c r="G168" s="490" t="s">
        <v>151</v>
      </c>
      <c r="H168" s="463" t="s">
        <v>245</v>
      </c>
      <c r="I168" s="463" t="s">
        <v>43</v>
      </c>
      <c r="J168" s="480" t="s">
        <v>253</v>
      </c>
      <c r="K168" s="463" t="s">
        <v>840</v>
      </c>
      <c r="L168" s="481">
        <v>46056.484722222223</v>
      </c>
      <c r="M168" s="480" t="s">
        <v>841</v>
      </c>
      <c r="N168" s="480"/>
      <c r="O168" s="486">
        <v>46056.541666666664</v>
      </c>
      <c r="P168" s="487">
        <v>46058.458333333336</v>
      </c>
      <c r="Q168" s="488">
        <v>46058.611111111109</v>
      </c>
      <c r="R168" s="463"/>
      <c r="S168" s="482" t="s">
        <v>842</v>
      </c>
      <c r="T168" s="480" t="s">
        <v>478</v>
      </c>
      <c r="U168" s="463"/>
      <c r="V168" s="482" t="s">
        <v>842</v>
      </c>
      <c r="W168" s="463"/>
      <c r="X168" s="463"/>
      <c r="Y168" s="463" t="s">
        <v>70</v>
      </c>
      <c r="Z168" s="491" t="s">
        <v>70</v>
      </c>
      <c r="AA168" s="463"/>
      <c r="AB168" s="463"/>
      <c r="AC168" s="463"/>
      <c r="AD168" s="463"/>
      <c r="AE168" s="483"/>
      <c r="AF168" s="484"/>
      <c r="AG168" s="484"/>
      <c r="AH168" s="484"/>
      <c r="AI168" s="484"/>
      <c r="AJ168" s="484"/>
      <c r="AK168" s="484"/>
      <c r="AL168" s="484"/>
      <c r="AM168" s="484"/>
      <c r="AN168" s="484"/>
      <c r="AO168" s="484"/>
      <c r="AP168" s="484"/>
      <c r="AQ168" s="484"/>
      <c r="AR168" s="484"/>
      <c r="AS168" s="484"/>
      <c r="AT168" s="484"/>
      <c r="AU168" s="484"/>
    </row>
    <row r="169" spans="1:47" ht="15.75" hidden="1" customHeight="1">
      <c r="A169" s="60">
        <f>ROW() - ROW(Table1[[#Headers],[s]])</f>
        <v>168</v>
      </c>
      <c r="B169" s="74" t="s">
        <v>843</v>
      </c>
      <c r="C169" s="61">
        <v>46054</v>
      </c>
      <c r="D169" s="63" t="s">
        <v>844</v>
      </c>
      <c r="E169" s="60" t="e" vm="106">
        <v>#VALUE!</v>
      </c>
      <c r="F169" s="60" t="e" vm="5">
        <v>#VALUE!</v>
      </c>
      <c r="G169" s="64" t="s">
        <v>36</v>
      </c>
      <c r="H169" s="60" t="s">
        <v>152</v>
      </c>
      <c r="I169" s="60" t="s">
        <v>43</v>
      </c>
      <c r="J169" s="67" t="s">
        <v>153</v>
      </c>
      <c r="K169" s="60" t="s">
        <v>154</v>
      </c>
      <c r="L169" s="65">
        <v>46056.578472222223</v>
      </c>
      <c r="M169" s="67" t="s">
        <v>55</v>
      </c>
      <c r="N169" s="67" t="s">
        <v>55</v>
      </c>
      <c r="O169" s="64"/>
      <c r="P169" s="60"/>
      <c r="Q169" s="66">
        <v>46057.8125</v>
      </c>
      <c r="R169" s="60"/>
      <c r="S169" s="68" t="s">
        <v>845</v>
      </c>
      <c r="T169" s="67" t="s">
        <v>164</v>
      </c>
      <c r="U169" s="60"/>
      <c r="V169" s="68" t="s">
        <v>846</v>
      </c>
      <c r="W169" s="60"/>
      <c r="X169" s="60"/>
      <c r="Y169" s="60" t="s">
        <v>158</v>
      </c>
      <c r="Z169" s="60" t="s">
        <v>70</v>
      </c>
      <c r="AA169" s="60"/>
      <c r="AB169" s="60"/>
      <c r="AC169" s="60"/>
      <c r="AD169" s="60"/>
      <c r="AE169" s="69"/>
      <c r="AF169" s="17"/>
      <c r="AG169" s="17"/>
      <c r="AH169" s="17"/>
      <c r="AI169" s="17"/>
      <c r="AJ169" s="17"/>
      <c r="AK169" s="17"/>
      <c r="AL169" s="17"/>
      <c r="AM169" s="17"/>
      <c r="AN169" s="17"/>
      <c r="AO169" s="17"/>
      <c r="AP169" s="17"/>
      <c r="AQ169" s="17"/>
      <c r="AR169" s="17"/>
      <c r="AS169" s="17"/>
      <c r="AT169" s="17"/>
      <c r="AU169" s="17"/>
    </row>
    <row r="170" spans="1:47" ht="15.75" hidden="1" customHeight="1">
      <c r="A170" s="60">
        <f>ROW() - ROW(Table1[[#Headers],[s]])</f>
        <v>169</v>
      </c>
      <c r="B170" s="74" t="s">
        <v>847</v>
      </c>
      <c r="C170" s="61">
        <v>46054</v>
      </c>
      <c r="D170" s="63" t="s">
        <v>848</v>
      </c>
      <c r="E170" s="60" t="e" vm="91">
        <v>#VALUE!</v>
      </c>
      <c r="F170" s="60" t="e" vm="25">
        <v>#VALUE!</v>
      </c>
      <c r="G170" s="64" t="s">
        <v>174</v>
      </c>
      <c r="H170" s="60" t="s">
        <v>152</v>
      </c>
      <c r="I170" s="42" t="s">
        <v>175</v>
      </c>
      <c r="J170" s="67" t="s">
        <v>153</v>
      </c>
      <c r="K170" s="60" t="s">
        <v>154</v>
      </c>
      <c r="L170" s="65">
        <v>46056.493750000001</v>
      </c>
      <c r="M170" s="67" t="s">
        <v>72</v>
      </c>
      <c r="N170" s="67" t="s">
        <v>72</v>
      </c>
      <c r="O170" s="65">
        <v>46056.524305555555</v>
      </c>
      <c r="P170" s="65">
        <v>46056.548611111109</v>
      </c>
      <c r="Q170" s="65">
        <v>46056.607638888891</v>
      </c>
      <c r="R170" s="60"/>
      <c r="S170" s="68" t="s">
        <v>849</v>
      </c>
      <c r="T170" s="67" t="s">
        <v>164</v>
      </c>
      <c r="U170" s="60"/>
      <c r="V170" s="68" t="s">
        <v>850</v>
      </c>
      <c r="W170" s="60"/>
      <c r="X170" s="60"/>
      <c r="Y170" s="60" t="s">
        <v>158</v>
      </c>
      <c r="Z170" s="280" t="s">
        <v>70</v>
      </c>
      <c r="AA170" s="60"/>
      <c r="AB170" s="60"/>
      <c r="AC170" s="60"/>
      <c r="AD170" s="60"/>
      <c r="AE170" s="69"/>
      <c r="AF170" s="17"/>
      <c r="AG170" s="17"/>
      <c r="AH170" s="17"/>
      <c r="AI170" s="17"/>
      <c r="AJ170" s="17"/>
      <c r="AK170" s="17"/>
      <c r="AL170" s="17"/>
      <c r="AM170" s="17"/>
      <c r="AN170" s="17"/>
      <c r="AO170" s="17"/>
      <c r="AP170" s="17"/>
      <c r="AQ170" s="17"/>
      <c r="AR170" s="17"/>
      <c r="AS170" s="17"/>
      <c r="AT170" s="17"/>
      <c r="AU170" s="17"/>
    </row>
    <row r="171" spans="1:47" ht="15.75" hidden="1" customHeight="1">
      <c r="A171" s="60">
        <f>ROW() - ROW(Table1[[#Headers],[s]])</f>
        <v>170</v>
      </c>
      <c r="B171" s="74" t="s">
        <v>851</v>
      </c>
      <c r="C171" s="61">
        <v>46054</v>
      </c>
      <c r="D171" s="63" t="s">
        <v>852</v>
      </c>
      <c r="E171" s="60" t="e" vm="107">
        <v>#VALUE!</v>
      </c>
      <c r="F171" s="60" t="e" vm="23">
        <v>#VALUE!</v>
      </c>
      <c r="G171" s="64" t="s">
        <v>174</v>
      </c>
      <c r="H171" s="60" t="s">
        <v>152</v>
      </c>
      <c r="I171" s="42" t="s">
        <v>175</v>
      </c>
      <c r="J171" s="67" t="s">
        <v>153</v>
      </c>
      <c r="K171" s="60" t="s">
        <v>154</v>
      </c>
      <c r="L171" s="65">
        <v>46056.494444444441</v>
      </c>
      <c r="M171" s="67" t="s">
        <v>58</v>
      </c>
      <c r="N171" s="67" t="s">
        <v>58</v>
      </c>
      <c r="O171" s="65">
        <v>46056.572916666664</v>
      </c>
      <c r="P171" s="65">
        <v>46056.590277777781</v>
      </c>
      <c r="Q171" s="65">
        <v>46056.635416666664</v>
      </c>
      <c r="R171" s="60"/>
      <c r="S171" s="68" t="s">
        <v>853</v>
      </c>
      <c r="T171" s="67" t="s">
        <v>164</v>
      </c>
      <c r="U171" s="60"/>
      <c r="V171" s="68" t="s">
        <v>854</v>
      </c>
      <c r="W171" s="60"/>
      <c r="X171" s="60"/>
      <c r="Y171" s="60" t="s">
        <v>158</v>
      </c>
      <c r="Z171" s="280" t="s">
        <v>70</v>
      </c>
      <c r="AA171" s="60"/>
      <c r="AB171" s="60"/>
      <c r="AC171" s="60"/>
      <c r="AD171" s="60"/>
      <c r="AE171" s="69"/>
      <c r="AF171" s="17"/>
      <c r="AG171" s="17"/>
      <c r="AH171" s="17"/>
      <c r="AI171" s="17"/>
      <c r="AJ171" s="17"/>
      <c r="AK171" s="17"/>
      <c r="AL171" s="17"/>
      <c r="AM171" s="17"/>
      <c r="AN171" s="17"/>
      <c r="AO171" s="17"/>
      <c r="AP171" s="17"/>
      <c r="AQ171" s="17"/>
      <c r="AR171" s="17"/>
      <c r="AS171" s="17"/>
      <c r="AT171" s="17"/>
      <c r="AU171" s="17"/>
    </row>
    <row r="172" spans="1:47" ht="15.75" hidden="1" customHeight="1">
      <c r="A172" s="60">
        <f>ROW() - ROW(Table1[[#Headers],[s]])</f>
        <v>171</v>
      </c>
      <c r="B172" s="74" t="s">
        <v>855</v>
      </c>
      <c r="C172" s="61">
        <v>46054</v>
      </c>
      <c r="D172" s="63" t="s">
        <v>856</v>
      </c>
      <c r="E172" s="60" t="s">
        <v>150</v>
      </c>
      <c r="F172" s="60" t="e" vm="1">
        <v>#VALUE!</v>
      </c>
      <c r="G172" s="64" t="s">
        <v>36</v>
      </c>
      <c r="H172" s="60" t="s">
        <v>152</v>
      </c>
      <c r="I172" s="60" t="s">
        <v>43</v>
      </c>
      <c r="J172" s="67" t="s">
        <v>153</v>
      </c>
      <c r="K172" s="60" t="s">
        <v>154</v>
      </c>
      <c r="L172" s="65">
        <v>46056.490972222222</v>
      </c>
      <c r="M172" s="55" t="s">
        <v>155</v>
      </c>
      <c r="N172" s="55" t="s">
        <v>155</v>
      </c>
      <c r="O172" s="64"/>
      <c r="P172" s="60"/>
      <c r="Q172" s="66">
        <v>46057.4375</v>
      </c>
      <c r="R172" s="60"/>
      <c r="S172" s="68" t="s">
        <v>857</v>
      </c>
      <c r="T172" s="67" t="s">
        <v>164</v>
      </c>
      <c r="U172" s="60"/>
      <c r="V172" s="68" t="s">
        <v>858</v>
      </c>
      <c r="W172" s="60"/>
      <c r="X172" s="60"/>
      <c r="Y172" s="60" t="s">
        <v>203</v>
      </c>
      <c r="Z172" s="60" t="s">
        <v>70</v>
      </c>
      <c r="AA172" s="60"/>
      <c r="AB172" s="60"/>
      <c r="AC172" s="60"/>
      <c r="AD172" s="60"/>
      <c r="AE172" s="69"/>
      <c r="AF172" s="17"/>
      <c r="AG172" s="17"/>
      <c r="AH172" s="17"/>
      <c r="AI172" s="17"/>
      <c r="AJ172" s="17"/>
      <c r="AK172" s="17"/>
      <c r="AL172" s="17"/>
      <c r="AM172" s="17"/>
      <c r="AN172" s="17"/>
      <c r="AO172" s="17"/>
      <c r="AP172" s="17"/>
      <c r="AQ172" s="17"/>
      <c r="AR172" s="17"/>
      <c r="AS172" s="17"/>
      <c r="AT172" s="17"/>
      <c r="AU172" s="17"/>
    </row>
    <row r="173" spans="1:47" ht="15" hidden="1" customHeight="1">
      <c r="A173" s="60">
        <f>ROW() - ROW(Table1[[#Headers],[s]])</f>
        <v>172</v>
      </c>
      <c r="B173" s="60" t="s">
        <v>859</v>
      </c>
      <c r="C173" s="61">
        <v>46054</v>
      </c>
      <c r="D173" s="63" t="s">
        <v>860</v>
      </c>
      <c r="E173" s="60" t="e" vm="108">
        <v>#VALUE!</v>
      </c>
      <c r="F173" s="60" t="e" vm="22">
        <v>#VALUE!</v>
      </c>
      <c r="G173" s="64" t="s">
        <v>36</v>
      </c>
      <c r="H173" s="60" t="s">
        <v>747</v>
      </c>
      <c r="I173" s="60" t="s">
        <v>43</v>
      </c>
      <c r="J173" s="67" t="s">
        <v>253</v>
      </c>
      <c r="K173" s="60" t="s">
        <v>154</v>
      </c>
      <c r="L173" s="65">
        <v>46057.588888888888</v>
      </c>
      <c r="M173" s="67" t="s">
        <v>823</v>
      </c>
      <c r="N173" s="67" t="s">
        <v>823</v>
      </c>
      <c r="O173" s="64"/>
      <c r="P173" s="60"/>
      <c r="Q173" s="66">
        <v>46057.856249999997</v>
      </c>
      <c r="R173" s="60"/>
      <c r="S173" s="68" t="s">
        <v>861</v>
      </c>
      <c r="T173" s="67" t="s">
        <v>164</v>
      </c>
      <c r="U173" s="60"/>
      <c r="V173" s="68" t="s">
        <v>862</v>
      </c>
      <c r="W173" s="60"/>
      <c r="X173" s="60"/>
      <c r="Y173" s="60" t="s">
        <v>158</v>
      </c>
      <c r="Z173" s="281" t="s">
        <v>67</v>
      </c>
      <c r="AA173" s="60"/>
      <c r="AB173" s="60"/>
      <c r="AC173" s="60"/>
      <c r="AD173" s="60"/>
      <c r="AE173" s="69"/>
      <c r="AF173" s="17"/>
      <c r="AG173" s="17"/>
      <c r="AH173" s="17"/>
      <c r="AI173" s="17"/>
      <c r="AJ173" s="17"/>
      <c r="AK173" s="17"/>
      <c r="AL173" s="17"/>
      <c r="AM173" s="17"/>
      <c r="AN173" s="17"/>
      <c r="AO173" s="17"/>
      <c r="AP173" s="17"/>
      <c r="AQ173" s="17"/>
      <c r="AR173" s="17"/>
      <c r="AS173" s="17"/>
      <c r="AT173" s="17"/>
      <c r="AU173" s="17"/>
    </row>
    <row r="174" spans="1:47" ht="15" hidden="1" customHeight="1">
      <c r="A174" s="60">
        <f>ROW() - ROW(Table1[[#Headers],[s]])</f>
        <v>173</v>
      </c>
      <c r="B174" s="60" t="s">
        <v>863</v>
      </c>
      <c r="C174" s="61">
        <v>46054</v>
      </c>
      <c r="D174" s="63" t="s">
        <v>864</v>
      </c>
      <c r="E174" s="60" t="e" vm="9">
        <v>#VALUE!</v>
      </c>
      <c r="F174" s="60" t="e" vm="10">
        <v>#VALUE!</v>
      </c>
      <c r="G174" s="64" t="s">
        <v>36</v>
      </c>
      <c r="H174" s="60" t="s">
        <v>245</v>
      </c>
      <c r="I174" s="60" t="s">
        <v>43</v>
      </c>
      <c r="J174" s="67" t="s">
        <v>253</v>
      </c>
      <c r="K174" s="60" t="s">
        <v>154</v>
      </c>
      <c r="L174" s="65">
        <v>46057.689583333333</v>
      </c>
      <c r="M174" s="67" t="s">
        <v>78</v>
      </c>
      <c r="N174" s="55" t="s">
        <v>78</v>
      </c>
      <c r="O174" s="64"/>
      <c r="P174" s="60"/>
      <c r="Q174" s="66">
        <v>46057.847916666666</v>
      </c>
      <c r="R174" s="60"/>
      <c r="S174" s="68" t="s">
        <v>259</v>
      </c>
      <c r="T174" s="67" t="s">
        <v>266</v>
      </c>
      <c r="U174" s="60"/>
      <c r="V174" s="68" t="s">
        <v>865</v>
      </c>
      <c r="W174" s="60"/>
      <c r="X174" s="60"/>
      <c r="Y174" s="60" t="s">
        <v>158</v>
      </c>
      <c r="Z174" s="281" t="s">
        <v>67</v>
      </c>
      <c r="AA174" s="60"/>
      <c r="AB174" s="60"/>
      <c r="AC174" s="60"/>
      <c r="AD174" s="60"/>
      <c r="AE174" s="69"/>
      <c r="AF174" s="17"/>
      <c r="AG174" s="17"/>
      <c r="AH174" s="17"/>
      <c r="AI174" s="17"/>
      <c r="AJ174" s="17"/>
      <c r="AK174" s="17"/>
      <c r="AL174" s="17"/>
      <c r="AM174" s="17"/>
      <c r="AN174" s="17"/>
      <c r="AO174" s="17"/>
      <c r="AP174" s="17"/>
      <c r="AQ174" s="17"/>
      <c r="AR174" s="17"/>
      <c r="AS174" s="17"/>
      <c r="AT174" s="17"/>
      <c r="AU174" s="17"/>
    </row>
    <row r="175" spans="1:47" ht="15" hidden="1" customHeight="1">
      <c r="A175" s="60">
        <f>ROW() - ROW(Table1[[#Headers],[s]])</f>
        <v>174</v>
      </c>
      <c r="B175" s="60" t="s">
        <v>866</v>
      </c>
      <c r="C175" s="61">
        <v>46054</v>
      </c>
      <c r="D175" s="63" t="s">
        <v>867</v>
      </c>
      <c r="E175" s="60" t="e" vm="109">
        <v>#VALUE!</v>
      </c>
      <c r="F175" s="60" t="e" vm="25">
        <v>#VALUE!</v>
      </c>
      <c r="G175" s="64" t="s">
        <v>36</v>
      </c>
      <c r="H175" s="60" t="s">
        <v>152</v>
      </c>
      <c r="I175" s="60" t="s">
        <v>43</v>
      </c>
      <c r="J175" s="67" t="s">
        <v>153</v>
      </c>
      <c r="K175" s="60" t="s">
        <v>154</v>
      </c>
      <c r="L175" s="65">
        <v>46057.750694444447</v>
      </c>
      <c r="M175" s="67" t="s">
        <v>72</v>
      </c>
      <c r="N175" s="67" t="s">
        <v>72</v>
      </c>
      <c r="O175" s="64"/>
      <c r="P175" s="60"/>
      <c r="Q175" s="66">
        <v>46057.958333333336</v>
      </c>
      <c r="R175" s="60"/>
      <c r="S175" s="68" t="s">
        <v>868</v>
      </c>
      <c r="T175" s="67" t="s">
        <v>164</v>
      </c>
      <c r="U175" s="60"/>
      <c r="V175" s="68" t="s">
        <v>869</v>
      </c>
      <c r="W175" s="60"/>
      <c r="X175" s="60"/>
      <c r="Y175" s="60" t="s">
        <v>158</v>
      </c>
      <c r="Z175" s="60" t="s">
        <v>70</v>
      </c>
      <c r="AA175" s="60"/>
      <c r="AB175" s="60"/>
      <c r="AC175" s="60"/>
      <c r="AD175" s="60"/>
      <c r="AE175" s="69"/>
      <c r="AF175" s="17"/>
      <c r="AG175" s="17"/>
      <c r="AH175" s="17"/>
      <c r="AI175" s="17"/>
      <c r="AJ175" s="17"/>
      <c r="AK175" s="17"/>
      <c r="AL175" s="17"/>
      <c r="AM175" s="17"/>
      <c r="AN175" s="17"/>
      <c r="AO175" s="17"/>
      <c r="AP175" s="17"/>
      <c r="AQ175" s="17"/>
      <c r="AR175" s="17"/>
      <c r="AS175" s="17"/>
      <c r="AT175" s="17"/>
      <c r="AU175" s="17"/>
    </row>
    <row r="176" spans="1:47" ht="15" hidden="1" customHeight="1">
      <c r="A176" s="60">
        <f>ROW() - ROW(Table1[[#Headers],[s]])</f>
        <v>175</v>
      </c>
      <c r="B176" s="60" t="s">
        <v>870</v>
      </c>
      <c r="C176" s="61">
        <v>46054</v>
      </c>
      <c r="D176" s="63" t="s">
        <v>871</v>
      </c>
      <c r="E176" s="60" t="e" vm="55">
        <v>#VALUE!</v>
      </c>
      <c r="F176" s="60" t="e" vm="12">
        <v>#VALUE!</v>
      </c>
      <c r="G176" s="64" t="s">
        <v>151</v>
      </c>
      <c r="H176" s="60" t="s">
        <v>152</v>
      </c>
      <c r="I176" s="70" t="s">
        <v>211</v>
      </c>
      <c r="J176" s="67" t="s">
        <v>153</v>
      </c>
      <c r="K176" s="60" t="s">
        <v>154</v>
      </c>
      <c r="L176" s="65">
        <v>46057.779861111114</v>
      </c>
      <c r="M176" s="67" t="s">
        <v>872</v>
      </c>
      <c r="N176" s="67" t="s">
        <v>873</v>
      </c>
      <c r="O176" s="71">
        <v>46057.880555555559</v>
      </c>
      <c r="P176" s="72">
        <v>46057.880555555559</v>
      </c>
      <c r="Q176" s="66">
        <v>46058.657638888886</v>
      </c>
      <c r="R176" s="60"/>
      <c r="S176" s="68" t="s">
        <v>874</v>
      </c>
      <c r="T176" s="67" t="s">
        <v>266</v>
      </c>
      <c r="U176" s="60"/>
      <c r="V176" s="68" t="s">
        <v>874</v>
      </c>
      <c r="W176" s="60"/>
      <c r="X176" s="60"/>
      <c r="Y176" s="60" t="s">
        <v>158</v>
      </c>
      <c r="Z176" s="60" t="s">
        <v>67</v>
      </c>
      <c r="AA176" s="60"/>
      <c r="AB176" s="60"/>
      <c r="AC176" s="60"/>
      <c r="AD176" s="60"/>
      <c r="AE176" s="69"/>
      <c r="AF176" s="17"/>
      <c r="AG176" s="17"/>
      <c r="AH176" s="17"/>
      <c r="AI176" s="17"/>
      <c r="AJ176" s="17"/>
      <c r="AK176" s="17"/>
      <c r="AL176" s="17"/>
      <c r="AM176" s="17"/>
      <c r="AN176" s="17"/>
      <c r="AO176" s="17"/>
      <c r="AP176" s="17"/>
      <c r="AQ176" s="17"/>
      <c r="AR176" s="17"/>
      <c r="AS176" s="17"/>
      <c r="AT176" s="17"/>
      <c r="AU176" s="17"/>
    </row>
    <row r="177" spans="1:47" ht="15" hidden="1" customHeight="1">
      <c r="A177" s="60">
        <f>ROW() - ROW(Table1[[#Headers],[s]])</f>
        <v>176</v>
      </c>
      <c r="B177" s="60" t="s">
        <v>875</v>
      </c>
      <c r="C177" s="61">
        <v>46054</v>
      </c>
      <c r="D177" s="63" t="s">
        <v>876</v>
      </c>
      <c r="E177" s="60" t="e" vm="110">
        <v>#VALUE!</v>
      </c>
      <c r="F177" s="60" t="e" vm="49">
        <v>#VALUE!</v>
      </c>
      <c r="G177" s="64" t="s">
        <v>36</v>
      </c>
      <c r="H177" s="60" t="s">
        <v>152</v>
      </c>
      <c r="I177" s="60" t="s">
        <v>43</v>
      </c>
      <c r="J177" s="67" t="s">
        <v>153</v>
      </c>
      <c r="K177" s="60" t="s">
        <v>154</v>
      </c>
      <c r="L177" s="65">
        <v>46058.356944444444</v>
      </c>
      <c r="M177" s="67" t="s">
        <v>227</v>
      </c>
      <c r="N177" s="67" t="s">
        <v>877</v>
      </c>
      <c r="O177" s="64"/>
      <c r="P177" s="60"/>
      <c r="Q177" s="66">
        <v>46059.583333333336</v>
      </c>
      <c r="R177" s="60"/>
      <c r="S177" s="68" t="s">
        <v>878</v>
      </c>
      <c r="T177" s="67" t="s">
        <v>164</v>
      </c>
      <c r="U177" s="60"/>
      <c r="V177" s="68" t="s">
        <v>879</v>
      </c>
      <c r="W177" s="60"/>
      <c r="X177" s="60"/>
      <c r="Y177" s="60" t="s">
        <v>158</v>
      </c>
      <c r="Z177" s="60" t="s">
        <v>70</v>
      </c>
      <c r="AA177" s="60"/>
      <c r="AB177" s="60"/>
      <c r="AC177" s="60"/>
      <c r="AD177" s="60"/>
      <c r="AE177" s="69"/>
      <c r="AF177" s="17"/>
      <c r="AG177" s="17"/>
      <c r="AH177" s="17"/>
      <c r="AI177" s="17"/>
      <c r="AJ177" s="17"/>
      <c r="AK177" s="17"/>
      <c r="AL177" s="17"/>
      <c r="AM177" s="17"/>
      <c r="AN177" s="17"/>
      <c r="AO177" s="17"/>
      <c r="AP177" s="17"/>
      <c r="AQ177" s="17"/>
      <c r="AR177" s="17"/>
      <c r="AS177" s="17"/>
      <c r="AT177" s="17"/>
      <c r="AU177" s="17"/>
    </row>
    <row r="178" spans="1:47" ht="15" hidden="1" customHeight="1">
      <c r="A178" s="60">
        <f>ROW() - ROW(Table1[[#Headers],[s]])</f>
        <v>177</v>
      </c>
      <c r="B178" s="60" t="s">
        <v>880</v>
      </c>
      <c r="C178" s="61">
        <v>46054</v>
      </c>
      <c r="D178" s="63" t="s">
        <v>881</v>
      </c>
      <c r="E178" s="60" t="e" vm="111">
        <v>#VALUE!</v>
      </c>
      <c r="F178" s="60" t="e" vm="12">
        <v>#VALUE!</v>
      </c>
      <c r="G178" s="64" t="s">
        <v>42</v>
      </c>
      <c r="H178" s="60" t="s">
        <v>152</v>
      </c>
      <c r="I178" s="60" t="s">
        <v>43</v>
      </c>
      <c r="J178" s="67" t="s">
        <v>153</v>
      </c>
      <c r="K178" s="60" t="s">
        <v>154</v>
      </c>
      <c r="L178" s="65">
        <v>46058.384722222225</v>
      </c>
      <c r="M178" s="67" t="s">
        <v>882</v>
      </c>
      <c r="N178" s="67" t="s">
        <v>882</v>
      </c>
      <c r="O178" s="71">
        <v>46144.384421296294</v>
      </c>
      <c r="P178" s="71">
        <v>46144.384421296294</v>
      </c>
      <c r="Q178" s="71">
        <v>46058.523310185185</v>
      </c>
      <c r="R178" s="60"/>
      <c r="S178" s="68" t="s">
        <v>883</v>
      </c>
      <c r="T178" s="67" t="s">
        <v>164</v>
      </c>
      <c r="U178" s="60"/>
      <c r="V178" s="68" t="s">
        <v>884</v>
      </c>
      <c r="W178" s="60"/>
      <c r="X178" s="60"/>
      <c r="Y178" s="60" t="s">
        <v>203</v>
      </c>
      <c r="Z178" s="60" t="s">
        <v>70</v>
      </c>
      <c r="AA178" s="60"/>
      <c r="AB178" s="60"/>
      <c r="AC178" s="60"/>
      <c r="AD178" s="60"/>
      <c r="AE178" s="69"/>
      <c r="AF178" s="17"/>
      <c r="AG178" s="17"/>
      <c r="AH178" s="17"/>
      <c r="AI178" s="17"/>
      <c r="AJ178" s="17"/>
      <c r="AK178" s="17"/>
      <c r="AL178" s="17"/>
      <c r="AM178" s="17"/>
      <c r="AN178" s="17"/>
      <c r="AO178" s="17"/>
      <c r="AP178" s="17"/>
      <c r="AQ178" s="17"/>
      <c r="AR178" s="17"/>
      <c r="AS178" s="17"/>
      <c r="AT178" s="17"/>
      <c r="AU178" s="17"/>
    </row>
    <row r="179" spans="1:47" ht="15" hidden="1" customHeight="1">
      <c r="A179" s="60">
        <f>ROW() - ROW(Table1[[#Headers],[s]])</f>
        <v>178</v>
      </c>
      <c r="B179" s="60" t="s">
        <v>885</v>
      </c>
      <c r="C179" s="61">
        <v>46054</v>
      </c>
      <c r="D179" s="63" t="s">
        <v>886</v>
      </c>
      <c r="E179" s="60" t="e" vm="112">
        <v>#VALUE!</v>
      </c>
      <c r="F179" s="60" t="e" vm="39">
        <v>#VALUE!</v>
      </c>
      <c r="G179" s="64" t="s">
        <v>42</v>
      </c>
      <c r="H179" s="60" t="s">
        <v>152</v>
      </c>
      <c r="I179" s="60" t="s">
        <v>43</v>
      </c>
      <c r="J179" s="67" t="s">
        <v>153</v>
      </c>
      <c r="K179" s="60" t="s">
        <v>154</v>
      </c>
      <c r="L179" s="65">
        <v>46058.444444444445</v>
      </c>
      <c r="M179" s="67" t="s">
        <v>887</v>
      </c>
      <c r="N179" s="67" t="s">
        <v>887</v>
      </c>
      <c r="O179" s="71">
        <v>46175.371527777781</v>
      </c>
      <c r="P179" s="71">
        <v>46175.375</v>
      </c>
      <c r="Q179" s="71">
        <v>46059.412499999999</v>
      </c>
      <c r="R179" s="60"/>
      <c r="S179" s="68" t="s">
        <v>888</v>
      </c>
      <c r="T179" s="67" t="s">
        <v>478</v>
      </c>
      <c r="U179" s="60"/>
      <c r="V179" s="68" t="s">
        <v>889</v>
      </c>
      <c r="W179" s="60"/>
      <c r="X179" s="60"/>
      <c r="Y179" s="60" t="s">
        <v>158</v>
      </c>
      <c r="Z179" s="60" t="s">
        <v>70</v>
      </c>
      <c r="AA179" s="60"/>
      <c r="AB179" s="60"/>
      <c r="AC179" s="60"/>
      <c r="AD179" s="60"/>
      <c r="AE179" s="69"/>
      <c r="AF179" s="17"/>
      <c r="AG179" s="17"/>
      <c r="AH179" s="17"/>
      <c r="AI179" s="17"/>
      <c r="AJ179" s="17"/>
      <c r="AK179" s="17"/>
      <c r="AL179" s="17"/>
      <c r="AM179" s="17"/>
      <c r="AN179" s="17"/>
      <c r="AO179" s="17"/>
      <c r="AP179" s="17"/>
      <c r="AQ179" s="17"/>
      <c r="AR179" s="17"/>
      <c r="AS179" s="17"/>
      <c r="AT179" s="17"/>
      <c r="AU179" s="17"/>
    </row>
    <row r="180" spans="1:47" ht="15" hidden="1" customHeight="1">
      <c r="A180" s="60">
        <f>ROW() - ROW(Table1[[#Headers],[s]])</f>
        <v>179</v>
      </c>
      <c r="B180" s="60" t="s">
        <v>890</v>
      </c>
      <c r="C180" s="61">
        <v>46054</v>
      </c>
      <c r="D180" s="63" t="s">
        <v>891</v>
      </c>
      <c r="E180" s="60" t="e" vm="69">
        <v>#VALUE!</v>
      </c>
      <c r="F180" s="60" t="e" vm="2">
        <v>#VALUE!</v>
      </c>
      <c r="G180" s="64" t="s">
        <v>151</v>
      </c>
      <c r="H180" s="60" t="s">
        <v>152</v>
      </c>
      <c r="I180" s="70" t="s">
        <v>43</v>
      </c>
      <c r="J180" s="67" t="s">
        <v>153</v>
      </c>
      <c r="K180" s="60" t="s">
        <v>154</v>
      </c>
      <c r="L180" s="65">
        <v>46058.445138888892</v>
      </c>
      <c r="M180" s="67" t="s">
        <v>162</v>
      </c>
      <c r="N180" s="67" t="s">
        <v>162</v>
      </c>
      <c r="O180" s="71">
        <v>46058.589583333334</v>
      </c>
      <c r="P180" s="72">
        <v>46058.59375</v>
      </c>
      <c r="Q180" s="66">
        <v>46058.59652777778</v>
      </c>
      <c r="R180" s="60"/>
      <c r="S180" s="68" t="s">
        <v>892</v>
      </c>
      <c r="T180" s="67" t="s">
        <v>179</v>
      </c>
      <c r="U180" s="60"/>
      <c r="V180" s="68" t="s">
        <v>892</v>
      </c>
      <c r="W180" s="60"/>
      <c r="X180" s="60"/>
      <c r="Y180" s="60" t="s">
        <v>158</v>
      </c>
      <c r="Z180" s="60" t="s">
        <v>70</v>
      </c>
      <c r="AA180" s="60"/>
      <c r="AB180" s="60"/>
      <c r="AC180" s="60"/>
      <c r="AD180" s="60"/>
      <c r="AE180" s="69"/>
      <c r="AF180" s="17"/>
      <c r="AG180" s="17"/>
      <c r="AH180" s="17"/>
      <c r="AI180" s="17"/>
      <c r="AJ180" s="17"/>
      <c r="AK180" s="17"/>
      <c r="AL180" s="17"/>
      <c r="AM180" s="17"/>
      <c r="AN180" s="17"/>
      <c r="AO180" s="17"/>
      <c r="AP180" s="17"/>
      <c r="AQ180" s="17"/>
      <c r="AR180" s="17"/>
      <c r="AS180" s="17"/>
      <c r="AT180" s="17"/>
      <c r="AU180" s="17"/>
    </row>
    <row r="181" spans="1:47" ht="15" hidden="1" customHeight="1">
      <c r="A181" s="60">
        <f>ROW() - ROW(Table1[[#Headers],[s]])</f>
        <v>180</v>
      </c>
      <c r="B181" s="60" t="s">
        <v>893</v>
      </c>
      <c r="C181" s="61">
        <v>46054</v>
      </c>
      <c r="D181" s="63" t="s">
        <v>894</v>
      </c>
      <c r="E181" s="60" t="e" vm="80">
        <v>#VALUE!</v>
      </c>
      <c r="F181" s="60" t="e" vm="10">
        <v>#VALUE!</v>
      </c>
      <c r="G181" s="64" t="s">
        <v>151</v>
      </c>
      <c r="H181" s="60" t="s">
        <v>152</v>
      </c>
      <c r="I181" s="70" t="s">
        <v>43</v>
      </c>
      <c r="J181" s="67" t="s">
        <v>153</v>
      </c>
      <c r="K181" s="60" t="s">
        <v>154</v>
      </c>
      <c r="L181" s="65">
        <v>46058.505555555559</v>
      </c>
      <c r="M181" s="67" t="s">
        <v>78</v>
      </c>
      <c r="N181" s="55" t="s">
        <v>78</v>
      </c>
      <c r="O181" s="71">
        <v>46058.768750000003</v>
      </c>
      <c r="P181" s="72">
        <v>46058.775000000001</v>
      </c>
      <c r="Q181" s="66">
        <v>46058.802083333336</v>
      </c>
      <c r="R181" s="60"/>
      <c r="S181" s="68" t="s">
        <v>895</v>
      </c>
      <c r="T181" s="67" t="s">
        <v>179</v>
      </c>
      <c r="U181" s="60"/>
      <c r="V181" s="68" t="s">
        <v>895</v>
      </c>
      <c r="W181" s="60"/>
      <c r="X181" s="60"/>
      <c r="Y181" s="60" t="s">
        <v>158</v>
      </c>
      <c r="Z181" s="280" t="s">
        <v>70</v>
      </c>
      <c r="AA181" s="60"/>
      <c r="AB181" s="60"/>
      <c r="AC181" s="60"/>
      <c r="AD181" s="60"/>
      <c r="AE181" s="69"/>
      <c r="AF181" s="17"/>
      <c r="AG181" s="17"/>
      <c r="AH181" s="17"/>
      <c r="AI181" s="17"/>
      <c r="AJ181" s="17"/>
      <c r="AK181" s="17"/>
      <c r="AL181" s="17"/>
      <c r="AM181" s="17"/>
      <c r="AN181" s="17"/>
      <c r="AO181" s="17"/>
      <c r="AP181" s="17"/>
      <c r="AQ181" s="17"/>
      <c r="AR181" s="17"/>
      <c r="AS181" s="17"/>
      <c r="AT181" s="17"/>
      <c r="AU181" s="17"/>
    </row>
    <row r="182" spans="1:47" ht="15" hidden="1" customHeight="1">
      <c r="A182" s="60">
        <f>ROW() - ROW(Table1[[#Headers],[s]])</f>
        <v>181</v>
      </c>
      <c r="B182" s="60" t="s">
        <v>896</v>
      </c>
      <c r="C182" s="61">
        <v>46054</v>
      </c>
      <c r="D182" s="63" t="s">
        <v>897</v>
      </c>
      <c r="E182" s="60" t="s">
        <v>898</v>
      </c>
      <c r="F182" s="60" t="e" vm="25">
        <v>#VALUE!</v>
      </c>
      <c r="G182" s="64" t="s">
        <v>151</v>
      </c>
      <c r="H182" s="60" t="s">
        <v>747</v>
      </c>
      <c r="I182" s="70" t="s">
        <v>43</v>
      </c>
      <c r="J182" s="67" t="s">
        <v>253</v>
      </c>
      <c r="K182" s="60" t="s">
        <v>154</v>
      </c>
      <c r="L182" s="65">
        <v>46058.669444444444</v>
      </c>
      <c r="M182" s="67" t="s">
        <v>72</v>
      </c>
      <c r="N182" s="67" t="s">
        <v>72</v>
      </c>
      <c r="O182" s="71">
        <v>46058.731944444444</v>
      </c>
      <c r="P182" s="72">
        <v>46058.74722222222</v>
      </c>
      <c r="Q182" s="66">
        <v>46058.832638888889</v>
      </c>
      <c r="R182" s="60"/>
      <c r="S182" s="68" t="s">
        <v>899</v>
      </c>
      <c r="T182" s="67" t="s">
        <v>478</v>
      </c>
      <c r="U182" s="60"/>
      <c r="V182" s="68" t="s">
        <v>900</v>
      </c>
      <c r="W182" s="60"/>
      <c r="X182" s="60"/>
      <c r="Y182" s="60" t="s">
        <v>158</v>
      </c>
      <c r="Z182" s="60" t="s">
        <v>70</v>
      </c>
      <c r="AA182" s="60"/>
      <c r="AB182" s="60"/>
      <c r="AC182" s="60"/>
      <c r="AD182" s="60"/>
      <c r="AE182" s="69"/>
      <c r="AF182" s="17"/>
      <c r="AG182" s="17"/>
      <c r="AH182" s="17"/>
      <c r="AI182" s="17"/>
      <c r="AJ182" s="17"/>
      <c r="AK182" s="17"/>
      <c r="AL182" s="17"/>
      <c r="AM182" s="17"/>
      <c r="AN182" s="17"/>
      <c r="AO182" s="17"/>
      <c r="AP182" s="17"/>
      <c r="AQ182" s="17"/>
      <c r="AR182" s="17"/>
      <c r="AS182" s="17"/>
      <c r="AT182" s="17"/>
      <c r="AU182" s="17"/>
    </row>
    <row r="183" spans="1:47" ht="15" hidden="1" customHeight="1">
      <c r="A183" s="60">
        <f>ROW() - ROW(Table1[[#Headers],[s]])</f>
        <v>182</v>
      </c>
      <c r="B183" s="60" t="s">
        <v>901</v>
      </c>
      <c r="C183" s="61">
        <v>46054</v>
      </c>
      <c r="D183" s="63" t="s">
        <v>902</v>
      </c>
      <c r="E183" s="60" t="e" vm="99">
        <v>#VALUE!</v>
      </c>
      <c r="F183" s="60" t="e" vm="35">
        <v>#VALUE!</v>
      </c>
      <c r="G183" s="64" t="s">
        <v>151</v>
      </c>
      <c r="H183" s="60" t="s">
        <v>152</v>
      </c>
      <c r="I183" s="70" t="s">
        <v>43</v>
      </c>
      <c r="J183" s="67" t="s">
        <v>153</v>
      </c>
      <c r="K183" s="60" t="s">
        <v>154</v>
      </c>
      <c r="L183" s="65">
        <v>46058.6875</v>
      </c>
      <c r="M183" s="67" t="s">
        <v>68</v>
      </c>
      <c r="N183" s="67" t="s">
        <v>68</v>
      </c>
      <c r="O183" s="71">
        <v>46058.762499999997</v>
      </c>
      <c r="P183" s="72">
        <v>46058.762499999997</v>
      </c>
      <c r="Q183" s="66">
        <v>46058.961805555555</v>
      </c>
      <c r="R183" s="60"/>
      <c r="S183" s="68" t="s">
        <v>903</v>
      </c>
      <c r="T183" s="67" t="s">
        <v>478</v>
      </c>
      <c r="U183" s="60"/>
      <c r="V183" s="68" t="s">
        <v>903</v>
      </c>
      <c r="W183" s="60"/>
      <c r="X183" s="60"/>
      <c r="Y183" s="60" t="s">
        <v>158</v>
      </c>
      <c r="Z183" s="60" t="s">
        <v>70</v>
      </c>
      <c r="AA183" s="60"/>
      <c r="AB183" s="60"/>
      <c r="AC183" s="60"/>
      <c r="AD183" s="60"/>
      <c r="AE183" s="69"/>
      <c r="AF183" s="17"/>
      <c r="AG183" s="17"/>
      <c r="AH183" s="17"/>
      <c r="AI183" s="17"/>
      <c r="AJ183" s="17"/>
      <c r="AK183" s="17"/>
      <c r="AL183" s="17"/>
      <c r="AM183" s="17"/>
      <c r="AN183" s="17"/>
      <c r="AO183" s="17"/>
      <c r="AP183" s="17"/>
      <c r="AQ183" s="17"/>
      <c r="AR183" s="17"/>
      <c r="AS183" s="17"/>
      <c r="AT183" s="17"/>
      <c r="AU183" s="17"/>
    </row>
    <row r="184" spans="1:47" ht="15" hidden="1" customHeight="1">
      <c r="A184" s="60">
        <f>ROW() - ROW(Table1[[#Headers],[s]])</f>
        <v>183</v>
      </c>
      <c r="B184" s="60" t="s">
        <v>904</v>
      </c>
      <c r="C184" s="61">
        <v>46054</v>
      </c>
      <c r="D184" s="63" t="s">
        <v>905</v>
      </c>
      <c r="E184" s="60" t="e" vm="113">
        <v>#VALUE!</v>
      </c>
      <c r="F184" s="60" t="e" vm="12">
        <v>#VALUE!</v>
      </c>
      <c r="G184" s="64" t="s">
        <v>151</v>
      </c>
      <c r="H184" s="60" t="s">
        <v>152</v>
      </c>
      <c r="I184" s="70" t="s">
        <v>43</v>
      </c>
      <c r="J184" s="67" t="s">
        <v>153</v>
      </c>
      <c r="K184" s="60" t="s">
        <v>154</v>
      </c>
      <c r="L184" s="65">
        <v>46058.688888888886</v>
      </c>
      <c r="M184" s="67" t="s">
        <v>906</v>
      </c>
      <c r="N184" s="67" t="s">
        <v>906</v>
      </c>
      <c r="O184" s="71">
        <v>46058.75</v>
      </c>
      <c r="P184" s="72">
        <v>46058.753472222219</v>
      </c>
      <c r="Q184" s="66">
        <v>46058.757638888892</v>
      </c>
      <c r="R184" s="60"/>
      <c r="S184" s="68" t="s">
        <v>907</v>
      </c>
      <c r="T184" s="67" t="s">
        <v>164</v>
      </c>
      <c r="U184" s="60"/>
      <c r="V184" s="68" t="s">
        <v>907</v>
      </c>
      <c r="W184" s="60"/>
      <c r="X184" s="60"/>
      <c r="Y184" s="60" t="s">
        <v>158</v>
      </c>
      <c r="Z184" s="60" t="s">
        <v>70</v>
      </c>
      <c r="AA184" s="60"/>
      <c r="AB184" s="60"/>
      <c r="AC184" s="60"/>
      <c r="AD184" s="60"/>
      <c r="AE184" s="69"/>
      <c r="AF184" s="17"/>
      <c r="AG184" s="17"/>
      <c r="AH184" s="17"/>
      <c r="AI184" s="17"/>
      <c r="AJ184" s="17"/>
      <c r="AK184" s="17"/>
      <c r="AL184" s="17"/>
      <c r="AM184" s="17"/>
      <c r="AN184" s="17"/>
      <c r="AO184" s="17"/>
      <c r="AP184" s="17"/>
      <c r="AQ184" s="17"/>
      <c r="AR184" s="17"/>
      <c r="AS184" s="17"/>
      <c r="AT184" s="17"/>
      <c r="AU184" s="17"/>
    </row>
    <row r="185" spans="1:47" ht="15" hidden="1" customHeight="1">
      <c r="A185" s="60">
        <f>ROW() - ROW(Table1[[#Headers],[s]])</f>
        <v>184</v>
      </c>
      <c r="B185" s="42" t="s">
        <v>908</v>
      </c>
      <c r="C185" s="127" t="s">
        <v>60</v>
      </c>
      <c r="D185" s="63" t="s">
        <v>909</v>
      </c>
      <c r="E185" s="60" t="e" vm="99">
        <v>#VALUE!</v>
      </c>
      <c r="F185" s="60" t="e" vm="35">
        <v>#VALUE!</v>
      </c>
      <c r="G185" s="64" t="s">
        <v>151</v>
      </c>
      <c r="H185" s="60" t="s">
        <v>152</v>
      </c>
      <c r="I185" s="70" t="s">
        <v>179</v>
      </c>
      <c r="J185" s="67" t="s">
        <v>153</v>
      </c>
      <c r="K185" s="42" t="s">
        <v>154</v>
      </c>
      <c r="L185" s="65">
        <v>46058.69027777778</v>
      </c>
      <c r="M185" s="67" t="s">
        <v>68</v>
      </c>
      <c r="N185" s="67"/>
      <c r="O185" s="64"/>
      <c r="P185" s="60"/>
      <c r="Q185" s="110"/>
      <c r="R185" s="60"/>
      <c r="S185" s="53" t="s">
        <v>910</v>
      </c>
      <c r="T185" s="67" t="s">
        <v>179</v>
      </c>
      <c r="U185" s="60"/>
      <c r="V185" s="53" t="s">
        <v>910</v>
      </c>
      <c r="W185" s="60"/>
      <c r="X185" s="60"/>
      <c r="Y185" s="60" t="s">
        <v>179</v>
      </c>
      <c r="Z185" s="60" t="s">
        <v>179</v>
      </c>
      <c r="AA185" s="60"/>
      <c r="AB185" s="60"/>
      <c r="AC185" s="60"/>
      <c r="AD185" s="60"/>
      <c r="AE185" s="69"/>
      <c r="AF185" s="17"/>
      <c r="AG185" s="17"/>
      <c r="AH185" s="17"/>
      <c r="AI185" s="17"/>
      <c r="AJ185" s="17"/>
      <c r="AK185" s="17"/>
      <c r="AL185" s="17"/>
      <c r="AM185" s="17"/>
      <c r="AN185" s="17"/>
      <c r="AO185" s="17"/>
      <c r="AP185" s="17"/>
      <c r="AQ185" s="17"/>
      <c r="AR185" s="17"/>
      <c r="AS185" s="17"/>
      <c r="AT185" s="17"/>
      <c r="AU185" s="17"/>
    </row>
    <row r="186" spans="1:47" ht="15" hidden="1" customHeight="1">
      <c r="A186" s="60">
        <f>ROW() - ROW(Table1[[#Headers],[s]])</f>
        <v>185</v>
      </c>
      <c r="B186" s="60" t="s">
        <v>911</v>
      </c>
      <c r="C186" s="61">
        <v>46054</v>
      </c>
      <c r="D186" s="63" t="s">
        <v>912</v>
      </c>
      <c r="E186" s="60" t="e" vm="114">
        <v>#VALUE!</v>
      </c>
      <c r="F186" s="60" t="e" vm="5">
        <v>#VALUE!</v>
      </c>
      <c r="G186" s="64" t="s">
        <v>151</v>
      </c>
      <c r="H186" s="60" t="s">
        <v>747</v>
      </c>
      <c r="I186" s="70" t="s">
        <v>43</v>
      </c>
      <c r="J186" s="67" t="s">
        <v>253</v>
      </c>
      <c r="K186" s="60" t="s">
        <v>154</v>
      </c>
      <c r="L186" s="65">
        <v>46058.731944444444</v>
      </c>
      <c r="M186" s="67" t="s">
        <v>55</v>
      </c>
      <c r="N186" s="67" t="s">
        <v>55</v>
      </c>
      <c r="O186" s="71">
        <v>46058.794444444444</v>
      </c>
      <c r="P186" s="72">
        <v>46058.811111111114</v>
      </c>
      <c r="Q186" s="66">
        <v>46058.831250000003</v>
      </c>
      <c r="R186" s="60"/>
      <c r="S186" s="68" t="s">
        <v>913</v>
      </c>
      <c r="T186" s="67" t="s">
        <v>164</v>
      </c>
      <c r="U186" s="60"/>
      <c r="V186" s="68" t="s">
        <v>914</v>
      </c>
      <c r="W186" s="60"/>
      <c r="X186" s="60"/>
      <c r="Y186" s="60" t="s">
        <v>158</v>
      </c>
      <c r="Z186" s="60" t="s">
        <v>70</v>
      </c>
      <c r="AA186" s="60"/>
      <c r="AB186" s="60"/>
      <c r="AC186" s="60"/>
      <c r="AD186" s="60"/>
      <c r="AE186" s="69"/>
      <c r="AF186" s="17"/>
      <c r="AG186" s="17"/>
      <c r="AH186" s="17"/>
      <c r="AI186" s="17"/>
      <c r="AJ186" s="17"/>
      <c r="AK186" s="17"/>
      <c r="AL186" s="17"/>
      <c r="AM186" s="17"/>
      <c r="AN186" s="17"/>
      <c r="AO186" s="17"/>
      <c r="AP186" s="17"/>
      <c r="AQ186" s="17"/>
      <c r="AR186" s="17"/>
      <c r="AS186" s="17"/>
      <c r="AT186" s="17"/>
      <c r="AU186" s="17"/>
    </row>
    <row r="187" spans="1:47" ht="15" customHeight="1">
      <c r="A187" s="60">
        <f>ROW() - ROW(Table1[[#Headers],[s]])</f>
        <v>186</v>
      </c>
      <c r="B187" s="60" t="s">
        <v>915</v>
      </c>
      <c r="C187" s="61">
        <v>46054</v>
      </c>
      <c r="D187" s="63" t="s">
        <v>916</v>
      </c>
      <c r="E187" s="60" t="e" vm="83">
        <v>#VALUE!</v>
      </c>
      <c r="F187" s="60" t="e" vm="37">
        <v>#VALUE!</v>
      </c>
      <c r="G187" s="64" t="s">
        <v>186</v>
      </c>
      <c r="H187" s="60" t="s">
        <v>152</v>
      </c>
      <c r="I187" s="42" t="s">
        <v>43</v>
      </c>
      <c r="J187" s="67" t="s">
        <v>153</v>
      </c>
      <c r="K187" s="60" t="s">
        <v>154</v>
      </c>
      <c r="L187" s="65">
        <v>46059.453472222223</v>
      </c>
      <c r="M187" s="67" t="s">
        <v>800</v>
      </c>
      <c r="N187" s="67" t="s">
        <v>800</v>
      </c>
      <c r="O187" s="71">
        <v>46059.458333333336</v>
      </c>
      <c r="P187" s="72">
        <v>46059.465277777781</v>
      </c>
      <c r="Q187" s="66">
        <v>46059.547222222223</v>
      </c>
      <c r="R187" s="60"/>
      <c r="S187" s="68" t="s">
        <v>917</v>
      </c>
      <c r="T187" s="67" t="s">
        <v>164</v>
      </c>
      <c r="U187" s="60"/>
      <c r="V187" s="68" t="s">
        <v>802</v>
      </c>
      <c r="W187" s="60"/>
      <c r="X187" s="60"/>
      <c r="Y187" s="60" t="s">
        <v>158</v>
      </c>
      <c r="Z187" s="60" t="s">
        <v>70</v>
      </c>
      <c r="AA187" s="60"/>
      <c r="AB187" s="60"/>
      <c r="AC187" s="60"/>
      <c r="AD187" s="60"/>
      <c r="AE187" s="69"/>
      <c r="AF187" s="17"/>
      <c r="AG187" s="17"/>
      <c r="AH187" s="17"/>
      <c r="AI187" s="17"/>
      <c r="AJ187" s="17"/>
      <c r="AK187" s="17"/>
      <c r="AL187" s="17"/>
      <c r="AM187" s="17"/>
      <c r="AN187" s="17"/>
      <c r="AO187" s="17"/>
      <c r="AP187" s="17"/>
      <c r="AQ187" s="17"/>
      <c r="AR187" s="17"/>
      <c r="AS187" s="17"/>
      <c r="AT187" s="17"/>
      <c r="AU187" s="17"/>
    </row>
    <row r="188" spans="1:47" ht="15" customHeight="1">
      <c r="A188" s="60">
        <f>ROW() - ROW(Table1[[#Headers],[s]])</f>
        <v>187</v>
      </c>
      <c r="B188" s="73" t="s">
        <v>918</v>
      </c>
      <c r="C188" s="61">
        <v>46054</v>
      </c>
      <c r="D188" s="63" t="s">
        <v>919</v>
      </c>
      <c r="E188" s="60" t="e" vm="110">
        <v>#VALUE!</v>
      </c>
      <c r="F188" s="60" t="e" vm="49">
        <v>#VALUE!</v>
      </c>
      <c r="G188" s="64" t="s">
        <v>186</v>
      </c>
      <c r="H188" s="60" t="s">
        <v>152</v>
      </c>
      <c r="I188" s="42" t="s">
        <v>43</v>
      </c>
      <c r="J188" s="67" t="s">
        <v>153</v>
      </c>
      <c r="K188" s="60" t="s">
        <v>154</v>
      </c>
      <c r="L188" s="65">
        <v>46059.619444444441</v>
      </c>
      <c r="M188" s="67" t="s">
        <v>920</v>
      </c>
      <c r="N188" s="67" t="s">
        <v>920</v>
      </c>
      <c r="O188" s="71">
        <v>46059.666666666664</v>
      </c>
      <c r="P188" s="72">
        <v>46059.673611111109</v>
      </c>
      <c r="Q188" s="66">
        <v>46059.7</v>
      </c>
      <c r="R188" s="60"/>
      <c r="S188" s="68" t="s">
        <v>921</v>
      </c>
      <c r="T188" s="67" t="s">
        <v>164</v>
      </c>
      <c r="U188" s="60"/>
      <c r="V188" s="68" t="s">
        <v>922</v>
      </c>
      <c r="W188" s="60"/>
      <c r="X188" s="60"/>
      <c r="Y188" s="60" t="s">
        <v>158</v>
      </c>
      <c r="Z188" s="60" t="s">
        <v>70</v>
      </c>
      <c r="AA188" s="60"/>
      <c r="AB188" s="60"/>
      <c r="AC188" s="60"/>
      <c r="AD188" s="60"/>
      <c r="AE188" s="69"/>
      <c r="AF188" s="17"/>
      <c r="AG188" s="17"/>
      <c r="AH188" s="17"/>
      <c r="AI188" s="17"/>
      <c r="AJ188" s="17"/>
      <c r="AK188" s="17"/>
      <c r="AL188" s="17"/>
      <c r="AM188" s="17"/>
      <c r="AN188" s="17"/>
      <c r="AO188" s="17"/>
      <c r="AP188" s="17"/>
      <c r="AQ188" s="17"/>
      <c r="AR188" s="17"/>
      <c r="AS188" s="17"/>
      <c r="AT188" s="17"/>
      <c r="AU188" s="17"/>
    </row>
    <row r="189" spans="1:47" ht="15" customHeight="1">
      <c r="A189" s="60">
        <f>ROW() - ROW(Table1[[#Headers],[s]])</f>
        <v>188</v>
      </c>
      <c r="B189" s="60" t="s">
        <v>923</v>
      </c>
      <c r="C189" s="61">
        <v>46054</v>
      </c>
      <c r="D189" s="63" t="s">
        <v>924</v>
      </c>
      <c r="E189" s="60" t="e" vm="115">
        <v>#VALUE!</v>
      </c>
      <c r="F189" s="60" t="e" vm="12">
        <v>#VALUE!</v>
      </c>
      <c r="G189" s="64" t="s">
        <v>186</v>
      </c>
      <c r="H189" s="60" t="s">
        <v>152</v>
      </c>
      <c r="I189" s="42" t="s">
        <v>43</v>
      </c>
      <c r="J189" s="67" t="s">
        <v>153</v>
      </c>
      <c r="K189" s="60" t="s">
        <v>154</v>
      </c>
      <c r="L189" s="65">
        <v>46059.654166666667</v>
      </c>
      <c r="M189" s="67" t="s">
        <v>53</v>
      </c>
      <c r="N189" s="67" t="s">
        <v>53</v>
      </c>
      <c r="O189" s="71">
        <v>46060.708333333336</v>
      </c>
      <c r="P189" s="72">
        <v>46059.715277777781</v>
      </c>
      <c r="Q189" s="66">
        <v>46059.8125</v>
      </c>
      <c r="R189" s="60"/>
      <c r="S189" s="68" t="s">
        <v>925</v>
      </c>
      <c r="T189" s="67" t="s">
        <v>164</v>
      </c>
      <c r="U189" s="60"/>
      <c r="V189" s="68" t="s">
        <v>926</v>
      </c>
      <c r="W189" s="60"/>
      <c r="X189" s="60"/>
      <c r="Y189" s="60" t="s">
        <v>158</v>
      </c>
      <c r="Z189" s="60" t="s">
        <v>70</v>
      </c>
      <c r="AA189" s="60"/>
      <c r="AB189" s="60"/>
      <c r="AC189" s="60"/>
      <c r="AD189" s="60"/>
      <c r="AE189" s="69"/>
      <c r="AF189" s="17"/>
      <c r="AG189" s="17"/>
      <c r="AH189" s="17"/>
      <c r="AI189" s="17"/>
      <c r="AJ189" s="17"/>
      <c r="AK189" s="17"/>
      <c r="AL189" s="17"/>
      <c r="AM189" s="17"/>
      <c r="AN189" s="17"/>
      <c r="AO189" s="17"/>
      <c r="AP189" s="17"/>
      <c r="AQ189" s="17"/>
      <c r="AR189" s="17"/>
      <c r="AS189" s="17"/>
      <c r="AT189" s="17"/>
      <c r="AU189" s="17"/>
    </row>
    <row r="190" spans="1:47" ht="15.75" hidden="1" customHeight="1">
      <c r="A190" s="60">
        <f>ROW() - ROW(Table1[[#Headers],[s]])</f>
        <v>189</v>
      </c>
      <c r="B190" s="74" t="s">
        <v>927</v>
      </c>
      <c r="C190" s="61">
        <v>46054</v>
      </c>
      <c r="D190" s="63" t="s">
        <v>928</v>
      </c>
      <c r="E190" s="60" t="e" vm="111">
        <v>#VALUE!</v>
      </c>
      <c r="F190" s="60" t="e" vm="12">
        <v>#VALUE!</v>
      </c>
      <c r="G190" s="64" t="s">
        <v>174</v>
      </c>
      <c r="H190" s="60" t="s">
        <v>152</v>
      </c>
      <c r="I190" s="42" t="s">
        <v>175</v>
      </c>
      <c r="J190" s="67" t="s">
        <v>153</v>
      </c>
      <c r="K190" s="60" t="s">
        <v>154</v>
      </c>
      <c r="L190" s="65">
        <v>46059.713194444441</v>
      </c>
      <c r="M190" s="67" t="s">
        <v>72</v>
      </c>
      <c r="N190" s="67" t="s">
        <v>72</v>
      </c>
      <c r="O190" s="71">
        <v>45695.333333333336</v>
      </c>
      <c r="P190" s="71">
        <v>45695.354166666664</v>
      </c>
      <c r="Q190" s="71">
        <v>46060.385416666664</v>
      </c>
      <c r="R190" s="60"/>
      <c r="S190" s="68" t="s">
        <v>929</v>
      </c>
      <c r="T190" s="67" t="s">
        <v>179</v>
      </c>
      <c r="U190" s="60"/>
      <c r="V190" s="68" t="s">
        <v>930</v>
      </c>
      <c r="W190" s="60"/>
      <c r="X190" s="60"/>
      <c r="Y190" s="60" t="s">
        <v>158</v>
      </c>
      <c r="Z190" s="60" t="s">
        <v>70</v>
      </c>
      <c r="AA190" s="60"/>
      <c r="AB190" s="60"/>
      <c r="AC190" s="60"/>
      <c r="AD190" s="60"/>
      <c r="AE190" s="69"/>
      <c r="AF190" s="17"/>
      <c r="AG190" s="17"/>
      <c r="AH190" s="17"/>
      <c r="AI190" s="17"/>
      <c r="AJ190" s="17"/>
      <c r="AK190" s="17"/>
      <c r="AL190" s="17"/>
      <c r="AM190" s="17"/>
      <c r="AN190" s="17"/>
      <c r="AO190" s="17"/>
      <c r="AP190" s="17"/>
      <c r="AQ190" s="17"/>
      <c r="AR190" s="17"/>
      <c r="AS190" s="17"/>
      <c r="AT190" s="17"/>
      <c r="AU190" s="17"/>
    </row>
    <row r="191" spans="1:47" ht="15.75" hidden="1" customHeight="1">
      <c r="A191" s="60">
        <f>ROW() - ROW(Table1[[#Headers],[s]])</f>
        <v>190</v>
      </c>
      <c r="B191" s="74" t="s">
        <v>931</v>
      </c>
      <c r="C191" s="61">
        <v>46054</v>
      </c>
      <c r="D191" s="63" t="s">
        <v>932</v>
      </c>
      <c r="E191" s="60" t="e" vm="116">
        <v>#VALUE!</v>
      </c>
      <c r="F191" s="60" t="e" vm="42">
        <v>#VALUE!</v>
      </c>
      <c r="G191" s="64" t="s">
        <v>174</v>
      </c>
      <c r="H191" s="60" t="s">
        <v>152</v>
      </c>
      <c r="I191" s="42" t="s">
        <v>175</v>
      </c>
      <c r="J191" s="67" t="s">
        <v>153</v>
      </c>
      <c r="K191" s="60" t="s">
        <v>154</v>
      </c>
      <c r="L191" s="65">
        <v>46059.689583333333</v>
      </c>
      <c r="M191" s="67" t="s">
        <v>602</v>
      </c>
      <c r="N191" s="67" t="s">
        <v>602</v>
      </c>
      <c r="O191" s="71">
        <v>45695.333333333336</v>
      </c>
      <c r="P191" s="71">
        <v>45695.354166666664</v>
      </c>
      <c r="Q191" s="71">
        <v>46060.375</v>
      </c>
      <c r="R191" s="60"/>
      <c r="S191" s="68" t="s">
        <v>933</v>
      </c>
      <c r="T191" s="67" t="s">
        <v>179</v>
      </c>
      <c r="U191" s="60"/>
      <c r="V191" s="68" t="s">
        <v>934</v>
      </c>
      <c r="W191" s="60"/>
      <c r="X191" s="60"/>
      <c r="Y191" s="60" t="s">
        <v>158</v>
      </c>
      <c r="Z191" s="60" t="s">
        <v>70</v>
      </c>
      <c r="AA191" s="60"/>
      <c r="AB191" s="60"/>
      <c r="AC191" s="60"/>
      <c r="AD191" s="60"/>
      <c r="AE191" s="69"/>
      <c r="AF191" s="17"/>
      <c r="AG191" s="17"/>
      <c r="AH191" s="17"/>
      <c r="AI191" s="17"/>
      <c r="AJ191" s="17"/>
      <c r="AK191" s="17"/>
      <c r="AL191" s="17"/>
      <c r="AM191" s="17"/>
      <c r="AN191" s="17"/>
      <c r="AO191" s="17"/>
      <c r="AP191" s="17"/>
      <c r="AQ191" s="17"/>
      <c r="AR191" s="17"/>
      <c r="AS191" s="17"/>
      <c r="AT191" s="17"/>
      <c r="AU191" s="17"/>
    </row>
    <row r="192" spans="1:47" ht="15" hidden="1" customHeight="1">
      <c r="A192" s="60">
        <f>ROW() - ROW(Table1[[#Headers],[s]])</f>
        <v>191</v>
      </c>
      <c r="B192" s="60" t="s">
        <v>935</v>
      </c>
      <c r="C192" s="61">
        <v>46054</v>
      </c>
      <c r="D192" s="63" t="s">
        <v>936</v>
      </c>
      <c r="E192" s="60" t="s">
        <v>937</v>
      </c>
      <c r="F192" s="60" t="e" vm="35">
        <v>#VALUE!</v>
      </c>
      <c r="G192" s="64" t="s">
        <v>174</v>
      </c>
      <c r="H192" s="60" t="s">
        <v>747</v>
      </c>
      <c r="I192" s="42" t="s">
        <v>175</v>
      </c>
      <c r="J192" s="67" t="s">
        <v>253</v>
      </c>
      <c r="K192" s="60" t="s">
        <v>154</v>
      </c>
      <c r="L192" s="65">
        <v>46059.697916666664</v>
      </c>
      <c r="M192" s="67" t="s">
        <v>938</v>
      </c>
      <c r="N192" s="67" t="s">
        <v>227</v>
      </c>
      <c r="O192" s="65">
        <v>46059.756944444445</v>
      </c>
      <c r="P192" s="66">
        <v>46060.333333333336</v>
      </c>
      <c r="Q192" s="66">
        <v>46060.665972222225</v>
      </c>
      <c r="R192" s="60"/>
      <c r="S192" s="68" t="s">
        <v>939</v>
      </c>
      <c r="T192" s="67" t="s">
        <v>179</v>
      </c>
      <c r="U192" s="60"/>
      <c r="V192" s="68" t="s">
        <v>940</v>
      </c>
      <c r="W192" s="60"/>
      <c r="X192" s="60"/>
      <c r="Y192" s="60" t="s">
        <v>158</v>
      </c>
      <c r="Z192" s="60" t="s">
        <v>67</v>
      </c>
      <c r="AA192" s="60"/>
      <c r="AB192" s="60"/>
      <c r="AC192" s="60"/>
      <c r="AD192" s="60"/>
      <c r="AE192" s="69"/>
      <c r="AF192" s="17"/>
      <c r="AG192" s="17"/>
      <c r="AH192" s="17"/>
      <c r="AI192" s="17"/>
      <c r="AJ192" s="17"/>
      <c r="AK192" s="17"/>
      <c r="AL192" s="17"/>
      <c r="AM192" s="17"/>
      <c r="AN192" s="17"/>
      <c r="AO192" s="17"/>
      <c r="AP192" s="17"/>
      <c r="AQ192" s="17"/>
      <c r="AR192" s="17"/>
      <c r="AS192" s="17"/>
      <c r="AT192" s="17"/>
      <c r="AU192" s="17"/>
    </row>
    <row r="193" spans="1:47" ht="15.75" hidden="1" customHeight="1">
      <c r="A193" s="60">
        <f>ROW() - ROW(Table1[[#Headers],[s]])</f>
        <v>192</v>
      </c>
      <c r="B193" s="74" t="s">
        <v>941</v>
      </c>
      <c r="C193" s="61">
        <v>46054</v>
      </c>
      <c r="D193" s="63" t="s">
        <v>942</v>
      </c>
      <c r="E193" s="60" t="e" vm="117">
        <v>#VALUE!</v>
      </c>
      <c r="F193" s="60" t="e" vm="2">
        <v>#VALUE!</v>
      </c>
      <c r="G193" s="64" t="s">
        <v>174</v>
      </c>
      <c r="H193" s="60" t="s">
        <v>152</v>
      </c>
      <c r="I193" s="42" t="s">
        <v>175</v>
      </c>
      <c r="J193" s="67" t="s">
        <v>153</v>
      </c>
      <c r="K193" s="60" t="s">
        <v>154</v>
      </c>
      <c r="L193" s="65">
        <v>46060.621527777781</v>
      </c>
      <c r="M193" s="67" t="s">
        <v>162</v>
      </c>
      <c r="N193" s="67" t="s">
        <v>162</v>
      </c>
      <c r="O193" s="71">
        <v>46061.333333333336</v>
      </c>
      <c r="P193" s="71">
        <v>46061.354166666664</v>
      </c>
      <c r="Q193" s="71">
        <v>46061.375</v>
      </c>
      <c r="R193" s="60"/>
      <c r="S193" s="68" t="s">
        <v>943</v>
      </c>
      <c r="T193" s="67" t="s">
        <v>266</v>
      </c>
      <c r="U193" s="60"/>
      <c r="V193" s="68" t="s">
        <v>944</v>
      </c>
      <c r="W193" s="60"/>
      <c r="X193" s="60"/>
      <c r="Y193" s="60" t="s">
        <v>158</v>
      </c>
      <c r="Z193" s="60" t="s">
        <v>70</v>
      </c>
      <c r="AA193" s="60"/>
      <c r="AB193" s="60"/>
      <c r="AC193" s="60"/>
      <c r="AD193" s="60"/>
      <c r="AE193" s="69"/>
      <c r="AF193" s="17"/>
      <c r="AG193" s="17"/>
      <c r="AH193" s="17"/>
      <c r="AI193" s="17"/>
      <c r="AJ193" s="17"/>
      <c r="AK193" s="17"/>
      <c r="AL193" s="17"/>
      <c r="AM193" s="17"/>
      <c r="AN193" s="17"/>
      <c r="AO193" s="17"/>
      <c r="AP193" s="17"/>
      <c r="AQ193" s="17"/>
      <c r="AR193" s="17"/>
      <c r="AS193" s="17"/>
      <c r="AT193" s="17"/>
      <c r="AU193" s="17"/>
    </row>
    <row r="194" spans="1:47" ht="15" hidden="1" customHeight="1">
      <c r="A194" s="60">
        <f>ROW() - ROW(Table1[[#Headers],[s]])</f>
        <v>193</v>
      </c>
      <c r="B194" s="73" t="s">
        <v>945</v>
      </c>
      <c r="C194" s="61">
        <v>46054</v>
      </c>
      <c r="D194" s="63" t="s">
        <v>946</v>
      </c>
      <c r="E194" s="60" t="e" vm="118">
        <v>#VALUE!</v>
      </c>
      <c r="F194" s="60" t="e" vm="25">
        <v>#VALUE!</v>
      </c>
      <c r="G194" s="64" t="s">
        <v>174</v>
      </c>
      <c r="H194" s="60" t="s">
        <v>152</v>
      </c>
      <c r="I194" s="42" t="s">
        <v>175</v>
      </c>
      <c r="J194" s="67" t="s">
        <v>153</v>
      </c>
      <c r="K194" s="60" t="s">
        <v>154</v>
      </c>
      <c r="L194" s="65">
        <v>46060.572916666664</v>
      </c>
      <c r="M194" s="67" t="s">
        <v>72</v>
      </c>
      <c r="N194" s="67" t="s">
        <v>72</v>
      </c>
      <c r="O194" s="65">
        <v>46060.631944444445</v>
      </c>
      <c r="P194" s="65">
        <v>46060.659722222219</v>
      </c>
      <c r="Q194" s="65">
        <v>46060.659722222219</v>
      </c>
      <c r="R194" s="60"/>
      <c r="S194" s="68" t="s">
        <v>947</v>
      </c>
      <c r="T194" s="67" t="s">
        <v>164</v>
      </c>
      <c r="U194" s="60"/>
      <c r="V194" s="68" t="s">
        <v>947</v>
      </c>
      <c r="W194" s="60"/>
      <c r="X194" s="60"/>
      <c r="Y194" s="60" t="s">
        <v>158</v>
      </c>
      <c r="Z194" s="60" t="s">
        <v>70</v>
      </c>
      <c r="AA194" s="60"/>
      <c r="AB194" s="60"/>
      <c r="AC194" s="60"/>
      <c r="AD194" s="60"/>
      <c r="AE194" s="69"/>
      <c r="AF194" s="17"/>
      <c r="AG194" s="17"/>
      <c r="AH194" s="17"/>
      <c r="AI194" s="17"/>
      <c r="AJ194" s="17"/>
      <c r="AK194" s="17"/>
      <c r="AL194" s="17"/>
      <c r="AM194" s="17"/>
      <c r="AN194" s="17"/>
      <c r="AO194" s="17"/>
      <c r="AP194" s="17"/>
      <c r="AQ194" s="17"/>
      <c r="AR194" s="17"/>
      <c r="AS194" s="17"/>
      <c r="AT194" s="17"/>
      <c r="AU194" s="17"/>
    </row>
    <row r="195" spans="1:47" ht="15" hidden="1" customHeight="1">
      <c r="A195" s="60">
        <f>ROW() - ROW(Table1[[#Headers],[s]])</f>
        <v>194</v>
      </c>
      <c r="B195" s="73" t="s">
        <v>948</v>
      </c>
      <c r="C195" s="61" t="s">
        <v>60</v>
      </c>
      <c r="D195" s="63" t="s">
        <v>949</v>
      </c>
      <c r="E195" s="60" t="e" vm="116">
        <v>#VALUE!</v>
      </c>
      <c r="F195" s="60" t="e" vm="42">
        <v>#VALUE!</v>
      </c>
      <c r="G195" s="64" t="s">
        <v>174</v>
      </c>
      <c r="H195" s="60" t="s">
        <v>152</v>
      </c>
      <c r="I195" s="61" t="s">
        <v>60</v>
      </c>
      <c r="J195" s="67" t="s">
        <v>153</v>
      </c>
      <c r="K195" s="60" t="s">
        <v>571</v>
      </c>
      <c r="L195" s="65">
        <v>46060.377083333333</v>
      </c>
      <c r="M195" s="67" t="s">
        <v>602</v>
      </c>
      <c r="N195" s="67" t="s">
        <v>602</v>
      </c>
      <c r="O195" s="65">
        <v>46060.377083333333</v>
      </c>
      <c r="P195" s="65">
        <v>46060.377083333333</v>
      </c>
      <c r="Q195" s="65">
        <v>46060.377083333333</v>
      </c>
      <c r="R195" s="60"/>
      <c r="S195" s="68" t="s">
        <v>571</v>
      </c>
      <c r="T195" s="67" t="s">
        <v>179</v>
      </c>
      <c r="U195" s="60"/>
      <c r="V195" s="68"/>
      <c r="W195" s="60"/>
      <c r="X195" s="60"/>
      <c r="Y195" s="60" t="s">
        <v>179</v>
      </c>
      <c r="Z195" s="60" t="s">
        <v>70</v>
      </c>
      <c r="AA195" s="60"/>
      <c r="AB195" s="60"/>
      <c r="AC195" s="60"/>
      <c r="AD195" s="60"/>
      <c r="AE195" s="69"/>
      <c r="AF195" s="17"/>
      <c r="AG195" s="17"/>
      <c r="AH195" s="17"/>
      <c r="AI195" s="17"/>
      <c r="AJ195" s="17"/>
      <c r="AK195" s="17"/>
      <c r="AL195" s="17"/>
      <c r="AM195" s="17"/>
      <c r="AN195" s="17"/>
      <c r="AO195" s="17"/>
      <c r="AP195" s="17"/>
      <c r="AQ195" s="17"/>
      <c r="AR195" s="17"/>
      <c r="AS195" s="17"/>
      <c r="AT195" s="17"/>
      <c r="AU195" s="17"/>
    </row>
    <row r="196" spans="1:47" ht="15" hidden="1" customHeight="1">
      <c r="A196" s="60">
        <f>ROW() - ROW(Table1[[#Headers],[s]])</f>
        <v>195</v>
      </c>
      <c r="B196" s="60" t="s">
        <v>950</v>
      </c>
      <c r="C196" s="61">
        <v>46054</v>
      </c>
      <c r="D196" s="73" t="s">
        <v>951</v>
      </c>
      <c r="E196" s="60" t="e" vm="119">
        <v>#VALUE!</v>
      </c>
      <c r="F196" s="60" t="e" vm="16">
        <v>#VALUE!</v>
      </c>
      <c r="G196" s="64" t="s">
        <v>174</v>
      </c>
      <c r="H196" s="60" t="s">
        <v>747</v>
      </c>
      <c r="I196" s="42" t="s">
        <v>175</v>
      </c>
      <c r="J196" s="67" t="s">
        <v>253</v>
      </c>
      <c r="K196" s="60" t="s">
        <v>154</v>
      </c>
      <c r="L196" s="65">
        <v>46059.680555555555</v>
      </c>
      <c r="M196" s="67" t="s">
        <v>58</v>
      </c>
      <c r="N196" s="67" t="s">
        <v>58</v>
      </c>
      <c r="O196" s="65">
        <v>46059.770833333336</v>
      </c>
      <c r="P196" s="65">
        <v>46060.375</v>
      </c>
      <c r="Q196" s="65">
        <v>46060.72152777778</v>
      </c>
      <c r="R196" s="60"/>
      <c r="S196" s="377" t="s">
        <v>952</v>
      </c>
      <c r="T196" s="67" t="s">
        <v>953</v>
      </c>
      <c r="U196" s="60"/>
      <c r="V196" s="377" t="s">
        <v>954</v>
      </c>
      <c r="W196" s="60"/>
      <c r="X196" s="60"/>
      <c r="Y196" s="60" t="s">
        <v>70</v>
      </c>
      <c r="Z196" s="60" t="s">
        <v>67</v>
      </c>
      <c r="AA196" s="60"/>
      <c r="AB196" s="60"/>
      <c r="AC196" s="60"/>
      <c r="AD196" s="60"/>
      <c r="AE196" s="69"/>
      <c r="AF196" s="17"/>
      <c r="AG196" s="17"/>
      <c r="AH196" s="17"/>
      <c r="AI196" s="17"/>
      <c r="AJ196" s="17"/>
      <c r="AK196" s="17"/>
      <c r="AL196" s="17"/>
      <c r="AM196" s="17"/>
      <c r="AN196" s="17"/>
      <c r="AO196" s="17"/>
      <c r="AP196" s="17"/>
      <c r="AQ196" s="17"/>
      <c r="AR196" s="17"/>
      <c r="AS196" s="17"/>
      <c r="AT196" s="17"/>
      <c r="AU196" s="17"/>
    </row>
    <row r="197" spans="1:47" ht="15" hidden="1" customHeight="1">
      <c r="A197" s="42">
        <f>ROW() - ROW(Table1[[#Headers],[s]])</f>
        <v>196</v>
      </c>
      <c r="B197" s="42" t="s">
        <v>955</v>
      </c>
      <c r="C197" s="51">
        <v>46054</v>
      </c>
      <c r="D197" s="131" t="s">
        <v>956</v>
      </c>
      <c r="E197" s="42" t="e" vm="120">
        <v>#VALUE!</v>
      </c>
      <c r="F197" s="42" t="e" vm="12">
        <v>#VALUE!</v>
      </c>
      <c r="G197" s="43" t="s">
        <v>42</v>
      </c>
      <c r="H197" s="42" t="s">
        <v>152</v>
      </c>
      <c r="I197" s="42" t="s">
        <v>43</v>
      </c>
      <c r="J197" s="55" t="s">
        <v>153</v>
      </c>
      <c r="K197" s="42" t="s">
        <v>154</v>
      </c>
      <c r="L197" s="44">
        <v>46063.395833333336</v>
      </c>
      <c r="M197" s="55" t="s">
        <v>882</v>
      </c>
      <c r="N197" s="55" t="s">
        <v>882</v>
      </c>
      <c r="O197" s="132">
        <v>46063.5</v>
      </c>
      <c r="P197" s="132">
        <v>46063.503472222219</v>
      </c>
      <c r="Q197" s="132">
        <v>46063.51666666667</v>
      </c>
      <c r="R197" s="42"/>
      <c r="S197" s="53" t="s">
        <v>957</v>
      </c>
      <c r="T197" s="55" t="s">
        <v>164</v>
      </c>
      <c r="U197" s="42"/>
      <c r="V197" s="53" t="s">
        <v>958</v>
      </c>
      <c r="W197" s="42"/>
      <c r="X197" s="42"/>
      <c r="Y197" s="42" t="s">
        <v>158</v>
      </c>
      <c r="Z197" s="42" t="s">
        <v>70</v>
      </c>
      <c r="AA197" s="42"/>
      <c r="AB197" s="42"/>
      <c r="AC197" s="42"/>
      <c r="AD197" s="42"/>
      <c r="AE197" s="54"/>
      <c r="AF197" s="17"/>
      <c r="AG197" s="17"/>
      <c r="AH197" s="17"/>
      <c r="AI197" s="17"/>
      <c r="AJ197" s="17"/>
      <c r="AK197" s="17"/>
      <c r="AL197" s="17"/>
      <c r="AM197" s="17"/>
      <c r="AN197" s="17"/>
      <c r="AO197" s="17"/>
      <c r="AP197" s="17"/>
      <c r="AQ197" s="17"/>
      <c r="AR197" s="17"/>
      <c r="AS197" s="17"/>
      <c r="AT197" s="17"/>
      <c r="AU197" s="17"/>
    </row>
    <row r="198" spans="1:47" ht="15" hidden="1" customHeight="1">
      <c r="A198" s="60">
        <f>ROW() - ROW(Table1[[#Headers],[s]])</f>
        <v>197</v>
      </c>
      <c r="B198" s="60" t="s">
        <v>959</v>
      </c>
      <c r="C198" s="61">
        <v>46054</v>
      </c>
      <c r="D198" s="131" t="s">
        <v>960</v>
      </c>
      <c r="E198" s="60" t="e" vm="89">
        <v>#VALUE!</v>
      </c>
      <c r="F198" s="60" t="e" vm="2">
        <v>#VALUE!</v>
      </c>
      <c r="G198" s="64" t="s">
        <v>174</v>
      </c>
      <c r="H198" s="60" t="s">
        <v>152</v>
      </c>
      <c r="I198" s="42" t="s">
        <v>175</v>
      </c>
      <c r="J198" s="67" t="s">
        <v>153</v>
      </c>
      <c r="K198" s="42" t="s">
        <v>154</v>
      </c>
      <c r="L198" s="65">
        <v>46063.462500000001</v>
      </c>
      <c r="M198" s="67" t="s">
        <v>162</v>
      </c>
      <c r="N198" s="67" t="s">
        <v>162</v>
      </c>
      <c r="O198" s="65">
        <v>46063.462500000001</v>
      </c>
      <c r="P198" s="65">
        <v>46063.462500000001</v>
      </c>
      <c r="Q198" s="65">
        <v>46063.462500000001</v>
      </c>
      <c r="R198" s="60"/>
      <c r="S198" s="68" t="s">
        <v>961</v>
      </c>
      <c r="T198" s="55" t="s">
        <v>164</v>
      </c>
      <c r="U198" s="60"/>
      <c r="V198" s="53" t="s">
        <v>183</v>
      </c>
      <c r="W198" s="60"/>
      <c r="X198" s="60"/>
      <c r="Y198" s="60" t="s">
        <v>158</v>
      </c>
      <c r="Z198" s="60" t="s">
        <v>70</v>
      </c>
      <c r="AA198" s="60"/>
      <c r="AB198" s="60"/>
      <c r="AC198" s="60"/>
      <c r="AD198" s="60"/>
      <c r="AE198" s="69"/>
      <c r="AF198" s="17"/>
      <c r="AG198" s="17"/>
      <c r="AH198" s="17"/>
      <c r="AI198" s="17"/>
      <c r="AJ198" s="17"/>
      <c r="AK198" s="17"/>
      <c r="AL198" s="17"/>
      <c r="AM198" s="17"/>
      <c r="AN198" s="17"/>
      <c r="AO198" s="17"/>
      <c r="AP198" s="17"/>
      <c r="AQ198" s="17"/>
      <c r="AR198" s="17"/>
      <c r="AS198" s="17"/>
      <c r="AT198" s="17"/>
      <c r="AU198" s="17"/>
    </row>
    <row r="199" spans="1:47" ht="15" hidden="1" customHeight="1">
      <c r="A199" s="60">
        <f>ROW() - ROW(Table1[[#Headers],[s]])</f>
        <v>198</v>
      </c>
      <c r="B199" s="60" t="s">
        <v>962</v>
      </c>
      <c r="C199" s="61">
        <v>46054</v>
      </c>
      <c r="D199" s="95" t="s">
        <v>963</v>
      </c>
      <c r="E199" s="60" t="e" vm="58">
        <v>#VALUE!</v>
      </c>
      <c r="F199" s="60" t="e" vm="25">
        <v>#VALUE!</v>
      </c>
      <c r="G199" s="64" t="s">
        <v>42</v>
      </c>
      <c r="H199" s="60" t="s">
        <v>152</v>
      </c>
      <c r="I199" s="60" t="s">
        <v>43</v>
      </c>
      <c r="J199" s="67" t="s">
        <v>261</v>
      </c>
      <c r="K199" s="42" t="s">
        <v>154</v>
      </c>
      <c r="L199" s="65">
        <v>46063.587500000001</v>
      </c>
      <c r="M199" s="67" t="s">
        <v>72</v>
      </c>
      <c r="N199" s="67" t="s">
        <v>72</v>
      </c>
      <c r="O199" s="65">
        <v>46063.677083333336</v>
      </c>
      <c r="P199" s="65">
        <v>46063.715277777781</v>
      </c>
      <c r="Q199" s="65">
        <v>46063.760416666664</v>
      </c>
      <c r="R199" s="60"/>
      <c r="S199" s="68" t="s">
        <v>964</v>
      </c>
      <c r="T199" s="55" t="s">
        <v>164</v>
      </c>
      <c r="U199" s="60"/>
      <c r="V199" s="68" t="s">
        <v>965</v>
      </c>
      <c r="W199" s="60"/>
      <c r="X199" s="60"/>
      <c r="Y199" s="60" t="s">
        <v>158</v>
      </c>
      <c r="Z199" s="60" t="s">
        <v>70</v>
      </c>
      <c r="AA199" s="60"/>
      <c r="AB199" s="60"/>
      <c r="AC199" s="60"/>
      <c r="AD199" s="60"/>
      <c r="AE199" s="69"/>
      <c r="AF199" s="17"/>
      <c r="AG199" s="17"/>
      <c r="AH199" s="17"/>
      <c r="AI199" s="17"/>
      <c r="AJ199" s="17"/>
      <c r="AK199" s="17"/>
      <c r="AL199" s="17"/>
      <c r="AM199" s="17"/>
      <c r="AN199" s="17"/>
      <c r="AO199" s="17"/>
      <c r="AP199" s="17"/>
      <c r="AQ199" s="17"/>
      <c r="AR199" s="17"/>
      <c r="AS199" s="17"/>
      <c r="AT199" s="17"/>
      <c r="AU199" s="17"/>
    </row>
    <row r="200" spans="1:47" ht="15" hidden="1" customHeight="1">
      <c r="A200" s="60">
        <f>ROW() - ROW(Table1[[#Headers],[s]])</f>
        <v>199</v>
      </c>
      <c r="B200" s="60" t="s">
        <v>966</v>
      </c>
      <c r="C200" s="61">
        <v>46054</v>
      </c>
      <c r="D200" s="63" t="s">
        <v>967</v>
      </c>
      <c r="E200" s="60" t="e" vm="58">
        <v>#VALUE!</v>
      </c>
      <c r="F200" s="60" t="e" vm="25">
        <v>#VALUE!</v>
      </c>
      <c r="G200" s="64" t="s">
        <v>174</v>
      </c>
      <c r="H200" s="60" t="s">
        <v>747</v>
      </c>
      <c r="I200" s="42" t="s">
        <v>175</v>
      </c>
      <c r="J200" s="67" t="s">
        <v>253</v>
      </c>
      <c r="K200" s="42" t="s">
        <v>154</v>
      </c>
      <c r="L200" s="65">
        <v>46063.503472222219</v>
      </c>
      <c r="M200" s="67" t="s">
        <v>72</v>
      </c>
      <c r="N200" s="67" t="s">
        <v>72</v>
      </c>
      <c r="O200" s="65">
        <v>46063.53125</v>
      </c>
      <c r="P200" s="65">
        <v>46063.545138888891</v>
      </c>
      <c r="Q200" s="65">
        <v>46063.568749999999</v>
      </c>
      <c r="R200" s="60"/>
      <c r="S200" s="68" t="s">
        <v>968</v>
      </c>
      <c r="T200" s="55" t="s">
        <v>164</v>
      </c>
      <c r="U200" s="60"/>
      <c r="V200" s="68" t="s">
        <v>183</v>
      </c>
      <c r="W200" s="60"/>
      <c r="X200" s="60"/>
      <c r="Y200" s="60" t="s">
        <v>158</v>
      </c>
      <c r="Z200" s="60" t="s">
        <v>70</v>
      </c>
      <c r="AA200" s="60"/>
      <c r="AB200" s="60"/>
      <c r="AC200" s="60"/>
      <c r="AD200" s="60"/>
      <c r="AE200" s="69"/>
      <c r="AF200" s="17"/>
      <c r="AG200" s="17"/>
      <c r="AH200" s="17"/>
      <c r="AI200" s="17"/>
      <c r="AJ200" s="17"/>
      <c r="AK200" s="17"/>
      <c r="AL200" s="17"/>
      <c r="AM200" s="17"/>
      <c r="AN200" s="17"/>
      <c r="AO200" s="17"/>
      <c r="AP200" s="17"/>
      <c r="AQ200" s="17"/>
      <c r="AR200" s="17"/>
      <c r="AS200" s="17"/>
      <c r="AT200" s="17"/>
      <c r="AU200" s="17"/>
    </row>
    <row r="201" spans="1:47" ht="15" hidden="1" customHeight="1">
      <c r="A201" s="60">
        <f>ROW() - ROW(Table1[[#Headers],[s]])</f>
        <v>200</v>
      </c>
      <c r="B201" s="60" t="s">
        <v>969</v>
      </c>
      <c r="C201" s="61">
        <v>46054</v>
      </c>
      <c r="D201" s="63" t="s">
        <v>970</v>
      </c>
      <c r="E201" s="60" t="e" vm="79">
        <v>#VALUE!</v>
      </c>
      <c r="F201" s="60" t="e" vm="25">
        <v>#VALUE!</v>
      </c>
      <c r="G201" s="64" t="s">
        <v>174</v>
      </c>
      <c r="H201" s="60" t="s">
        <v>747</v>
      </c>
      <c r="I201" s="42" t="s">
        <v>175</v>
      </c>
      <c r="J201" s="67" t="s">
        <v>253</v>
      </c>
      <c r="K201" s="42" t="s">
        <v>154</v>
      </c>
      <c r="L201" s="65">
        <v>46063.504166666666</v>
      </c>
      <c r="M201" s="67" t="s">
        <v>72</v>
      </c>
      <c r="N201" s="67" t="s">
        <v>72</v>
      </c>
      <c r="O201" s="65">
        <v>46063.541666666664</v>
      </c>
      <c r="P201" s="65">
        <v>46063.5625</v>
      </c>
      <c r="Q201" s="65">
        <v>46063.622916666667</v>
      </c>
      <c r="R201" s="60"/>
      <c r="S201" s="68" t="s">
        <v>971</v>
      </c>
      <c r="T201" s="55" t="s">
        <v>164</v>
      </c>
      <c r="U201" s="60"/>
      <c r="V201" s="68" t="s">
        <v>972</v>
      </c>
      <c r="W201" s="60"/>
      <c r="X201" s="60"/>
      <c r="Y201" s="60" t="s">
        <v>158</v>
      </c>
      <c r="Z201" s="60" t="s">
        <v>70</v>
      </c>
      <c r="AA201" s="60"/>
      <c r="AB201" s="60"/>
      <c r="AC201" s="60"/>
      <c r="AD201" s="60"/>
      <c r="AE201" s="69"/>
      <c r="AF201" s="17"/>
      <c r="AG201" s="17"/>
      <c r="AH201" s="17"/>
      <c r="AI201" s="17"/>
      <c r="AJ201" s="17"/>
      <c r="AK201" s="17"/>
      <c r="AL201" s="17"/>
      <c r="AM201" s="17"/>
      <c r="AN201" s="17"/>
      <c r="AO201" s="17"/>
      <c r="AP201" s="17"/>
      <c r="AQ201" s="17"/>
      <c r="AR201" s="17"/>
      <c r="AS201" s="17"/>
      <c r="AT201" s="17"/>
      <c r="AU201" s="17"/>
    </row>
    <row r="202" spans="1:47" ht="15" hidden="1" customHeight="1">
      <c r="A202" s="60">
        <f>ROW() - ROW(Table1[[#Headers],[s]])</f>
        <v>201</v>
      </c>
      <c r="B202" s="60" t="s">
        <v>973</v>
      </c>
      <c r="C202" s="61">
        <v>46023</v>
      </c>
      <c r="D202" s="63" t="s">
        <v>974</v>
      </c>
      <c r="E202" s="60" t="s">
        <v>975</v>
      </c>
      <c r="F202" s="60" t="e" vm="25">
        <v>#VALUE!</v>
      </c>
      <c r="G202" s="64" t="s">
        <v>584</v>
      </c>
      <c r="H202" s="60" t="s">
        <v>152</v>
      </c>
      <c r="I202" s="42" t="s">
        <v>175</v>
      </c>
      <c r="J202" s="67" t="s">
        <v>153</v>
      </c>
      <c r="K202" s="60" t="s">
        <v>154</v>
      </c>
      <c r="L202" s="65">
        <v>46050.027777777781</v>
      </c>
      <c r="M202" s="67" t="s">
        <v>53</v>
      </c>
      <c r="N202" s="67" t="s">
        <v>53</v>
      </c>
      <c r="O202" s="65">
        <v>46050.291666666664</v>
      </c>
      <c r="P202" s="65">
        <v>46050.3125</v>
      </c>
      <c r="Q202" s="65">
        <v>46050.375</v>
      </c>
      <c r="R202" s="60"/>
      <c r="S202" s="68" t="s">
        <v>976</v>
      </c>
      <c r="T202" s="67" t="s">
        <v>266</v>
      </c>
      <c r="U202" s="60"/>
      <c r="V202" s="68" t="s">
        <v>517</v>
      </c>
      <c r="W202" s="60"/>
      <c r="X202" s="60"/>
      <c r="Y202" s="60" t="s">
        <v>158</v>
      </c>
      <c r="Z202" s="60" t="s">
        <v>67</v>
      </c>
      <c r="AA202" s="60"/>
      <c r="AB202" s="60"/>
      <c r="AC202" s="60"/>
      <c r="AD202" s="60"/>
      <c r="AE202" s="69"/>
      <c r="AF202" s="17"/>
      <c r="AG202" s="17"/>
      <c r="AH202" s="17"/>
      <c r="AI202" s="17"/>
      <c r="AJ202" s="17"/>
      <c r="AK202" s="17"/>
      <c r="AL202" s="17"/>
      <c r="AM202" s="17"/>
      <c r="AN202" s="17"/>
      <c r="AO202" s="17"/>
      <c r="AP202" s="17"/>
      <c r="AQ202" s="17"/>
      <c r="AR202" s="17"/>
      <c r="AS202" s="17"/>
      <c r="AT202" s="17"/>
      <c r="AU202" s="17"/>
    </row>
    <row r="203" spans="1:47" s="464" customFormat="1" ht="15" hidden="1" customHeight="1">
      <c r="A203" s="463">
        <f>ROW() - ROW(Table1[[#Headers],[s]])</f>
        <v>202</v>
      </c>
      <c r="B203" s="463" t="s">
        <v>977</v>
      </c>
      <c r="C203" s="476">
        <v>46054</v>
      </c>
      <c r="D203" s="477" t="s">
        <v>978</v>
      </c>
      <c r="E203" s="463" t="e" vm="105">
        <v>#VALUE!</v>
      </c>
      <c r="F203" s="463" t="e" vm="30">
        <v>#VALUE!</v>
      </c>
      <c r="G203" s="485" t="s">
        <v>151</v>
      </c>
      <c r="H203" s="463" t="s">
        <v>245</v>
      </c>
      <c r="I203" s="463" t="s">
        <v>43</v>
      </c>
      <c r="J203" s="480" t="s">
        <v>253</v>
      </c>
      <c r="K203" s="463" t="s">
        <v>979</v>
      </c>
      <c r="L203" s="481">
        <v>46063.57916666667</v>
      </c>
      <c r="M203" s="480" t="s">
        <v>980</v>
      </c>
      <c r="N203" s="471" t="s">
        <v>980</v>
      </c>
      <c r="O203" s="485"/>
      <c r="P203" s="463"/>
      <c r="Q203" s="488">
        <v>46064.805555555555</v>
      </c>
      <c r="R203" s="463"/>
      <c r="S203" s="482" t="s">
        <v>861</v>
      </c>
      <c r="T203" s="471" t="s">
        <v>981</v>
      </c>
      <c r="U203" s="463"/>
      <c r="V203" s="482" t="s">
        <v>982</v>
      </c>
      <c r="W203" s="463"/>
      <c r="X203" s="492" t="s">
        <v>983</v>
      </c>
      <c r="Y203" s="463" t="s">
        <v>70</v>
      </c>
      <c r="Z203" s="463" t="s">
        <v>158</v>
      </c>
      <c r="AA203" s="463" t="s">
        <v>984</v>
      </c>
      <c r="AB203" s="463"/>
      <c r="AC203" s="463"/>
      <c r="AD203" s="463" t="s">
        <v>985</v>
      </c>
      <c r="AE203" s="483"/>
      <c r="AF203" s="484"/>
      <c r="AG203" s="484"/>
      <c r="AH203" s="484"/>
      <c r="AI203" s="484"/>
      <c r="AJ203" s="484"/>
      <c r="AK203" s="484"/>
      <c r="AL203" s="484"/>
      <c r="AM203" s="484"/>
      <c r="AN203" s="484"/>
      <c r="AO203" s="484"/>
      <c r="AP203" s="484"/>
      <c r="AQ203" s="484"/>
      <c r="AR203" s="484"/>
      <c r="AS203" s="484"/>
      <c r="AT203" s="484"/>
      <c r="AU203" s="484"/>
    </row>
    <row r="204" spans="1:47" ht="15" hidden="1" customHeight="1">
      <c r="A204" s="60">
        <f>ROW() - ROW(Table1[[#Headers],[s]])</f>
        <v>203</v>
      </c>
      <c r="B204" s="60" t="s">
        <v>986</v>
      </c>
      <c r="C204" s="61">
        <v>46054</v>
      </c>
      <c r="D204" s="63" t="s">
        <v>987</v>
      </c>
      <c r="E204" s="60" t="e" vm="53">
        <v>#VALUE!</v>
      </c>
      <c r="F204" s="60" t="e" vm="12">
        <v>#VALUE!</v>
      </c>
      <c r="G204" s="64" t="s">
        <v>151</v>
      </c>
      <c r="H204" s="60" t="s">
        <v>747</v>
      </c>
      <c r="I204" s="70" t="s">
        <v>43</v>
      </c>
      <c r="J204" s="67" t="s">
        <v>253</v>
      </c>
      <c r="K204" s="60" t="s">
        <v>154</v>
      </c>
      <c r="L204" s="65">
        <v>46063.609027777777</v>
      </c>
      <c r="M204" s="67" t="s">
        <v>72</v>
      </c>
      <c r="N204" s="67" t="s">
        <v>988</v>
      </c>
      <c r="O204" s="71">
        <v>46063.710416666669</v>
      </c>
      <c r="P204" s="72">
        <v>46063.75</v>
      </c>
      <c r="Q204" s="66">
        <v>46064.508333333331</v>
      </c>
      <c r="R204" s="60"/>
      <c r="S204" s="68" t="s">
        <v>989</v>
      </c>
      <c r="T204" s="55" t="s">
        <v>990</v>
      </c>
      <c r="U204" s="60"/>
      <c r="V204" s="68" t="s">
        <v>991</v>
      </c>
      <c r="W204" s="60"/>
      <c r="X204" s="60"/>
      <c r="Y204" s="60" t="s">
        <v>70</v>
      </c>
      <c r="Z204" s="280" t="s">
        <v>70</v>
      </c>
      <c r="AA204" s="60" t="s">
        <v>992</v>
      </c>
      <c r="AB204" s="60"/>
      <c r="AC204" s="60"/>
      <c r="AD204" s="60"/>
      <c r="AE204" s="69"/>
      <c r="AF204" s="17"/>
      <c r="AG204" s="17"/>
      <c r="AH204" s="17"/>
      <c r="AI204" s="17"/>
      <c r="AJ204" s="17"/>
      <c r="AK204" s="17"/>
      <c r="AL204" s="17"/>
      <c r="AM204" s="17"/>
      <c r="AN204" s="17"/>
      <c r="AO204" s="17"/>
      <c r="AP204" s="17"/>
      <c r="AQ204" s="17"/>
      <c r="AR204" s="17"/>
      <c r="AS204" s="17"/>
      <c r="AT204" s="17"/>
      <c r="AU204" s="17"/>
    </row>
    <row r="205" spans="1:47" ht="15" hidden="1" customHeight="1">
      <c r="A205" s="60">
        <f>ROW() - ROW(Table1[[#Headers],[s]])</f>
        <v>204</v>
      </c>
      <c r="B205" s="60" t="s">
        <v>993</v>
      </c>
      <c r="C205" s="61">
        <v>46054</v>
      </c>
      <c r="D205" s="63" t="s">
        <v>994</v>
      </c>
      <c r="E205" s="60" t="e" vm="121">
        <v>#VALUE!</v>
      </c>
      <c r="F205" s="60" t="e" vm="17">
        <v>#VALUE!</v>
      </c>
      <c r="G205" s="64" t="s">
        <v>151</v>
      </c>
      <c r="H205" s="60" t="s">
        <v>747</v>
      </c>
      <c r="I205" s="70" t="s">
        <v>43</v>
      </c>
      <c r="J205" s="67" t="s">
        <v>253</v>
      </c>
      <c r="K205" s="60" t="s">
        <v>154</v>
      </c>
      <c r="L205" s="65">
        <v>46063.618055555555</v>
      </c>
      <c r="M205" s="67" t="s">
        <v>68</v>
      </c>
      <c r="N205" s="67" t="s">
        <v>44</v>
      </c>
      <c r="O205" s="71">
        <v>46063.731249999997</v>
      </c>
      <c r="P205" s="72">
        <v>46064.595138888886</v>
      </c>
      <c r="Q205" s="66">
        <v>46064.680555555555</v>
      </c>
      <c r="R205" s="60"/>
      <c r="S205" s="68" t="s">
        <v>995</v>
      </c>
      <c r="T205" s="55" t="s">
        <v>164</v>
      </c>
      <c r="U205" s="60"/>
      <c r="V205" s="68" t="s">
        <v>996</v>
      </c>
      <c r="W205" s="60"/>
      <c r="X205" s="60"/>
      <c r="Y205" s="60" t="s">
        <v>70</v>
      </c>
      <c r="Z205" s="280" t="s">
        <v>70</v>
      </c>
      <c r="AA205" s="60" t="s">
        <v>997</v>
      </c>
      <c r="AB205" s="60"/>
      <c r="AC205" s="60"/>
      <c r="AD205" s="60"/>
      <c r="AE205" s="69"/>
      <c r="AF205" s="17"/>
      <c r="AG205" s="17"/>
      <c r="AH205" s="17"/>
      <c r="AI205" s="17"/>
      <c r="AJ205" s="17"/>
      <c r="AK205" s="17"/>
      <c r="AL205" s="17"/>
      <c r="AM205" s="17"/>
      <c r="AN205" s="17"/>
      <c r="AO205" s="17"/>
      <c r="AP205" s="17"/>
      <c r="AQ205" s="17"/>
      <c r="AR205" s="17"/>
      <c r="AS205" s="17"/>
      <c r="AT205" s="17"/>
      <c r="AU205" s="17"/>
    </row>
    <row r="206" spans="1:47" ht="15" hidden="1" customHeight="1">
      <c r="A206" s="60">
        <f>ROW() - ROW(Table1[[#Headers],[s]])</f>
        <v>205</v>
      </c>
      <c r="B206" s="60" t="s">
        <v>998</v>
      </c>
      <c r="C206" s="61">
        <v>46054</v>
      </c>
      <c r="D206" s="63" t="s">
        <v>999</v>
      </c>
      <c r="E206" s="60" t="e" vm="122">
        <v>#VALUE!</v>
      </c>
      <c r="F206" s="60" t="e" vm="10">
        <v>#VALUE!</v>
      </c>
      <c r="G206" s="64" t="s">
        <v>42</v>
      </c>
      <c r="H206" s="60" t="s">
        <v>747</v>
      </c>
      <c r="I206" s="60" t="s">
        <v>43</v>
      </c>
      <c r="J206" s="67" t="s">
        <v>253</v>
      </c>
      <c r="K206" s="42" t="s">
        <v>154</v>
      </c>
      <c r="L206" s="65">
        <v>46063.62777777778</v>
      </c>
      <c r="M206" s="67" t="s">
        <v>78</v>
      </c>
      <c r="N206" s="55" t="s">
        <v>78</v>
      </c>
      <c r="O206" s="65">
        <v>46063.729166666664</v>
      </c>
      <c r="P206" s="65">
        <v>46063.756944444445</v>
      </c>
      <c r="Q206" s="65">
        <v>46063.842361111114</v>
      </c>
      <c r="R206" s="60"/>
      <c r="S206" s="68" t="s">
        <v>473</v>
      </c>
      <c r="T206" s="55" t="s">
        <v>164</v>
      </c>
      <c r="U206" s="60"/>
      <c r="V206" s="68" t="s">
        <v>1000</v>
      </c>
      <c r="W206" s="60"/>
      <c r="X206" s="60"/>
      <c r="Y206" s="60" t="s">
        <v>158</v>
      </c>
      <c r="Z206" s="60" t="s">
        <v>67</v>
      </c>
      <c r="AA206" s="60"/>
      <c r="AB206" s="60"/>
      <c r="AC206" s="60"/>
      <c r="AD206" s="60"/>
      <c r="AE206" s="69"/>
      <c r="AF206" s="17"/>
      <c r="AG206" s="17"/>
      <c r="AH206" s="17"/>
      <c r="AI206" s="17"/>
      <c r="AJ206" s="17"/>
      <c r="AK206" s="17"/>
      <c r="AL206" s="17"/>
      <c r="AM206" s="17"/>
      <c r="AN206" s="17"/>
      <c r="AO206" s="17"/>
      <c r="AP206" s="17"/>
      <c r="AQ206" s="17"/>
      <c r="AR206" s="17"/>
      <c r="AS206" s="17"/>
      <c r="AT206" s="17"/>
      <c r="AU206" s="17"/>
    </row>
    <row r="207" spans="1:47" ht="15" hidden="1" customHeight="1">
      <c r="A207" s="60">
        <f>ROW() - ROW(Table1[[#Headers],[s]])</f>
        <v>206</v>
      </c>
      <c r="B207" s="60" t="s">
        <v>1001</v>
      </c>
      <c r="C207" s="61" t="s">
        <v>60</v>
      </c>
      <c r="D207" s="63" t="s">
        <v>1002</v>
      </c>
      <c r="E207" s="60" t="e" vm="123">
        <v>#VALUE!</v>
      </c>
      <c r="F207" s="60" t="e" vm="21">
        <v>#VALUE!</v>
      </c>
      <c r="G207" s="64" t="s">
        <v>174</v>
      </c>
      <c r="H207" s="60" t="s">
        <v>747</v>
      </c>
      <c r="I207" s="61" t="s">
        <v>60</v>
      </c>
      <c r="J207" s="67" t="s">
        <v>253</v>
      </c>
      <c r="K207" s="60" t="s">
        <v>1003</v>
      </c>
      <c r="L207" s="65">
        <v>46063.663194444445</v>
      </c>
      <c r="M207" s="67"/>
      <c r="N207" s="67"/>
      <c r="O207" s="65">
        <v>46063.663194444445</v>
      </c>
      <c r="P207" s="65">
        <v>46063.663194444445</v>
      </c>
      <c r="Q207" s="65">
        <v>46063.663194444445</v>
      </c>
      <c r="R207" s="60"/>
      <c r="S207" s="68" t="s">
        <v>1004</v>
      </c>
      <c r="T207" s="67" t="s">
        <v>179</v>
      </c>
      <c r="U207" s="60"/>
      <c r="V207" s="68" t="s">
        <v>1003</v>
      </c>
      <c r="W207" s="60"/>
      <c r="X207" s="60"/>
      <c r="Y207" s="60" t="s">
        <v>179</v>
      </c>
      <c r="Z207" s="60" t="s">
        <v>70</v>
      </c>
      <c r="AA207" s="60"/>
      <c r="AB207" s="60"/>
      <c r="AC207" s="60"/>
      <c r="AD207" s="60"/>
      <c r="AE207" s="69"/>
      <c r="AF207" s="17"/>
      <c r="AG207" s="17"/>
      <c r="AH207" s="17"/>
      <c r="AI207" s="17"/>
      <c r="AJ207" s="17"/>
      <c r="AK207" s="17"/>
      <c r="AL207" s="17"/>
      <c r="AM207" s="17"/>
      <c r="AN207" s="17"/>
      <c r="AO207" s="17"/>
      <c r="AP207" s="17"/>
      <c r="AQ207" s="17"/>
      <c r="AR207" s="17"/>
      <c r="AS207" s="17"/>
      <c r="AT207" s="17"/>
      <c r="AU207" s="17"/>
    </row>
    <row r="208" spans="1:47" ht="15" hidden="1" customHeight="1">
      <c r="A208" s="60">
        <f>ROW() - ROW(Table1[[#Headers],[s]])</f>
        <v>207</v>
      </c>
      <c r="B208" s="60" t="s">
        <v>1005</v>
      </c>
      <c r="C208" s="61">
        <v>46054</v>
      </c>
      <c r="D208" s="63" t="s">
        <v>1006</v>
      </c>
      <c r="E208" s="60" t="e" vm="124">
        <v>#VALUE!</v>
      </c>
      <c r="F208" s="60" t="e" vm="35">
        <v>#VALUE!</v>
      </c>
      <c r="G208" s="64" t="s">
        <v>174</v>
      </c>
      <c r="H208" s="60" t="s">
        <v>747</v>
      </c>
      <c r="I208" s="60" t="s">
        <v>43</v>
      </c>
      <c r="J208" s="67" t="s">
        <v>253</v>
      </c>
      <c r="K208" s="60" t="s">
        <v>1003</v>
      </c>
      <c r="L208" s="65">
        <v>46063.666666666664</v>
      </c>
      <c r="M208" s="55" t="s">
        <v>155</v>
      </c>
      <c r="N208" s="55" t="s">
        <v>155</v>
      </c>
      <c r="O208" s="65">
        <v>46063.666666666664</v>
      </c>
      <c r="P208" s="65">
        <v>46063.666666666664</v>
      </c>
      <c r="Q208" s="65">
        <v>46063.666666666664</v>
      </c>
      <c r="R208" s="60"/>
      <c r="S208" s="68" t="s">
        <v>1007</v>
      </c>
      <c r="T208" s="67" t="s">
        <v>179</v>
      </c>
      <c r="U208" s="60"/>
      <c r="V208" s="68" t="s">
        <v>1003</v>
      </c>
      <c r="W208" s="60"/>
      <c r="X208" s="60"/>
      <c r="Y208" s="60" t="s">
        <v>179</v>
      </c>
      <c r="Z208" s="60" t="s">
        <v>70</v>
      </c>
      <c r="AA208" s="60"/>
      <c r="AB208" s="60"/>
      <c r="AC208" s="60"/>
      <c r="AD208" s="60"/>
      <c r="AE208" s="69"/>
      <c r="AF208" s="17"/>
      <c r="AG208" s="17"/>
      <c r="AH208" s="17"/>
      <c r="AI208" s="17"/>
      <c r="AJ208" s="17"/>
      <c r="AK208" s="17"/>
      <c r="AL208" s="17"/>
      <c r="AM208" s="17"/>
      <c r="AN208" s="17"/>
      <c r="AO208" s="17"/>
      <c r="AP208" s="17"/>
      <c r="AQ208" s="17"/>
      <c r="AR208" s="17"/>
      <c r="AS208" s="17"/>
      <c r="AT208" s="17"/>
      <c r="AU208" s="17"/>
    </row>
    <row r="209" spans="1:47" ht="15.75" hidden="1" customHeight="1">
      <c r="A209" s="60">
        <f>ROW() - ROW(Table1[[#Headers],[s]])</f>
        <v>208</v>
      </c>
      <c r="B209" s="74" t="s">
        <v>1008</v>
      </c>
      <c r="C209" s="61">
        <v>46054</v>
      </c>
      <c r="D209" s="63" t="s">
        <v>1009</v>
      </c>
      <c r="E209" s="60" t="e" vm="125">
        <v>#VALUE!</v>
      </c>
      <c r="F209" s="60" t="e" vm="25">
        <v>#VALUE!</v>
      </c>
      <c r="G209" s="64" t="s">
        <v>174</v>
      </c>
      <c r="H209" s="60" t="s">
        <v>152</v>
      </c>
      <c r="I209" s="42" t="s">
        <v>175</v>
      </c>
      <c r="J209" s="67" t="s">
        <v>153</v>
      </c>
      <c r="K209" s="42" t="s">
        <v>154</v>
      </c>
      <c r="L209" s="65">
        <v>46063.722916666666</v>
      </c>
      <c r="M209" s="67" t="s">
        <v>72</v>
      </c>
      <c r="N209" s="67" t="s">
        <v>72</v>
      </c>
      <c r="O209" s="65">
        <v>46063.760416666664</v>
      </c>
      <c r="P209" s="65">
        <v>46063.78125</v>
      </c>
      <c r="Q209" s="65">
        <v>46063.802083333336</v>
      </c>
      <c r="R209" s="60"/>
      <c r="S209" s="68" t="s">
        <v>1010</v>
      </c>
      <c r="T209" s="55" t="s">
        <v>164</v>
      </c>
      <c r="U209" s="60"/>
      <c r="V209" s="68" t="s">
        <v>1011</v>
      </c>
      <c r="W209" s="60"/>
      <c r="X209" s="60"/>
      <c r="Y209" s="60" t="s">
        <v>158</v>
      </c>
      <c r="Z209" s="60" t="s">
        <v>70</v>
      </c>
      <c r="AA209" s="60"/>
      <c r="AB209" s="60"/>
      <c r="AC209" s="60"/>
      <c r="AD209" s="60"/>
      <c r="AE209" s="69"/>
    </row>
    <row r="210" spans="1:47" ht="16.5" hidden="1" customHeight="1">
      <c r="A210" s="60">
        <f>ROW() - ROW(Table1[[#Headers],[s]])</f>
        <v>209</v>
      </c>
      <c r="B210" s="133" t="s">
        <v>1012</v>
      </c>
      <c r="C210" s="61">
        <v>46054</v>
      </c>
      <c r="D210" s="63" t="s">
        <v>1013</v>
      </c>
      <c r="E210" s="60" t="e" vm="9">
        <v>#VALUE!</v>
      </c>
      <c r="F210" s="60" t="e" vm="10">
        <v>#VALUE!</v>
      </c>
      <c r="G210" s="64" t="s">
        <v>151</v>
      </c>
      <c r="H210" s="60" t="s">
        <v>152</v>
      </c>
      <c r="I210" s="60" t="s">
        <v>43</v>
      </c>
      <c r="J210" s="67" t="s">
        <v>153</v>
      </c>
      <c r="K210" s="60" t="s">
        <v>154</v>
      </c>
      <c r="L210" s="65">
        <v>46064.509722222225</v>
      </c>
      <c r="M210" s="67" t="s">
        <v>78</v>
      </c>
      <c r="N210" s="55" t="s">
        <v>78</v>
      </c>
      <c r="O210" s="71">
        <v>46064.734027777777</v>
      </c>
      <c r="P210" s="72">
        <v>46064.734027777777</v>
      </c>
      <c r="Q210" s="66">
        <v>46064.743055555555</v>
      </c>
      <c r="R210" s="60"/>
      <c r="S210" s="53" t="s">
        <v>1014</v>
      </c>
      <c r="T210" s="55" t="s">
        <v>164</v>
      </c>
      <c r="U210" s="60"/>
      <c r="V210" s="68" t="s">
        <v>1014</v>
      </c>
      <c r="W210" s="60"/>
      <c r="X210" s="60"/>
      <c r="Y210" s="60" t="s">
        <v>158</v>
      </c>
      <c r="Z210" s="280" t="s">
        <v>70</v>
      </c>
      <c r="AA210" s="60"/>
      <c r="AB210" s="60"/>
      <c r="AC210" s="60"/>
      <c r="AD210" s="60"/>
      <c r="AE210" s="69"/>
      <c r="AF210" s="17"/>
      <c r="AG210" s="17"/>
      <c r="AH210" s="17"/>
      <c r="AI210" s="17"/>
      <c r="AJ210" s="17"/>
      <c r="AK210" s="17"/>
      <c r="AL210" s="17"/>
      <c r="AM210" s="17"/>
      <c r="AN210" s="17"/>
      <c r="AO210" s="17"/>
      <c r="AP210" s="17"/>
      <c r="AQ210" s="17"/>
      <c r="AR210" s="17"/>
      <c r="AS210" s="17"/>
      <c r="AT210" s="17"/>
      <c r="AU210" s="17"/>
    </row>
    <row r="211" spans="1:47" ht="16.5" hidden="1" customHeight="1">
      <c r="A211" s="60">
        <f>ROW() - ROW(Table1[[#Headers],[s]])</f>
        <v>210</v>
      </c>
      <c r="B211" s="133" t="s">
        <v>1015</v>
      </c>
      <c r="C211" s="61">
        <v>46054</v>
      </c>
      <c r="D211" s="63" t="s">
        <v>1016</v>
      </c>
      <c r="E211" s="60" t="e" vm="9">
        <v>#VALUE!</v>
      </c>
      <c r="F211" s="60" t="e" vm="10">
        <v>#VALUE!</v>
      </c>
      <c r="G211" s="64" t="s">
        <v>151</v>
      </c>
      <c r="H211" s="60" t="s">
        <v>152</v>
      </c>
      <c r="I211" s="60" t="s">
        <v>43</v>
      </c>
      <c r="J211" s="67" t="s">
        <v>153</v>
      </c>
      <c r="K211" s="60" t="s">
        <v>154</v>
      </c>
      <c r="L211" s="65">
        <v>46064.512499999997</v>
      </c>
      <c r="M211" s="67" t="s">
        <v>78</v>
      </c>
      <c r="N211" s="55" t="s">
        <v>78</v>
      </c>
      <c r="O211" s="71">
        <v>46064.745138888888</v>
      </c>
      <c r="P211" s="72">
        <v>46064.745138888888</v>
      </c>
      <c r="Q211" s="66">
        <v>46064.763888888891</v>
      </c>
      <c r="R211" s="60"/>
      <c r="S211" s="53" t="s">
        <v>1017</v>
      </c>
      <c r="T211" s="55" t="s">
        <v>164</v>
      </c>
      <c r="U211" s="60"/>
      <c r="V211" s="68" t="s">
        <v>1017</v>
      </c>
      <c r="W211" s="60"/>
      <c r="X211" s="60"/>
      <c r="Y211" s="60" t="s">
        <v>158</v>
      </c>
      <c r="Z211" s="60" t="s">
        <v>70</v>
      </c>
      <c r="AA211" s="60"/>
      <c r="AB211" s="60"/>
      <c r="AC211" s="60"/>
      <c r="AD211" s="60"/>
      <c r="AE211" s="69"/>
      <c r="AF211" s="17"/>
      <c r="AG211" s="17"/>
      <c r="AH211" s="17"/>
      <c r="AI211" s="17"/>
      <c r="AJ211" s="17"/>
      <c r="AK211" s="17"/>
      <c r="AL211" s="17"/>
      <c r="AM211" s="17"/>
      <c r="AN211" s="17"/>
      <c r="AO211" s="17"/>
      <c r="AP211" s="17"/>
      <c r="AQ211" s="17"/>
      <c r="AR211" s="17"/>
      <c r="AS211" s="17"/>
      <c r="AT211" s="17"/>
      <c r="AU211" s="17"/>
    </row>
    <row r="212" spans="1:47" ht="15" hidden="1" customHeight="1">
      <c r="A212" s="60">
        <f>ROW() - ROW(Table1[[#Headers],[s]])</f>
        <v>211</v>
      </c>
      <c r="B212" s="60" t="s">
        <v>896</v>
      </c>
      <c r="C212" s="61">
        <v>46054</v>
      </c>
      <c r="D212" s="63" t="s">
        <v>1018</v>
      </c>
      <c r="E212" s="60" t="s">
        <v>898</v>
      </c>
      <c r="F212" s="60" t="e" vm="25">
        <v>#VALUE!</v>
      </c>
      <c r="G212" s="64" t="s">
        <v>151</v>
      </c>
      <c r="H212" s="60" t="s">
        <v>747</v>
      </c>
      <c r="I212" s="60" t="s">
        <v>43</v>
      </c>
      <c r="J212" s="67" t="s">
        <v>253</v>
      </c>
      <c r="K212" s="60" t="s">
        <v>736</v>
      </c>
      <c r="L212" s="65">
        <v>46064.626388888886</v>
      </c>
      <c r="M212" s="67" t="s">
        <v>1019</v>
      </c>
      <c r="N212" s="67" t="s">
        <v>1019</v>
      </c>
      <c r="O212" s="64"/>
      <c r="P212" s="60"/>
      <c r="Q212" s="110"/>
      <c r="R212" s="60"/>
      <c r="S212" s="68" t="s">
        <v>1020</v>
      </c>
      <c r="T212" s="55" t="s">
        <v>179</v>
      </c>
      <c r="U212" s="60"/>
      <c r="V212" s="68"/>
      <c r="W212" s="60"/>
      <c r="X212" s="60"/>
      <c r="Y212" s="60" t="s">
        <v>179</v>
      </c>
      <c r="Z212" s="60" t="s">
        <v>70</v>
      </c>
      <c r="AA212" s="60"/>
      <c r="AB212" s="60"/>
      <c r="AC212" s="60"/>
      <c r="AD212" s="60"/>
      <c r="AE212" s="69"/>
      <c r="AF212" s="17"/>
      <c r="AG212" s="17"/>
      <c r="AH212" s="17"/>
      <c r="AI212" s="17"/>
      <c r="AJ212" s="17"/>
      <c r="AK212" s="17"/>
      <c r="AL212" s="17"/>
      <c r="AM212" s="17"/>
      <c r="AN212" s="17"/>
      <c r="AO212" s="17"/>
      <c r="AP212" s="17"/>
      <c r="AQ212" s="17"/>
      <c r="AR212" s="17"/>
      <c r="AS212" s="17"/>
      <c r="AT212" s="17"/>
      <c r="AU212" s="17"/>
    </row>
    <row r="213" spans="1:47" ht="15" hidden="1" customHeight="1">
      <c r="A213" s="60">
        <f>ROW() - ROW(Table1[[#Headers],[s]])</f>
        <v>212</v>
      </c>
      <c r="B213" s="60" t="s">
        <v>1021</v>
      </c>
      <c r="C213" s="61">
        <v>46054</v>
      </c>
      <c r="D213" s="63" t="s">
        <v>1022</v>
      </c>
      <c r="E213" s="60" t="e" vm="126">
        <v>#VALUE!</v>
      </c>
      <c r="F213" s="60" t="e" vm="26">
        <v>#VALUE!</v>
      </c>
      <c r="G213" s="64" t="s">
        <v>151</v>
      </c>
      <c r="H213" s="60" t="s">
        <v>152</v>
      </c>
      <c r="I213" s="60" t="s">
        <v>43</v>
      </c>
      <c r="J213" s="67" t="s">
        <v>153</v>
      </c>
      <c r="K213" s="60" t="s">
        <v>154</v>
      </c>
      <c r="L213" s="65">
        <v>46064.70208333333</v>
      </c>
      <c r="M213" s="67" t="s">
        <v>1023</v>
      </c>
      <c r="N213" s="67" t="s">
        <v>1023</v>
      </c>
      <c r="O213" s="71">
        <v>46064.817361111112</v>
      </c>
      <c r="P213" s="72">
        <v>46064.855555555558</v>
      </c>
      <c r="Q213" s="66">
        <v>46064.911805555559</v>
      </c>
      <c r="R213" s="60"/>
      <c r="S213" s="68" t="s">
        <v>1024</v>
      </c>
      <c r="T213" s="55" t="s">
        <v>179</v>
      </c>
      <c r="U213" s="60"/>
      <c r="V213" s="68" t="s">
        <v>1024</v>
      </c>
      <c r="W213" s="60"/>
      <c r="X213" s="60"/>
      <c r="Y213" s="60" t="s">
        <v>158</v>
      </c>
      <c r="Z213" s="280" t="s">
        <v>70</v>
      </c>
      <c r="AA213" s="60"/>
      <c r="AB213" s="60"/>
      <c r="AC213" s="60"/>
      <c r="AD213" s="60"/>
      <c r="AE213" s="69"/>
      <c r="AF213" s="17"/>
      <c r="AG213" s="17"/>
      <c r="AH213" s="17"/>
      <c r="AI213" s="17"/>
      <c r="AJ213" s="17"/>
      <c r="AK213" s="17"/>
      <c r="AL213" s="17"/>
      <c r="AM213" s="17"/>
      <c r="AN213" s="17"/>
      <c r="AO213" s="17"/>
      <c r="AP213" s="17"/>
      <c r="AQ213" s="17"/>
      <c r="AR213" s="17"/>
      <c r="AS213" s="17"/>
      <c r="AT213" s="17"/>
      <c r="AU213" s="17"/>
    </row>
    <row r="214" spans="1:47" ht="15" hidden="1" customHeight="1">
      <c r="A214" s="60">
        <f>ROW() - ROW(Table1[[#Headers],[s]])</f>
        <v>213</v>
      </c>
      <c r="B214" s="42" t="s">
        <v>1025</v>
      </c>
      <c r="C214" s="61">
        <v>46054</v>
      </c>
      <c r="D214" s="131" t="s">
        <v>1026</v>
      </c>
      <c r="E214" s="42" t="e" vm="127">
        <v>#VALUE!</v>
      </c>
      <c r="F214" s="60" t="e" vm="21">
        <v>#VALUE!</v>
      </c>
      <c r="G214" s="64" t="s">
        <v>42</v>
      </c>
      <c r="H214" s="60" t="s">
        <v>152</v>
      </c>
      <c r="I214" s="60" t="s">
        <v>43</v>
      </c>
      <c r="J214" s="67" t="s">
        <v>153</v>
      </c>
      <c r="K214" s="60" t="s">
        <v>154</v>
      </c>
      <c r="L214" s="65">
        <v>46065.38958333333</v>
      </c>
      <c r="M214" s="67" t="s">
        <v>39</v>
      </c>
      <c r="N214" s="67" t="s">
        <v>39</v>
      </c>
      <c r="O214" s="71">
        <v>46065.458333333336</v>
      </c>
      <c r="P214" s="71">
        <v>46065.46875</v>
      </c>
      <c r="Q214" s="71">
        <v>46065.517361111109</v>
      </c>
      <c r="R214" s="60"/>
      <c r="S214" s="68" t="s">
        <v>1027</v>
      </c>
      <c r="T214" s="55" t="s">
        <v>164</v>
      </c>
      <c r="U214" s="60"/>
      <c r="V214" s="68" t="s">
        <v>1028</v>
      </c>
      <c r="W214" s="60"/>
      <c r="X214" s="60"/>
      <c r="Y214" s="60" t="s">
        <v>158</v>
      </c>
      <c r="Z214" s="60" t="s">
        <v>70</v>
      </c>
      <c r="AA214" s="60"/>
      <c r="AB214" s="60"/>
      <c r="AC214" s="60"/>
      <c r="AD214" s="60"/>
      <c r="AE214" s="69"/>
      <c r="AF214" s="17"/>
      <c r="AG214" s="17"/>
      <c r="AH214" s="17"/>
      <c r="AI214" s="17"/>
      <c r="AJ214" s="17"/>
      <c r="AK214" s="17"/>
      <c r="AL214" s="17"/>
      <c r="AM214" s="17"/>
      <c r="AN214" s="17"/>
      <c r="AO214" s="17"/>
      <c r="AP214" s="17"/>
      <c r="AQ214" s="17"/>
      <c r="AR214" s="17"/>
      <c r="AS214" s="17"/>
      <c r="AT214" s="17"/>
      <c r="AU214" s="17"/>
    </row>
    <row r="215" spans="1:47" ht="15" customHeight="1">
      <c r="A215" s="60">
        <f>ROW() - ROW(Table1[[#Headers],[s]])</f>
        <v>214</v>
      </c>
      <c r="B215" s="42" t="s">
        <v>1029</v>
      </c>
      <c r="C215" s="61">
        <v>46054</v>
      </c>
      <c r="D215" s="63" t="s">
        <v>1030</v>
      </c>
      <c r="E215" s="60" t="e" vm="9">
        <v>#VALUE!</v>
      </c>
      <c r="F215" s="60" t="e" vm="10">
        <v>#VALUE!</v>
      </c>
      <c r="G215" s="64" t="s">
        <v>83</v>
      </c>
      <c r="H215" s="60" t="s">
        <v>152</v>
      </c>
      <c r="I215" s="60" t="s">
        <v>43</v>
      </c>
      <c r="J215" s="67" t="s">
        <v>153</v>
      </c>
      <c r="K215" s="60" t="s">
        <v>154</v>
      </c>
      <c r="L215" s="65">
        <v>46065.462500000001</v>
      </c>
      <c r="M215" s="67" t="s">
        <v>78</v>
      </c>
      <c r="N215" s="55" t="s">
        <v>78</v>
      </c>
      <c r="O215" s="71">
        <v>46065.75</v>
      </c>
      <c r="P215" s="71">
        <v>46065.756944444445</v>
      </c>
      <c r="Q215" s="71">
        <v>46065.796527777777</v>
      </c>
      <c r="R215" s="60"/>
      <c r="S215" s="68" t="s">
        <v>1031</v>
      </c>
      <c r="T215" s="55" t="s">
        <v>164</v>
      </c>
      <c r="U215" s="60"/>
      <c r="V215" s="68" t="s">
        <v>1032</v>
      </c>
      <c r="W215" s="60"/>
      <c r="X215" s="60"/>
      <c r="Y215" s="60" t="s">
        <v>158</v>
      </c>
      <c r="Z215" s="60" t="s">
        <v>70</v>
      </c>
      <c r="AA215" s="60"/>
      <c r="AB215" s="60"/>
      <c r="AC215" s="60"/>
      <c r="AD215" s="60"/>
      <c r="AE215" s="69"/>
      <c r="AF215" s="17"/>
      <c r="AG215" s="17"/>
      <c r="AH215" s="17"/>
      <c r="AI215" s="17"/>
      <c r="AJ215" s="17"/>
      <c r="AK215" s="17"/>
      <c r="AL215" s="17"/>
      <c r="AM215" s="17"/>
      <c r="AN215" s="17"/>
      <c r="AO215" s="17"/>
      <c r="AP215" s="17"/>
      <c r="AQ215" s="17"/>
      <c r="AR215" s="17"/>
      <c r="AS215" s="17"/>
      <c r="AT215" s="17"/>
      <c r="AU215" s="17"/>
    </row>
    <row r="216" spans="1:47" ht="15" customHeight="1">
      <c r="A216" s="60">
        <f>ROW() - ROW(Table1[[#Headers],[s]])</f>
        <v>215</v>
      </c>
      <c r="B216" s="131" t="s">
        <v>1033</v>
      </c>
      <c r="C216" s="61">
        <v>46054</v>
      </c>
      <c r="D216" s="131" t="s">
        <v>1034</v>
      </c>
      <c r="E216" s="60" t="e" vm="77">
        <v>#VALUE!</v>
      </c>
      <c r="F216" s="60" t="e" vm="46">
        <v>#VALUE!</v>
      </c>
      <c r="G216" s="64" t="s">
        <v>83</v>
      </c>
      <c r="H216" s="60" t="s">
        <v>747</v>
      </c>
      <c r="I216" s="60" t="s">
        <v>43</v>
      </c>
      <c r="J216" s="67" t="s">
        <v>253</v>
      </c>
      <c r="K216" s="60" t="s">
        <v>154</v>
      </c>
      <c r="L216" s="65">
        <v>46065.472222222219</v>
      </c>
      <c r="M216" s="67" t="s">
        <v>1035</v>
      </c>
      <c r="N216" s="67" t="s">
        <v>1036</v>
      </c>
      <c r="O216" s="71">
        <v>46065.541666666664</v>
      </c>
      <c r="P216" s="369">
        <v>46065.548611111109</v>
      </c>
      <c r="Q216" s="71">
        <v>46065.70208333333</v>
      </c>
      <c r="R216" s="60"/>
      <c r="S216" s="68" t="s">
        <v>1037</v>
      </c>
      <c r="T216" s="55" t="s">
        <v>164</v>
      </c>
      <c r="U216" s="60"/>
      <c r="V216" s="68" t="s">
        <v>1038</v>
      </c>
      <c r="W216" s="60"/>
      <c r="X216" s="60"/>
      <c r="Y216" s="60" t="s">
        <v>158</v>
      </c>
      <c r="Z216" s="60" t="s">
        <v>67</v>
      </c>
      <c r="AB216" s="60"/>
      <c r="AC216" s="60"/>
      <c r="AD216" s="60"/>
      <c r="AE216" s="69"/>
      <c r="AF216" s="17"/>
      <c r="AG216" s="17"/>
      <c r="AH216" s="17"/>
      <c r="AI216" s="17"/>
      <c r="AJ216" s="17"/>
      <c r="AK216" s="17"/>
      <c r="AL216" s="17"/>
      <c r="AM216" s="17"/>
      <c r="AN216" s="17"/>
      <c r="AO216" s="17"/>
      <c r="AP216" s="17"/>
      <c r="AQ216" s="17"/>
      <c r="AR216" s="17"/>
      <c r="AS216" s="17"/>
      <c r="AT216" s="17"/>
      <c r="AU216" s="17"/>
    </row>
    <row r="217" spans="1:47" ht="15" customHeight="1">
      <c r="A217" s="60">
        <f>ROW() - ROW(Table1[[#Headers],[s]])</f>
        <v>216</v>
      </c>
      <c r="B217" s="42" t="s">
        <v>1039</v>
      </c>
      <c r="C217" s="61">
        <v>46054</v>
      </c>
      <c r="D217" s="63" t="s">
        <v>1040</v>
      </c>
      <c r="E217" s="60" t="e" vm="9">
        <v>#VALUE!</v>
      </c>
      <c r="F217" s="60" t="e" vm="10">
        <v>#VALUE!</v>
      </c>
      <c r="G217" s="64" t="s">
        <v>83</v>
      </c>
      <c r="H217" s="60" t="s">
        <v>152</v>
      </c>
      <c r="I217" s="60" t="s">
        <v>43</v>
      </c>
      <c r="J217" s="67" t="s">
        <v>153</v>
      </c>
      <c r="K217" s="60" t="s">
        <v>154</v>
      </c>
      <c r="L217" s="65">
        <v>46065.5</v>
      </c>
      <c r="M217" s="67" t="s">
        <v>78</v>
      </c>
      <c r="N217" s="55" t="s">
        <v>78</v>
      </c>
      <c r="O217" s="71">
        <v>46065.791666666664</v>
      </c>
      <c r="P217" s="71">
        <v>46065.798611111109</v>
      </c>
      <c r="Q217" s="71">
        <v>46065.833333333336</v>
      </c>
      <c r="R217" s="60"/>
      <c r="S217" s="68" t="s">
        <v>1041</v>
      </c>
      <c r="T217" s="55" t="s">
        <v>164</v>
      </c>
      <c r="U217" s="60"/>
      <c r="V217" s="68" t="s">
        <v>1042</v>
      </c>
      <c r="W217" s="60"/>
      <c r="X217" s="60"/>
      <c r="Y217" s="60" t="s">
        <v>158</v>
      </c>
      <c r="Z217" s="60" t="s">
        <v>70</v>
      </c>
      <c r="AA217" s="60"/>
      <c r="AB217" s="60"/>
      <c r="AC217" s="60"/>
      <c r="AD217" s="60"/>
      <c r="AE217" s="69"/>
      <c r="AF217" s="17"/>
      <c r="AG217" s="17"/>
      <c r="AH217" s="17"/>
      <c r="AI217" s="17"/>
      <c r="AJ217" s="17"/>
      <c r="AK217" s="17"/>
      <c r="AL217" s="17"/>
      <c r="AM217" s="17"/>
      <c r="AN217" s="17"/>
      <c r="AO217" s="17"/>
      <c r="AP217" s="17"/>
      <c r="AQ217" s="17"/>
      <c r="AR217" s="17"/>
      <c r="AS217" s="17"/>
      <c r="AT217" s="17"/>
      <c r="AU217" s="17"/>
    </row>
    <row r="218" spans="1:47" ht="15" customHeight="1">
      <c r="A218" s="60">
        <f>ROW() - ROW(Table1[[#Headers],[s]])</f>
        <v>217</v>
      </c>
      <c r="B218" s="42" t="s">
        <v>1043</v>
      </c>
      <c r="C218" s="61">
        <v>46054</v>
      </c>
      <c r="D218" s="131" t="s">
        <v>1044</v>
      </c>
      <c r="E218" s="60" t="e" vm="9">
        <v>#VALUE!</v>
      </c>
      <c r="F218" s="60" t="e" vm="10">
        <v>#VALUE!</v>
      </c>
      <c r="G218" s="64" t="s">
        <v>83</v>
      </c>
      <c r="H218" s="60" t="s">
        <v>152</v>
      </c>
      <c r="I218" s="60" t="s">
        <v>43</v>
      </c>
      <c r="J218" s="67" t="s">
        <v>153</v>
      </c>
      <c r="K218" s="60" t="s">
        <v>154</v>
      </c>
      <c r="L218" s="65">
        <v>46065.513888888891</v>
      </c>
      <c r="M218" s="67" t="s">
        <v>78</v>
      </c>
      <c r="N218" s="55" t="s">
        <v>78</v>
      </c>
      <c r="O218" s="71">
        <v>46065.75</v>
      </c>
      <c r="P218" s="71">
        <v>46065.756944444445</v>
      </c>
      <c r="Q218" s="71">
        <v>46065.847222222219</v>
      </c>
      <c r="R218" s="60"/>
      <c r="S218" s="68" t="s">
        <v>259</v>
      </c>
      <c r="T218" s="55" t="s">
        <v>164</v>
      </c>
      <c r="U218" s="60"/>
      <c r="V218" s="68" t="s">
        <v>1045</v>
      </c>
      <c r="W218" s="60"/>
      <c r="X218" s="60"/>
      <c r="Y218" s="60" t="s">
        <v>158</v>
      </c>
      <c r="Z218" s="60" t="s">
        <v>70</v>
      </c>
      <c r="AA218" s="60"/>
      <c r="AB218" s="60"/>
      <c r="AC218" s="60"/>
      <c r="AD218" s="60"/>
      <c r="AE218" s="69"/>
      <c r="AF218" s="17"/>
      <c r="AG218" s="17"/>
      <c r="AH218" s="17"/>
      <c r="AI218" s="17"/>
      <c r="AJ218" s="17"/>
      <c r="AK218" s="17"/>
      <c r="AL218" s="17"/>
      <c r="AM218" s="17"/>
      <c r="AN218" s="17"/>
      <c r="AO218" s="17"/>
      <c r="AP218" s="17"/>
      <c r="AQ218" s="17"/>
      <c r="AR218" s="17"/>
      <c r="AS218" s="17"/>
      <c r="AT218" s="17"/>
      <c r="AU218" s="17"/>
    </row>
    <row r="219" spans="1:47" ht="15" hidden="1" customHeight="1">
      <c r="A219" s="60">
        <f>ROW() - ROW(Table1[[#Headers],[s]])</f>
        <v>218</v>
      </c>
      <c r="B219" s="42" t="s">
        <v>1046</v>
      </c>
      <c r="C219" s="61">
        <v>46054</v>
      </c>
      <c r="D219" s="136" t="s">
        <v>1047</v>
      </c>
      <c r="E219" s="60" t="e" vm="69">
        <v>#VALUE!</v>
      </c>
      <c r="F219" s="60" t="e" vm="2">
        <v>#VALUE!</v>
      </c>
      <c r="G219" s="64" t="s">
        <v>42</v>
      </c>
      <c r="H219" s="60" t="s">
        <v>152</v>
      </c>
      <c r="I219" s="60" t="s">
        <v>43</v>
      </c>
      <c r="J219" s="67" t="s">
        <v>153</v>
      </c>
      <c r="K219" s="60" t="s">
        <v>154</v>
      </c>
      <c r="L219" s="65">
        <v>46065.515972222223</v>
      </c>
      <c r="M219" s="67" t="s">
        <v>162</v>
      </c>
      <c r="N219" s="67" t="s">
        <v>162</v>
      </c>
      <c r="O219" s="65">
        <v>46065.604166666664</v>
      </c>
      <c r="P219" s="65">
        <v>46065.607638888891</v>
      </c>
      <c r="Q219" s="65">
        <v>46065.650694444441</v>
      </c>
      <c r="R219" s="60"/>
      <c r="S219" s="68" t="s">
        <v>1048</v>
      </c>
      <c r="T219" s="55" t="s">
        <v>164</v>
      </c>
      <c r="U219" s="60"/>
      <c r="V219" s="68" t="s">
        <v>1049</v>
      </c>
      <c r="W219" s="60"/>
      <c r="X219" s="60"/>
      <c r="Y219" s="60" t="s">
        <v>158</v>
      </c>
      <c r="Z219" s="60" t="s">
        <v>70</v>
      </c>
      <c r="AA219" s="60"/>
      <c r="AB219" s="60"/>
      <c r="AC219" s="60"/>
      <c r="AD219" s="60"/>
      <c r="AE219" s="69"/>
      <c r="AF219" s="17"/>
      <c r="AG219" s="17"/>
      <c r="AH219" s="17"/>
      <c r="AI219" s="17"/>
      <c r="AJ219" s="17"/>
      <c r="AK219" s="17"/>
      <c r="AL219" s="17"/>
      <c r="AM219" s="17"/>
      <c r="AN219" s="17"/>
      <c r="AO219" s="17"/>
      <c r="AP219" s="17"/>
      <c r="AQ219" s="17"/>
      <c r="AR219" s="17"/>
      <c r="AS219" s="17"/>
      <c r="AT219" s="17"/>
      <c r="AU219" s="17"/>
    </row>
    <row r="220" spans="1:47" ht="15" customHeight="1">
      <c r="A220" s="60">
        <f>ROW() - ROW(Table1[[#Headers],[s]])</f>
        <v>219</v>
      </c>
      <c r="B220" s="60" t="s">
        <v>1050</v>
      </c>
      <c r="C220" s="61">
        <v>46054</v>
      </c>
      <c r="D220" s="63" t="s">
        <v>1051</v>
      </c>
      <c r="E220" s="60" t="e" vm="9">
        <v>#VALUE!</v>
      </c>
      <c r="F220" s="60" t="e" vm="10">
        <v>#VALUE!</v>
      </c>
      <c r="G220" s="64" t="s">
        <v>83</v>
      </c>
      <c r="H220" s="60" t="s">
        <v>152</v>
      </c>
      <c r="I220" s="60" t="s">
        <v>43</v>
      </c>
      <c r="J220" s="67" t="s">
        <v>153</v>
      </c>
      <c r="K220" s="60" t="s">
        <v>154</v>
      </c>
      <c r="L220" s="65">
        <v>46065.652777777781</v>
      </c>
      <c r="M220" s="67" t="s">
        <v>78</v>
      </c>
      <c r="N220" s="55" t="s">
        <v>78</v>
      </c>
      <c r="O220" s="71">
        <v>46065.708333333336</v>
      </c>
      <c r="P220" s="71">
        <v>46065.715277777781</v>
      </c>
      <c r="Q220" s="71">
        <v>46065.725694444445</v>
      </c>
      <c r="R220" s="60"/>
      <c r="S220" s="68" t="s">
        <v>1052</v>
      </c>
      <c r="T220" s="55" t="s">
        <v>164</v>
      </c>
      <c r="U220" s="60"/>
      <c r="V220" s="68" t="s">
        <v>581</v>
      </c>
      <c r="W220" s="60"/>
      <c r="X220" s="60"/>
      <c r="Y220" s="60" t="s">
        <v>158</v>
      </c>
      <c r="Z220" s="60" t="s">
        <v>70</v>
      </c>
      <c r="AA220" s="60"/>
      <c r="AB220" s="60"/>
      <c r="AC220" s="60"/>
      <c r="AD220" s="60"/>
      <c r="AE220" s="69"/>
      <c r="AF220" s="17"/>
      <c r="AG220" s="17"/>
      <c r="AH220" s="17"/>
      <c r="AI220" s="17"/>
      <c r="AJ220" s="17"/>
      <c r="AK220" s="17"/>
      <c r="AL220" s="17"/>
      <c r="AM220" s="17"/>
      <c r="AN220" s="17"/>
      <c r="AO220" s="17"/>
      <c r="AP220" s="17"/>
      <c r="AQ220" s="17"/>
      <c r="AR220" s="17"/>
      <c r="AS220" s="17"/>
      <c r="AT220" s="17"/>
      <c r="AU220" s="17"/>
    </row>
    <row r="221" spans="1:47" ht="15" hidden="1" customHeight="1">
      <c r="A221" s="60">
        <f>ROW() - ROW(Table1[[#Headers],[s]])</f>
        <v>220</v>
      </c>
      <c r="B221" s="60" t="s">
        <v>1053</v>
      </c>
      <c r="C221" s="61">
        <v>46054</v>
      </c>
      <c r="D221" s="63" t="s">
        <v>1054</v>
      </c>
      <c r="E221" s="60" t="e" vm="128">
        <v>#VALUE!</v>
      </c>
      <c r="F221" s="60" t="e" vm="19">
        <v>#VALUE!</v>
      </c>
      <c r="G221" s="64" t="s">
        <v>174</v>
      </c>
      <c r="H221" s="60" t="s">
        <v>152</v>
      </c>
      <c r="I221" s="42" t="s">
        <v>175</v>
      </c>
      <c r="J221" s="67" t="s">
        <v>153</v>
      </c>
      <c r="K221" s="60" t="s">
        <v>154</v>
      </c>
      <c r="L221" s="65">
        <v>46065.910416666666</v>
      </c>
      <c r="M221" s="67" t="s">
        <v>217</v>
      </c>
      <c r="N221" s="67" t="s">
        <v>217</v>
      </c>
      <c r="O221" s="71">
        <v>46066.333333333336</v>
      </c>
      <c r="P221" s="71">
        <v>46066.354166666664</v>
      </c>
      <c r="Q221" s="71">
        <v>46066.375</v>
      </c>
      <c r="R221" s="60"/>
      <c r="S221" s="68" t="s">
        <v>473</v>
      </c>
      <c r="T221" s="55" t="s">
        <v>266</v>
      </c>
      <c r="U221" s="60"/>
      <c r="V221" s="68" t="s">
        <v>517</v>
      </c>
      <c r="W221" s="60"/>
      <c r="X221" s="60"/>
      <c r="Y221" s="60" t="s">
        <v>158</v>
      </c>
      <c r="Z221" s="280" t="s">
        <v>70</v>
      </c>
      <c r="AA221" s="60"/>
      <c r="AB221" s="60"/>
      <c r="AC221" s="60"/>
      <c r="AD221" s="60"/>
      <c r="AE221" s="69"/>
      <c r="AF221" s="17"/>
      <c r="AG221" s="17"/>
      <c r="AH221" s="17"/>
      <c r="AI221" s="17"/>
      <c r="AJ221" s="17"/>
      <c r="AK221" s="17"/>
      <c r="AL221" s="17"/>
      <c r="AM221" s="17"/>
      <c r="AN221" s="17"/>
      <c r="AO221" s="17"/>
      <c r="AP221" s="17"/>
      <c r="AQ221" s="17"/>
      <c r="AR221" s="17"/>
      <c r="AS221" s="17"/>
      <c r="AT221" s="17"/>
      <c r="AU221" s="17"/>
    </row>
    <row r="222" spans="1:47" ht="15" hidden="1" customHeight="1">
      <c r="A222" s="60">
        <f>ROW() - ROW(Table1[[#Headers],[s]])</f>
        <v>221</v>
      </c>
      <c r="B222" s="60" t="s">
        <v>1055</v>
      </c>
      <c r="C222" s="61">
        <v>46054</v>
      </c>
      <c r="D222" s="63" t="s">
        <v>1056</v>
      </c>
      <c r="E222" s="60" t="e" vm="129">
        <v>#VALUE!</v>
      </c>
      <c r="F222" s="60" t="e" vm="35">
        <v>#VALUE!</v>
      </c>
      <c r="G222" s="64" t="s">
        <v>1057</v>
      </c>
      <c r="H222" s="60" t="s">
        <v>152</v>
      </c>
      <c r="I222" s="60" t="s">
        <v>43</v>
      </c>
      <c r="J222" s="67" t="s">
        <v>153</v>
      </c>
      <c r="K222" s="60" t="s">
        <v>154</v>
      </c>
      <c r="L222" s="65">
        <v>46066.408333333333</v>
      </c>
      <c r="M222" s="67" t="s">
        <v>44</v>
      </c>
      <c r="N222" s="67" t="s">
        <v>44</v>
      </c>
      <c r="O222" s="71">
        <v>46066.5</v>
      </c>
      <c r="P222" s="72">
        <v>46066.541666666664</v>
      </c>
      <c r="Q222" s="72">
        <v>46066.708333333336</v>
      </c>
      <c r="R222" s="60"/>
      <c r="S222" s="68" t="s">
        <v>1058</v>
      </c>
      <c r="T222" s="55" t="s">
        <v>164</v>
      </c>
      <c r="U222" s="60"/>
      <c r="V222" s="68" t="s">
        <v>229</v>
      </c>
      <c r="W222" s="60"/>
      <c r="X222" s="60"/>
      <c r="Y222" s="60" t="s">
        <v>203</v>
      </c>
      <c r="Z222" s="60" t="s">
        <v>67</v>
      </c>
      <c r="AB222" s="60"/>
      <c r="AC222" s="60"/>
      <c r="AD222" s="60" t="s">
        <v>1059</v>
      </c>
      <c r="AE222" s="69"/>
      <c r="AF222" s="17"/>
      <c r="AG222" s="17"/>
      <c r="AH222" s="17"/>
      <c r="AI222" s="17"/>
      <c r="AJ222" s="17"/>
      <c r="AK222" s="17"/>
      <c r="AL222" s="17"/>
      <c r="AM222" s="17"/>
      <c r="AN222" s="17"/>
      <c r="AO222" s="17"/>
      <c r="AP222" s="17"/>
      <c r="AQ222" s="17"/>
      <c r="AR222" s="17"/>
      <c r="AS222" s="17"/>
      <c r="AT222" s="17"/>
      <c r="AU222" s="17"/>
    </row>
    <row r="223" spans="1:47" ht="15" hidden="1" customHeight="1">
      <c r="A223" s="60">
        <f>ROW() - ROW(Table1[[#Headers],[s]])</f>
        <v>222</v>
      </c>
      <c r="B223" s="60" t="s">
        <v>1060</v>
      </c>
      <c r="C223" s="61">
        <v>46054</v>
      </c>
      <c r="D223" s="63" t="s">
        <v>1061</v>
      </c>
      <c r="E223" s="60" t="e" vm="130">
        <v>#VALUE!</v>
      </c>
      <c r="F223" s="60" t="e" vm="35">
        <v>#VALUE!</v>
      </c>
      <c r="G223" s="64" t="s">
        <v>42</v>
      </c>
      <c r="H223" s="60" t="s">
        <v>747</v>
      </c>
      <c r="I223" s="60" t="s">
        <v>43</v>
      </c>
      <c r="J223" s="67" t="s">
        <v>153</v>
      </c>
      <c r="K223" s="60" t="s">
        <v>154</v>
      </c>
      <c r="L223" s="65">
        <v>46066.410416666666</v>
      </c>
      <c r="M223" s="67" t="s">
        <v>1062</v>
      </c>
      <c r="N223" s="55" t="s">
        <v>1062</v>
      </c>
      <c r="O223" s="64">
        <v>46065.5625</v>
      </c>
      <c r="P223" s="60">
        <v>46065.569444444445</v>
      </c>
      <c r="Q223" s="66">
        <v>46065.65625</v>
      </c>
      <c r="R223" s="60"/>
      <c r="S223" s="68" t="s">
        <v>1063</v>
      </c>
      <c r="T223" s="55" t="s">
        <v>164</v>
      </c>
      <c r="U223" s="60"/>
      <c r="V223" s="68" t="s">
        <v>1064</v>
      </c>
      <c r="W223" s="60"/>
      <c r="X223" s="279"/>
      <c r="Y223" s="60" t="s">
        <v>158</v>
      </c>
      <c r="Z223" s="60" t="s">
        <v>67</v>
      </c>
      <c r="AA223" s="60"/>
      <c r="AB223" s="60"/>
      <c r="AC223" s="60"/>
      <c r="AD223" s="60"/>
      <c r="AE223" s="69"/>
      <c r="AF223" s="17"/>
      <c r="AG223" s="17"/>
      <c r="AH223" s="17"/>
      <c r="AI223" s="17"/>
      <c r="AJ223" s="17"/>
      <c r="AK223" s="17"/>
      <c r="AL223" s="17"/>
      <c r="AM223" s="17"/>
      <c r="AN223" s="17"/>
      <c r="AO223" s="17"/>
      <c r="AP223" s="17"/>
      <c r="AQ223" s="17"/>
      <c r="AR223" s="17"/>
      <c r="AS223" s="17"/>
      <c r="AT223" s="17"/>
      <c r="AU223" s="17"/>
    </row>
    <row r="224" spans="1:47" ht="15" hidden="1" customHeight="1">
      <c r="A224" s="60">
        <f>ROW() - ROW(Table1[[#Headers],[s]])</f>
        <v>223</v>
      </c>
      <c r="B224" s="42" t="s">
        <v>1065</v>
      </c>
      <c r="C224" s="61">
        <v>46054</v>
      </c>
      <c r="D224" s="131" t="s">
        <v>1066</v>
      </c>
      <c r="E224" s="60" t="e" vm="91">
        <v>#VALUE!</v>
      </c>
      <c r="F224" s="60" t="e" vm="25">
        <v>#VALUE!</v>
      </c>
      <c r="G224" s="64" t="s">
        <v>42</v>
      </c>
      <c r="H224" s="60" t="s">
        <v>152</v>
      </c>
      <c r="I224" s="60" t="s">
        <v>43</v>
      </c>
      <c r="J224" s="67" t="s">
        <v>153</v>
      </c>
      <c r="K224" s="60" t="s">
        <v>154</v>
      </c>
      <c r="L224" s="65">
        <v>46066.470833333333</v>
      </c>
      <c r="M224" s="67" t="s">
        <v>1067</v>
      </c>
      <c r="N224" s="67" t="s">
        <v>1067</v>
      </c>
      <c r="O224" s="65">
        <v>46065.5</v>
      </c>
      <c r="P224" s="65">
        <v>46065.503472222219</v>
      </c>
      <c r="Q224" s="65">
        <v>46065.556944444441</v>
      </c>
      <c r="R224" s="60"/>
      <c r="S224" s="68" t="s">
        <v>1068</v>
      </c>
      <c r="T224" s="55" t="s">
        <v>164</v>
      </c>
      <c r="U224" s="60"/>
      <c r="V224" s="68" t="s">
        <v>1069</v>
      </c>
      <c r="W224" s="60"/>
      <c r="X224" s="60"/>
      <c r="Y224" s="60" t="s">
        <v>158</v>
      </c>
      <c r="Z224" s="60" t="s">
        <v>70</v>
      </c>
      <c r="AA224" s="60"/>
      <c r="AB224" s="60"/>
      <c r="AC224" s="60"/>
      <c r="AD224" s="60"/>
      <c r="AE224" s="69"/>
      <c r="AF224" s="17"/>
      <c r="AG224" s="17"/>
      <c r="AH224" s="17"/>
      <c r="AI224" s="17"/>
      <c r="AJ224" s="17"/>
      <c r="AK224" s="17"/>
      <c r="AL224" s="17"/>
      <c r="AM224" s="17"/>
      <c r="AN224" s="17"/>
      <c r="AO224" s="17"/>
      <c r="AP224" s="17"/>
      <c r="AQ224" s="17"/>
      <c r="AR224" s="17"/>
      <c r="AS224" s="17"/>
      <c r="AT224" s="17"/>
      <c r="AU224" s="17"/>
    </row>
    <row r="225" spans="1:47" s="464" customFormat="1" ht="15" hidden="1" customHeight="1">
      <c r="A225" s="463">
        <f>ROW() - ROW(Table1[[#Headers],[s]])</f>
        <v>224</v>
      </c>
      <c r="B225" s="463" t="s">
        <v>1070</v>
      </c>
      <c r="C225" s="476">
        <v>46054</v>
      </c>
      <c r="D225" s="477" t="s">
        <v>1071</v>
      </c>
      <c r="E225" s="463" t="e" vm="114">
        <v>#VALUE!</v>
      </c>
      <c r="F225" s="463" t="e" vm="35">
        <v>#VALUE!</v>
      </c>
      <c r="G225" s="485" t="s">
        <v>174</v>
      </c>
      <c r="H225" s="463" t="s">
        <v>747</v>
      </c>
      <c r="I225" s="479" t="s">
        <v>175</v>
      </c>
      <c r="J225" s="480"/>
      <c r="K225" s="463" t="s">
        <v>1072</v>
      </c>
      <c r="L225" s="481">
        <v>46066.415277777778</v>
      </c>
      <c r="M225" s="480" t="s">
        <v>68</v>
      </c>
      <c r="N225" s="480" t="s">
        <v>68</v>
      </c>
      <c r="O225" s="481">
        <v>46066.46875</v>
      </c>
      <c r="P225" s="481">
        <v>46066.510416666664</v>
      </c>
      <c r="Q225" s="481">
        <v>46066.729166666664</v>
      </c>
      <c r="R225" s="463"/>
      <c r="S225" s="482" t="s">
        <v>1073</v>
      </c>
      <c r="T225" s="471" t="s">
        <v>164</v>
      </c>
      <c r="U225" s="463"/>
      <c r="V225" s="482" t="s">
        <v>1074</v>
      </c>
      <c r="W225" s="463"/>
      <c r="X225" s="463"/>
      <c r="Y225" s="463" t="s">
        <v>158</v>
      </c>
      <c r="Z225" s="463" t="s">
        <v>70</v>
      </c>
      <c r="AA225" s="463"/>
      <c r="AB225" s="463"/>
      <c r="AC225" s="463"/>
      <c r="AD225" s="463"/>
      <c r="AE225" s="483"/>
      <c r="AF225" s="484"/>
      <c r="AG225" s="484"/>
      <c r="AH225" s="484"/>
      <c r="AI225" s="484"/>
      <c r="AJ225" s="484"/>
      <c r="AK225" s="484"/>
      <c r="AL225" s="484"/>
      <c r="AM225" s="484"/>
      <c r="AN225" s="484"/>
      <c r="AO225" s="484"/>
      <c r="AP225" s="484"/>
      <c r="AQ225" s="484"/>
      <c r="AR225" s="484"/>
      <c r="AS225" s="484"/>
      <c r="AT225" s="484"/>
      <c r="AU225" s="484"/>
    </row>
    <row r="226" spans="1:47" ht="15.75" hidden="1" customHeight="1">
      <c r="A226" s="60">
        <f>ROW() - ROW(Table1[[#Headers],[s]])</f>
        <v>225</v>
      </c>
      <c r="B226" s="74" t="s">
        <v>1075</v>
      </c>
      <c r="C226" s="61">
        <v>46054</v>
      </c>
      <c r="D226" s="63" t="s">
        <v>1076</v>
      </c>
      <c r="E226" s="60" t="e" vm="9">
        <v>#VALUE!</v>
      </c>
      <c r="F226" s="60" t="e" vm="10">
        <v>#VALUE!</v>
      </c>
      <c r="G226" s="64" t="s">
        <v>174</v>
      </c>
      <c r="H226" s="60" t="s">
        <v>152</v>
      </c>
      <c r="I226" s="42" t="s">
        <v>175</v>
      </c>
      <c r="J226" s="67" t="s">
        <v>153</v>
      </c>
      <c r="K226" s="60" t="s">
        <v>154</v>
      </c>
      <c r="L226" s="65">
        <v>46066.638888888891</v>
      </c>
      <c r="M226" s="67" t="s">
        <v>78</v>
      </c>
      <c r="N226" s="55" t="s">
        <v>78</v>
      </c>
      <c r="O226" s="65">
        <v>46066.71875</v>
      </c>
      <c r="P226" s="65">
        <v>46066.739583333336</v>
      </c>
      <c r="Q226" s="65">
        <v>46066.802083333336</v>
      </c>
      <c r="R226" s="60"/>
      <c r="S226" s="68" t="s">
        <v>1077</v>
      </c>
      <c r="T226" s="55" t="s">
        <v>164</v>
      </c>
      <c r="U226" s="60"/>
      <c r="V226" s="68" t="s">
        <v>1078</v>
      </c>
      <c r="W226" s="60"/>
      <c r="X226" s="60"/>
      <c r="Y226" s="60" t="s">
        <v>158</v>
      </c>
      <c r="Z226" s="60" t="s">
        <v>70</v>
      </c>
      <c r="AA226" s="60"/>
      <c r="AB226" s="60"/>
      <c r="AC226" s="60"/>
      <c r="AD226" s="60"/>
      <c r="AE226" s="69"/>
      <c r="AF226" s="17"/>
      <c r="AG226" s="17"/>
      <c r="AH226" s="17"/>
      <c r="AI226" s="17"/>
      <c r="AJ226" s="17"/>
      <c r="AK226" s="17"/>
      <c r="AL226" s="17"/>
      <c r="AM226" s="17"/>
      <c r="AN226" s="17"/>
      <c r="AO226" s="17"/>
      <c r="AP226" s="17"/>
      <c r="AQ226" s="17"/>
      <c r="AR226" s="17"/>
      <c r="AS226" s="17"/>
      <c r="AT226" s="17"/>
      <c r="AU226" s="17"/>
    </row>
    <row r="227" spans="1:47" ht="15" hidden="1" customHeight="1">
      <c r="A227" s="60">
        <f>ROW() - ROW(Table1[[#Headers],[s]])</f>
        <v>226</v>
      </c>
      <c r="B227" s="60" t="s">
        <v>1079</v>
      </c>
      <c r="C227" s="61">
        <v>46054</v>
      </c>
      <c r="D227" s="63" t="s">
        <v>1080</v>
      </c>
      <c r="E227" s="60" t="e" vm="9">
        <v>#VALUE!</v>
      </c>
      <c r="F227" s="60" t="e" vm="10">
        <v>#VALUE!</v>
      </c>
      <c r="G227" s="64" t="s">
        <v>174</v>
      </c>
      <c r="H227" s="60" t="s">
        <v>152</v>
      </c>
      <c r="I227" s="42" t="s">
        <v>175</v>
      </c>
      <c r="J227" s="67" t="s">
        <v>153</v>
      </c>
      <c r="K227" s="60" t="s">
        <v>154</v>
      </c>
      <c r="L227" s="65">
        <v>46066.667361111111</v>
      </c>
      <c r="M227" s="67" t="s">
        <v>78</v>
      </c>
      <c r="N227" s="55" t="s">
        <v>78</v>
      </c>
      <c r="O227" s="65">
        <v>46066.729166666664</v>
      </c>
      <c r="P227" s="65">
        <v>46066.743055555555</v>
      </c>
      <c r="Q227" s="65">
        <v>46066.774305555555</v>
      </c>
      <c r="R227" s="60"/>
      <c r="S227" s="68" t="s">
        <v>1081</v>
      </c>
      <c r="T227" s="55" t="s">
        <v>164</v>
      </c>
      <c r="U227" s="60"/>
      <c r="V227" s="68" t="s">
        <v>183</v>
      </c>
      <c r="W227" s="60"/>
      <c r="X227" s="60"/>
      <c r="Y227" s="60" t="s">
        <v>158</v>
      </c>
      <c r="Z227" s="60" t="s">
        <v>70</v>
      </c>
      <c r="AA227" s="60"/>
      <c r="AB227" s="60"/>
      <c r="AC227" s="60"/>
      <c r="AD227" s="60"/>
      <c r="AE227" s="69"/>
      <c r="AF227" s="17"/>
      <c r="AG227" s="17"/>
      <c r="AH227" s="17"/>
      <c r="AI227" s="17"/>
      <c r="AJ227" s="17"/>
      <c r="AK227" s="17"/>
      <c r="AL227" s="17"/>
      <c r="AM227" s="17"/>
      <c r="AN227" s="17"/>
      <c r="AO227" s="17"/>
      <c r="AP227" s="17"/>
      <c r="AQ227" s="17"/>
      <c r="AR227" s="17"/>
      <c r="AS227" s="17"/>
      <c r="AT227" s="17"/>
      <c r="AU227" s="17"/>
    </row>
    <row r="228" spans="1:47" ht="15" hidden="1" customHeight="1">
      <c r="A228" s="60">
        <f>ROW() - ROW(Table1[[#Headers],[s]])</f>
        <v>227</v>
      </c>
      <c r="B228" s="60" t="s">
        <v>1082</v>
      </c>
      <c r="C228" s="75">
        <v>46054</v>
      </c>
      <c r="D228" s="63" t="s">
        <v>1083</v>
      </c>
      <c r="E228" s="60" t="e" vm="79">
        <v>#VALUE!</v>
      </c>
      <c r="F228" s="60" t="e" vm="25">
        <v>#VALUE!</v>
      </c>
      <c r="G228" s="64" t="s">
        <v>174</v>
      </c>
      <c r="H228" s="60" t="s">
        <v>747</v>
      </c>
      <c r="I228" s="42" t="s">
        <v>175</v>
      </c>
      <c r="J228" s="67" t="s">
        <v>253</v>
      </c>
      <c r="K228" s="60" t="s">
        <v>154</v>
      </c>
      <c r="L228" s="65">
        <v>46066.589583333334</v>
      </c>
      <c r="M228" s="67" t="s">
        <v>72</v>
      </c>
      <c r="N228" s="67" t="s">
        <v>72</v>
      </c>
      <c r="O228" s="65">
        <v>46066.631944444445</v>
      </c>
      <c r="P228" s="65">
        <v>46066.649305555555</v>
      </c>
      <c r="Q228" s="65">
        <v>46066.674305555556</v>
      </c>
      <c r="R228" s="60"/>
      <c r="S228" s="68" t="s">
        <v>1084</v>
      </c>
      <c r="T228" s="55" t="s">
        <v>266</v>
      </c>
      <c r="U228" s="60"/>
      <c r="V228" s="68" t="s">
        <v>1085</v>
      </c>
      <c r="W228" s="60"/>
      <c r="X228" s="60"/>
      <c r="Y228" s="60" t="s">
        <v>158</v>
      </c>
      <c r="Z228" s="60" t="s">
        <v>70</v>
      </c>
      <c r="AA228" s="60"/>
      <c r="AB228" s="60"/>
      <c r="AC228" s="60"/>
      <c r="AD228" s="60"/>
      <c r="AE228" s="69"/>
      <c r="AF228" s="17"/>
      <c r="AG228" s="17"/>
      <c r="AH228" s="17"/>
      <c r="AI228" s="17"/>
      <c r="AJ228" s="17"/>
      <c r="AK228" s="17"/>
      <c r="AL228" s="17"/>
      <c r="AM228" s="17"/>
      <c r="AN228" s="17"/>
      <c r="AO228" s="17"/>
      <c r="AP228" s="17"/>
      <c r="AQ228" s="17"/>
      <c r="AR228" s="17"/>
      <c r="AS228" s="17"/>
      <c r="AT228" s="17"/>
      <c r="AU228" s="17"/>
    </row>
    <row r="229" spans="1:47" ht="15" hidden="1" customHeight="1">
      <c r="A229" s="60">
        <f>ROW() - ROW(Table1[[#Headers],[s]])</f>
        <v>228</v>
      </c>
      <c r="B229" s="60" t="s">
        <v>1086</v>
      </c>
      <c r="C229" s="61">
        <v>46054</v>
      </c>
      <c r="D229" s="63" t="s">
        <v>1087</v>
      </c>
      <c r="E229" s="60" t="e" vm="121">
        <v>#VALUE!</v>
      </c>
      <c r="F229" s="60" t="e" vm="17">
        <v>#VALUE!</v>
      </c>
      <c r="G229" s="64" t="s">
        <v>200</v>
      </c>
      <c r="H229" s="60" t="s">
        <v>747</v>
      </c>
      <c r="I229" s="60" t="s">
        <v>43</v>
      </c>
      <c r="J229" s="67" t="s">
        <v>253</v>
      </c>
      <c r="K229" s="60" t="s">
        <v>154</v>
      </c>
      <c r="L229" s="65">
        <v>46067.402777777781</v>
      </c>
      <c r="M229" s="67" t="s">
        <v>44</v>
      </c>
      <c r="N229" s="67" t="s">
        <v>44</v>
      </c>
      <c r="O229" s="71">
        <v>46067.5</v>
      </c>
      <c r="P229" s="72">
        <v>46067.541666666664</v>
      </c>
      <c r="Q229" s="66">
        <v>46067.555555555555</v>
      </c>
      <c r="R229" s="60"/>
      <c r="S229" s="68" t="s">
        <v>1088</v>
      </c>
      <c r="T229" s="55" t="s">
        <v>50</v>
      </c>
      <c r="U229" s="60"/>
      <c r="V229" s="68" t="s">
        <v>374</v>
      </c>
      <c r="W229" s="60"/>
      <c r="X229" s="60"/>
      <c r="Y229" s="60" t="s">
        <v>203</v>
      </c>
      <c r="Z229" s="60" t="s">
        <v>70</v>
      </c>
      <c r="AA229" s="60"/>
      <c r="AB229" s="60"/>
      <c r="AC229" s="60"/>
      <c r="AD229" s="60"/>
      <c r="AE229" s="69"/>
      <c r="AF229" s="17"/>
      <c r="AG229" s="17"/>
      <c r="AH229" s="17"/>
      <c r="AI229" s="17"/>
      <c r="AJ229" s="17"/>
      <c r="AK229" s="17"/>
      <c r="AL229" s="17"/>
      <c r="AM229" s="17"/>
      <c r="AN229" s="17"/>
      <c r="AO229" s="17"/>
      <c r="AP229" s="17"/>
      <c r="AQ229" s="17"/>
      <c r="AR229" s="17"/>
      <c r="AS229" s="17"/>
      <c r="AT229" s="17"/>
      <c r="AU229" s="17"/>
    </row>
    <row r="230" spans="1:47" ht="15" hidden="1" customHeight="1">
      <c r="A230" s="60">
        <f>ROW() - ROW(Table1[[#Headers],[s]])</f>
        <v>229</v>
      </c>
      <c r="B230" s="60" t="s">
        <v>1089</v>
      </c>
      <c r="C230" s="61" t="s">
        <v>60</v>
      </c>
      <c r="D230" s="63" t="s">
        <v>1090</v>
      </c>
      <c r="E230" s="60" t="e" vm="131">
        <v>#VALUE!</v>
      </c>
      <c r="F230" s="60" t="e" vm="25">
        <v>#VALUE!</v>
      </c>
      <c r="G230" s="64" t="s">
        <v>200</v>
      </c>
      <c r="H230" s="60" t="s">
        <v>152</v>
      </c>
      <c r="I230" s="61" t="s">
        <v>60</v>
      </c>
      <c r="J230" s="67" t="s">
        <v>253</v>
      </c>
      <c r="K230" s="60" t="s">
        <v>1091</v>
      </c>
      <c r="L230" s="65"/>
      <c r="M230" s="67" t="s">
        <v>179</v>
      </c>
      <c r="N230" s="67" t="s">
        <v>179</v>
      </c>
      <c r="O230" s="64"/>
      <c r="P230" s="60"/>
      <c r="Q230" s="110"/>
      <c r="R230" s="60"/>
      <c r="S230" s="68"/>
      <c r="T230" s="55" t="s">
        <v>50</v>
      </c>
      <c r="U230" s="60"/>
      <c r="V230" s="290" t="s">
        <v>1092</v>
      </c>
      <c r="W230" s="60"/>
      <c r="X230" s="60"/>
      <c r="Y230" s="60" t="s">
        <v>179</v>
      </c>
      <c r="Z230" s="60" t="s">
        <v>179</v>
      </c>
      <c r="AA230" s="60"/>
      <c r="AB230" s="60"/>
      <c r="AC230" s="60"/>
      <c r="AD230" s="60"/>
      <c r="AE230" s="69"/>
      <c r="AF230" s="17"/>
      <c r="AG230" s="17"/>
      <c r="AH230" s="17"/>
      <c r="AI230" s="17"/>
      <c r="AJ230" s="17"/>
      <c r="AK230" s="17"/>
      <c r="AL230" s="17"/>
      <c r="AM230" s="17"/>
      <c r="AN230" s="17"/>
      <c r="AO230" s="17"/>
      <c r="AP230" s="17"/>
      <c r="AQ230" s="17"/>
      <c r="AR230" s="17"/>
      <c r="AS230" s="17"/>
      <c r="AT230" s="17"/>
      <c r="AU230" s="17"/>
    </row>
    <row r="231" spans="1:47" ht="15" hidden="1" customHeight="1">
      <c r="A231" s="60">
        <f>ROW() - ROW(Table1[[#Headers],[s]])</f>
        <v>230</v>
      </c>
      <c r="B231" s="42" t="s">
        <v>1093</v>
      </c>
      <c r="C231" s="75">
        <v>46054</v>
      </c>
      <c r="D231" s="131" t="s">
        <v>1094</v>
      </c>
      <c r="E231" s="60" t="e" vm="24">
        <v>#VALUE!</v>
      </c>
      <c r="F231" s="60" t="e" vm="25">
        <v>#VALUE!</v>
      </c>
      <c r="G231" s="64" t="s">
        <v>42</v>
      </c>
      <c r="H231" s="60" t="s">
        <v>152</v>
      </c>
      <c r="I231" s="60" t="s">
        <v>43</v>
      </c>
      <c r="J231" s="67" t="s">
        <v>153</v>
      </c>
      <c r="K231" s="60" t="s">
        <v>154</v>
      </c>
      <c r="L231" s="65">
        <v>46069.591666666667</v>
      </c>
      <c r="M231" s="67" t="s">
        <v>53</v>
      </c>
      <c r="N231" s="67" t="s">
        <v>53</v>
      </c>
      <c r="O231" s="72">
        <v>46069.708333333336</v>
      </c>
      <c r="P231" s="72">
        <v>46069.711111111108</v>
      </c>
      <c r="Q231" s="66">
        <v>46069.729166666664</v>
      </c>
      <c r="R231" s="60"/>
      <c r="S231" s="68" t="s">
        <v>1095</v>
      </c>
      <c r="T231" s="55" t="s">
        <v>164</v>
      </c>
      <c r="U231" s="60"/>
      <c r="V231" s="68" t="s">
        <v>1096</v>
      </c>
      <c r="W231" s="60"/>
      <c r="X231" s="60"/>
      <c r="Y231" s="60" t="s">
        <v>158</v>
      </c>
      <c r="Z231" s="60" t="s">
        <v>70</v>
      </c>
      <c r="AA231" s="60"/>
      <c r="AB231" s="60"/>
      <c r="AC231" s="60"/>
      <c r="AD231" s="60"/>
      <c r="AE231" s="69"/>
      <c r="AF231" s="17"/>
      <c r="AG231" s="17"/>
      <c r="AH231" s="17"/>
      <c r="AI231" s="17"/>
      <c r="AJ231" s="17"/>
      <c r="AK231" s="17"/>
      <c r="AL231" s="17"/>
      <c r="AM231" s="17"/>
      <c r="AN231" s="17"/>
      <c r="AO231" s="17"/>
      <c r="AP231" s="17"/>
      <c r="AQ231" s="17"/>
      <c r="AR231" s="17"/>
      <c r="AS231" s="17"/>
      <c r="AT231" s="17"/>
      <c r="AU231" s="17"/>
    </row>
    <row r="232" spans="1:47" ht="15" hidden="1" customHeight="1">
      <c r="A232" s="60">
        <f>ROW() - ROW(Table1[[#Headers],[s]])</f>
        <v>231</v>
      </c>
      <c r="B232" s="131" t="s">
        <v>1097</v>
      </c>
      <c r="C232" s="75">
        <v>46054</v>
      </c>
      <c r="D232" s="131" t="s">
        <v>1098</v>
      </c>
      <c r="E232" s="60" t="e" vm="132">
        <v>#VALUE!</v>
      </c>
      <c r="F232" s="60" t="e" vm="42">
        <v>#VALUE!</v>
      </c>
      <c r="G232" s="64" t="s">
        <v>36</v>
      </c>
      <c r="H232" s="60" t="s">
        <v>747</v>
      </c>
      <c r="I232" s="60" t="s">
        <v>43</v>
      </c>
      <c r="J232" s="67" t="s">
        <v>253</v>
      </c>
      <c r="K232" s="60" t="s">
        <v>154</v>
      </c>
      <c r="L232" s="65">
        <v>46069.637499999997</v>
      </c>
      <c r="M232" s="67" t="s">
        <v>602</v>
      </c>
      <c r="N232" s="67" t="s">
        <v>1099</v>
      </c>
      <c r="O232" s="64"/>
      <c r="P232" s="60"/>
      <c r="Q232" s="66">
        <v>46069.784722222219</v>
      </c>
      <c r="R232" s="60"/>
      <c r="S232" s="68" t="s">
        <v>1100</v>
      </c>
      <c r="T232" s="55" t="s">
        <v>1101</v>
      </c>
      <c r="U232" s="60"/>
      <c r="V232" s="68" t="s">
        <v>1102</v>
      </c>
      <c r="W232" s="60"/>
      <c r="X232" s="60"/>
      <c r="Y232" s="60" t="s">
        <v>158</v>
      </c>
      <c r="Z232" s="60" t="s">
        <v>67</v>
      </c>
      <c r="AA232" s="60"/>
      <c r="AB232" s="60"/>
      <c r="AC232" s="60"/>
      <c r="AD232" s="60"/>
      <c r="AE232" s="69"/>
      <c r="AF232" s="17"/>
      <c r="AG232" s="17"/>
      <c r="AH232" s="17"/>
      <c r="AI232" s="17"/>
      <c r="AJ232" s="17"/>
      <c r="AK232" s="17"/>
      <c r="AL232" s="17"/>
      <c r="AM232" s="17"/>
      <c r="AN232" s="17"/>
      <c r="AO232" s="17"/>
      <c r="AP232" s="17"/>
      <c r="AQ232" s="17"/>
      <c r="AR232" s="17"/>
      <c r="AS232" s="17"/>
      <c r="AT232" s="17"/>
      <c r="AU232" s="17"/>
    </row>
    <row r="233" spans="1:47" ht="15" hidden="1" customHeight="1">
      <c r="A233" s="60">
        <f>ROW() - ROW(Table1[[#Headers],[s]])</f>
        <v>232</v>
      </c>
      <c r="B233" s="131" t="s">
        <v>1103</v>
      </c>
      <c r="C233" s="75">
        <v>46054</v>
      </c>
      <c r="D233" s="131" t="s">
        <v>1104</v>
      </c>
      <c r="E233" s="60" t="e" vm="15">
        <v>#VALUE!</v>
      </c>
      <c r="F233" s="60" t="e" vm="16">
        <v>#VALUE!</v>
      </c>
      <c r="G233" s="64" t="s">
        <v>42</v>
      </c>
      <c r="H233" s="60" t="s">
        <v>747</v>
      </c>
      <c r="I233" s="42" t="s">
        <v>43</v>
      </c>
      <c r="J233" s="67" t="s">
        <v>253</v>
      </c>
      <c r="K233" s="60" t="s">
        <v>154</v>
      </c>
      <c r="L233" s="65">
        <v>46070.40625</v>
      </c>
      <c r="M233" s="67" t="s">
        <v>58</v>
      </c>
      <c r="N233" s="67" t="s">
        <v>58</v>
      </c>
      <c r="O233" s="71">
        <v>46070.635416666664</v>
      </c>
      <c r="P233" s="71">
        <v>46070.63958333333</v>
      </c>
      <c r="Q233" s="71">
        <v>46070.791666666664</v>
      </c>
      <c r="R233" s="60"/>
      <c r="S233" s="68" t="s">
        <v>1105</v>
      </c>
      <c r="T233" s="55" t="s">
        <v>164</v>
      </c>
      <c r="U233" s="60"/>
      <c r="V233" s="68" t="s">
        <v>1106</v>
      </c>
      <c r="W233" s="60"/>
      <c r="X233" s="60"/>
      <c r="Y233" s="60" t="s">
        <v>158</v>
      </c>
      <c r="Z233" s="60" t="s">
        <v>70</v>
      </c>
      <c r="AA233" s="60"/>
      <c r="AB233" s="60"/>
      <c r="AC233" s="60"/>
      <c r="AD233" s="60" t="s">
        <v>985</v>
      </c>
      <c r="AE233" s="69"/>
      <c r="AF233" s="17"/>
      <c r="AG233" s="17"/>
      <c r="AH233" s="17"/>
      <c r="AI233" s="17"/>
      <c r="AJ233" s="17"/>
      <c r="AK233" s="17"/>
      <c r="AL233" s="17"/>
      <c r="AM233" s="17"/>
      <c r="AN233" s="17"/>
      <c r="AO233" s="17"/>
      <c r="AP233" s="17"/>
      <c r="AQ233" s="17"/>
      <c r="AR233" s="17"/>
      <c r="AS233" s="17"/>
      <c r="AT233" s="17"/>
      <c r="AU233" s="17"/>
    </row>
    <row r="234" spans="1:47" ht="15.75" hidden="1" customHeight="1">
      <c r="A234" s="60">
        <f>ROW() - ROW(Table1[[#Headers],[s]])</f>
        <v>233</v>
      </c>
      <c r="B234" s="42" t="s">
        <v>1107</v>
      </c>
      <c r="C234" s="51">
        <v>46054</v>
      </c>
      <c r="D234" s="137" t="s">
        <v>1108</v>
      </c>
      <c r="E234" s="42" t="e" vm="110">
        <v>#VALUE!</v>
      </c>
      <c r="F234" s="42" t="e" vm="49">
        <v>#VALUE!</v>
      </c>
      <c r="G234" s="43" t="s">
        <v>42</v>
      </c>
      <c r="H234" s="42" t="s">
        <v>152</v>
      </c>
      <c r="I234" s="42" t="s">
        <v>43</v>
      </c>
      <c r="J234" s="55" t="s">
        <v>153</v>
      </c>
      <c r="K234" s="60" t="s">
        <v>154</v>
      </c>
      <c r="L234" s="44">
        <v>46070.663888888892</v>
      </c>
      <c r="M234" s="55" t="s">
        <v>155</v>
      </c>
      <c r="N234" s="55" t="s">
        <v>155</v>
      </c>
      <c r="O234" s="71">
        <v>46070.743055555555</v>
      </c>
      <c r="P234" s="71">
        <v>46070.746527777781</v>
      </c>
      <c r="Q234" s="71">
        <v>46070.756944444445</v>
      </c>
      <c r="R234" s="60"/>
      <c r="S234" s="68" t="s">
        <v>1109</v>
      </c>
      <c r="T234" s="55" t="s">
        <v>164</v>
      </c>
      <c r="U234" s="60"/>
      <c r="V234" s="68" t="s">
        <v>1110</v>
      </c>
      <c r="W234" s="60"/>
      <c r="X234" s="60"/>
      <c r="Y234" s="60" t="s">
        <v>158</v>
      </c>
      <c r="Z234" s="60" t="s">
        <v>70</v>
      </c>
      <c r="AA234" s="60"/>
      <c r="AB234" s="60"/>
      <c r="AC234" s="60"/>
      <c r="AD234" s="60"/>
      <c r="AE234" s="69"/>
      <c r="AF234" s="17"/>
      <c r="AG234" s="17"/>
      <c r="AH234" s="17"/>
      <c r="AI234" s="17"/>
      <c r="AJ234" s="17"/>
      <c r="AK234" s="17"/>
      <c r="AL234" s="17"/>
      <c r="AM234" s="17"/>
      <c r="AN234" s="17"/>
      <c r="AO234" s="17"/>
      <c r="AP234" s="17"/>
      <c r="AQ234" s="17"/>
      <c r="AR234" s="17"/>
      <c r="AS234" s="17"/>
      <c r="AT234" s="17"/>
      <c r="AU234" s="17"/>
    </row>
    <row r="235" spans="1:47" ht="15.75" hidden="1" customHeight="1">
      <c r="A235" s="60">
        <f>ROW() - ROW(Table1[[#Headers],[s]])</f>
        <v>234</v>
      </c>
      <c r="B235" s="42" t="s">
        <v>1111</v>
      </c>
      <c r="C235" s="51">
        <v>46054</v>
      </c>
      <c r="D235" s="138" t="s">
        <v>1112</v>
      </c>
      <c r="E235" s="42" t="e" vm="9">
        <v>#VALUE!</v>
      </c>
      <c r="F235" s="42" t="e" vm="10">
        <v>#VALUE!</v>
      </c>
      <c r="G235" s="43" t="s">
        <v>42</v>
      </c>
      <c r="H235" s="42" t="s">
        <v>152</v>
      </c>
      <c r="I235" s="42" t="s">
        <v>43</v>
      </c>
      <c r="J235" s="55" t="s">
        <v>153</v>
      </c>
      <c r="K235" s="42" t="s">
        <v>154</v>
      </c>
      <c r="L235" s="44">
        <v>46070.665972222225</v>
      </c>
      <c r="M235" s="55" t="s">
        <v>78</v>
      </c>
      <c r="N235" s="55" t="s">
        <v>78</v>
      </c>
      <c r="O235" s="71">
        <v>46071.479166666664</v>
      </c>
      <c r="P235" s="72">
        <v>46071.482638888891</v>
      </c>
      <c r="Q235" s="72">
        <v>46071.49722222222</v>
      </c>
      <c r="R235" s="60"/>
      <c r="S235" s="68" t="s">
        <v>801</v>
      </c>
      <c r="T235" s="55" t="s">
        <v>164</v>
      </c>
      <c r="U235" s="60"/>
      <c r="V235" s="68" t="s">
        <v>1113</v>
      </c>
      <c r="W235" s="60"/>
      <c r="X235" s="60"/>
      <c r="Y235" s="60" t="s">
        <v>158</v>
      </c>
      <c r="Z235" s="60" t="s">
        <v>70</v>
      </c>
      <c r="AA235" s="60"/>
      <c r="AB235" s="60"/>
      <c r="AC235" s="60"/>
      <c r="AD235" s="60"/>
      <c r="AE235" s="69"/>
      <c r="AF235" s="17"/>
      <c r="AG235" s="17"/>
      <c r="AH235" s="17"/>
      <c r="AI235" s="17"/>
      <c r="AJ235" s="17"/>
      <c r="AK235" s="17"/>
      <c r="AL235" s="17"/>
      <c r="AM235" s="17"/>
      <c r="AN235" s="17"/>
      <c r="AO235" s="17"/>
      <c r="AP235" s="17"/>
      <c r="AQ235" s="17"/>
      <c r="AR235" s="17"/>
      <c r="AS235" s="17"/>
      <c r="AT235" s="17"/>
      <c r="AU235" s="17"/>
    </row>
    <row r="236" spans="1:47" ht="15.75" hidden="1" customHeight="1">
      <c r="A236" s="60">
        <f>ROW() - ROW(Table1[[#Headers],[s]])</f>
        <v>235</v>
      </c>
      <c r="B236" s="42" t="s">
        <v>1114</v>
      </c>
      <c r="C236" s="51">
        <v>46054</v>
      </c>
      <c r="D236" s="138" t="s">
        <v>1115</v>
      </c>
      <c r="E236" s="42" t="s">
        <v>1116</v>
      </c>
      <c r="F236" s="42" t="e" vm="35">
        <v>#VALUE!</v>
      </c>
      <c r="G236" s="43" t="s">
        <v>42</v>
      </c>
      <c r="H236" s="42" t="s">
        <v>152</v>
      </c>
      <c r="I236" s="42" t="s">
        <v>43</v>
      </c>
      <c r="J236" s="55" t="s">
        <v>153</v>
      </c>
      <c r="K236" s="42" t="s">
        <v>154</v>
      </c>
      <c r="L236" s="44">
        <v>46070.679861111108</v>
      </c>
      <c r="M236" s="55" t="s">
        <v>68</v>
      </c>
      <c r="N236" s="55" t="s">
        <v>68</v>
      </c>
      <c r="O236" s="71">
        <v>46071.458333333336</v>
      </c>
      <c r="P236" s="71">
        <v>46071.472222222219</v>
      </c>
      <c r="Q236" s="66">
        <v>46071.588888888888</v>
      </c>
      <c r="R236" s="60"/>
      <c r="S236" s="68" t="s">
        <v>1117</v>
      </c>
      <c r="T236" s="55" t="s">
        <v>1118</v>
      </c>
      <c r="U236" s="60"/>
      <c r="V236" s="68" t="s">
        <v>1119</v>
      </c>
      <c r="W236" s="60"/>
      <c r="X236" s="60"/>
      <c r="Y236" s="60" t="s">
        <v>158</v>
      </c>
      <c r="Z236" s="60" t="s">
        <v>67</v>
      </c>
      <c r="AA236" s="60"/>
      <c r="AB236" s="60"/>
      <c r="AC236" s="60"/>
      <c r="AD236" s="60"/>
      <c r="AE236" s="69"/>
      <c r="AF236" s="17"/>
      <c r="AG236" s="17"/>
      <c r="AH236" s="17"/>
      <c r="AI236" s="17"/>
      <c r="AJ236" s="17"/>
      <c r="AK236" s="17"/>
      <c r="AL236" s="17"/>
      <c r="AM236" s="17"/>
      <c r="AN236" s="17"/>
      <c r="AO236" s="17"/>
      <c r="AP236" s="17"/>
      <c r="AQ236" s="17"/>
      <c r="AR236" s="17"/>
      <c r="AS236" s="17"/>
      <c r="AT236" s="17"/>
      <c r="AU236" s="17"/>
    </row>
    <row r="237" spans="1:47" ht="15" hidden="1" customHeight="1">
      <c r="A237" s="60">
        <f>ROW() - ROW(Table1[[#Headers],[s]])</f>
        <v>236</v>
      </c>
      <c r="B237" s="131" t="s">
        <v>1120</v>
      </c>
      <c r="C237" s="139">
        <v>46054</v>
      </c>
      <c r="D237" s="135" t="s">
        <v>1121</v>
      </c>
      <c r="E237" s="140" t="e" vm="133">
        <v>#VALUE!</v>
      </c>
      <c r="F237" s="42" t="e" vm="37">
        <v>#VALUE!</v>
      </c>
      <c r="G237" s="43" t="s">
        <v>174</v>
      </c>
      <c r="H237" s="42" t="s">
        <v>245</v>
      </c>
      <c r="I237" s="42" t="s">
        <v>175</v>
      </c>
      <c r="J237" s="55" t="s">
        <v>253</v>
      </c>
      <c r="K237" s="42" t="s">
        <v>154</v>
      </c>
      <c r="L237" s="44">
        <v>46070.90625</v>
      </c>
      <c r="M237" s="55" t="s">
        <v>59</v>
      </c>
      <c r="N237" s="55" t="s">
        <v>1122</v>
      </c>
      <c r="O237" s="71">
        <v>46071.333333333336</v>
      </c>
      <c r="P237" s="60"/>
      <c r="Q237" s="66">
        <v>46072.989583333336</v>
      </c>
      <c r="R237" s="60"/>
      <c r="S237" s="68" t="s">
        <v>1123</v>
      </c>
      <c r="T237" s="55" t="s">
        <v>1124</v>
      </c>
      <c r="U237" s="60"/>
      <c r="V237" s="68" t="s">
        <v>1125</v>
      </c>
      <c r="W237" s="60"/>
      <c r="X237" s="60"/>
      <c r="Y237" s="60" t="s">
        <v>70</v>
      </c>
      <c r="Z237" s="60" t="s">
        <v>67</v>
      </c>
      <c r="AA237" s="60"/>
      <c r="AB237" s="60"/>
      <c r="AC237" s="60"/>
      <c r="AD237" s="60"/>
      <c r="AE237" s="69"/>
      <c r="AF237" s="17"/>
      <c r="AG237" s="17"/>
      <c r="AH237" s="17"/>
      <c r="AI237" s="17"/>
      <c r="AJ237" s="17"/>
      <c r="AK237" s="17"/>
      <c r="AL237" s="17"/>
      <c r="AM237" s="17"/>
      <c r="AN237" s="17"/>
      <c r="AO237" s="17"/>
      <c r="AP237" s="17"/>
      <c r="AQ237" s="17"/>
      <c r="AR237" s="17"/>
      <c r="AS237" s="17"/>
      <c r="AT237" s="17"/>
      <c r="AU237" s="17"/>
    </row>
    <row r="238" spans="1:47" ht="15" customHeight="1">
      <c r="A238" s="60">
        <f>ROW() - ROW(Table1[[#Headers],[s]])</f>
        <v>237</v>
      </c>
      <c r="B238" s="131" t="s">
        <v>1126</v>
      </c>
      <c r="C238" s="139">
        <v>46054</v>
      </c>
      <c r="D238" s="141" t="s">
        <v>1127</v>
      </c>
      <c r="E238" s="42" t="e" vm="28">
        <v>#VALUE!</v>
      </c>
      <c r="F238" s="42" t="e" vm="2">
        <v>#VALUE!</v>
      </c>
      <c r="G238" s="43" t="s">
        <v>83</v>
      </c>
      <c r="H238" s="42" t="s">
        <v>152</v>
      </c>
      <c r="I238" s="42" t="s">
        <v>43</v>
      </c>
      <c r="J238" s="55" t="s">
        <v>153</v>
      </c>
      <c r="K238" s="42" t="s">
        <v>154</v>
      </c>
      <c r="L238" s="44">
        <v>46071.606249999997</v>
      </c>
      <c r="M238" s="55" t="s">
        <v>162</v>
      </c>
      <c r="N238" s="55" t="s">
        <v>162</v>
      </c>
      <c r="O238" s="71">
        <v>46071.75</v>
      </c>
      <c r="P238" s="72">
        <v>46071.756944444445</v>
      </c>
      <c r="Q238" s="66">
        <v>46071.84097222222</v>
      </c>
      <c r="R238" s="60"/>
      <c r="S238" s="68" t="s">
        <v>259</v>
      </c>
      <c r="T238" s="55" t="s">
        <v>164</v>
      </c>
      <c r="U238" s="60"/>
      <c r="V238" s="68" t="s">
        <v>1128</v>
      </c>
      <c r="W238" s="60"/>
      <c r="X238" s="60"/>
      <c r="Y238" s="60" t="s">
        <v>158</v>
      </c>
      <c r="Z238" s="60" t="s">
        <v>70</v>
      </c>
      <c r="AA238" s="60"/>
      <c r="AB238" s="60"/>
      <c r="AC238" s="60"/>
      <c r="AD238" s="60"/>
      <c r="AE238" s="69"/>
      <c r="AF238" s="17"/>
      <c r="AG238" s="17"/>
      <c r="AH238" s="17"/>
      <c r="AI238" s="17"/>
      <c r="AJ238" s="17"/>
      <c r="AK238" s="17"/>
      <c r="AL238" s="17"/>
      <c r="AM238" s="17"/>
      <c r="AN238" s="17"/>
      <c r="AO238" s="17"/>
      <c r="AP238" s="17"/>
      <c r="AQ238" s="17"/>
      <c r="AR238" s="17"/>
      <c r="AS238" s="17"/>
      <c r="AT238" s="17"/>
      <c r="AU238" s="17"/>
    </row>
    <row r="239" spans="1:47" s="464" customFormat="1" ht="15.75" hidden="1" customHeight="1">
      <c r="A239" s="463">
        <f>ROW() - ROW(Table1[[#Headers],[s]])</f>
        <v>238</v>
      </c>
      <c r="B239" s="493" t="s">
        <v>1129</v>
      </c>
      <c r="C239" s="494">
        <v>46054</v>
      </c>
      <c r="D239" s="493" t="s">
        <v>1130</v>
      </c>
      <c r="E239" s="479" t="e" vm="134">
        <v>#VALUE!</v>
      </c>
      <c r="F239" s="479" t="e" vm="35">
        <v>#VALUE!</v>
      </c>
      <c r="G239" s="478" t="s">
        <v>42</v>
      </c>
      <c r="H239" s="463" t="s">
        <v>747</v>
      </c>
      <c r="I239" s="479" t="s">
        <v>43</v>
      </c>
      <c r="J239" s="471" t="s">
        <v>253</v>
      </c>
      <c r="K239" s="479" t="s">
        <v>1131</v>
      </c>
      <c r="L239" s="469">
        <v>46071.253472222219</v>
      </c>
      <c r="M239" s="471" t="s">
        <v>155</v>
      </c>
      <c r="N239" s="471" t="s">
        <v>155</v>
      </c>
      <c r="O239" s="495">
        <v>46071.333333333336</v>
      </c>
      <c r="P239" s="496">
        <v>46071.666666666664</v>
      </c>
      <c r="Q239" s="488">
        <v>46071.737500000003</v>
      </c>
      <c r="R239" s="479"/>
      <c r="S239" s="497" t="s">
        <v>1132</v>
      </c>
      <c r="T239" s="471" t="s">
        <v>164</v>
      </c>
      <c r="U239" s="479"/>
      <c r="V239" s="497" t="s">
        <v>1133</v>
      </c>
      <c r="W239" s="463"/>
      <c r="X239" s="463"/>
      <c r="Y239" s="463" t="s">
        <v>70</v>
      </c>
      <c r="Z239" s="463" t="s">
        <v>70</v>
      </c>
      <c r="AA239" s="463"/>
      <c r="AB239" s="463"/>
      <c r="AC239" s="463"/>
      <c r="AD239" s="463"/>
      <c r="AE239" s="483"/>
      <c r="AF239" s="484"/>
      <c r="AG239" s="484"/>
      <c r="AH239" s="484"/>
      <c r="AI239" s="484"/>
      <c r="AJ239" s="484"/>
      <c r="AK239" s="484"/>
      <c r="AL239" s="484"/>
      <c r="AM239" s="484"/>
      <c r="AN239" s="484"/>
      <c r="AO239" s="484"/>
      <c r="AP239" s="484"/>
      <c r="AQ239" s="484"/>
      <c r="AR239" s="484"/>
      <c r="AS239" s="484"/>
      <c r="AT239" s="484"/>
      <c r="AU239" s="484"/>
    </row>
    <row r="240" spans="1:47" ht="15" hidden="1" customHeight="1">
      <c r="A240" s="60">
        <f>ROW() - ROW(Table1[[#Headers],[s]])</f>
        <v>239</v>
      </c>
      <c r="B240" s="146" t="s">
        <v>1134</v>
      </c>
      <c r="C240" s="139">
        <v>46054</v>
      </c>
      <c r="D240" s="147" t="s">
        <v>1135</v>
      </c>
      <c r="E240" s="46" t="s">
        <v>1136</v>
      </c>
      <c r="F240" s="60" t="e" vm="2">
        <v>#VALUE!</v>
      </c>
      <c r="G240" s="43" t="s">
        <v>42</v>
      </c>
      <c r="H240" s="60" t="s">
        <v>747</v>
      </c>
      <c r="I240" s="78" t="s">
        <v>43</v>
      </c>
      <c r="J240" s="55" t="s">
        <v>253</v>
      </c>
      <c r="K240" s="42" t="s">
        <v>154</v>
      </c>
      <c r="L240" s="44">
        <v>46071.265277777777</v>
      </c>
      <c r="M240" s="55" t="s">
        <v>162</v>
      </c>
      <c r="N240" s="55" t="s">
        <v>162</v>
      </c>
      <c r="O240" s="56">
        <v>46071.375</v>
      </c>
      <c r="P240" s="57">
        <v>46071.381944444445</v>
      </c>
      <c r="Q240" s="58">
        <v>46071.522916666669</v>
      </c>
      <c r="R240" s="42"/>
      <c r="S240" s="53" t="s">
        <v>1137</v>
      </c>
      <c r="T240" s="55" t="s">
        <v>164</v>
      </c>
      <c r="U240" s="42"/>
      <c r="V240" s="53" t="s">
        <v>1138</v>
      </c>
      <c r="W240" s="60"/>
      <c r="X240" s="60"/>
      <c r="Y240" s="60" t="s">
        <v>158</v>
      </c>
      <c r="Z240" s="60" t="s">
        <v>70</v>
      </c>
      <c r="AA240" s="60"/>
      <c r="AB240" s="60"/>
      <c r="AC240" s="60"/>
      <c r="AD240" s="60"/>
      <c r="AE240" s="69"/>
      <c r="AF240" s="17"/>
      <c r="AG240" s="17"/>
      <c r="AH240" s="17"/>
      <c r="AI240" s="17"/>
      <c r="AJ240" s="17"/>
      <c r="AK240" s="17"/>
      <c r="AL240" s="17"/>
      <c r="AM240" s="17"/>
      <c r="AN240" s="17"/>
      <c r="AO240" s="17"/>
      <c r="AP240" s="17"/>
      <c r="AQ240" s="17"/>
      <c r="AR240" s="17"/>
      <c r="AS240" s="17"/>
      <c r="AT240" s="17"/>
      <c r="AU240" s="17"/>
    </row>
    <row r="241" spans="1:47" s="464" customFormat="1" ht="15" customHeight="1">
      <c r="A241" s="463">
        <f>ROW() - ROW(Table1[[#Headers],[s]])</f>
        <v>240</v>
      </c>
      <c r="B241" s="479" t="s">
        <v>1139</v>
      </c>
      <c r="C241" s="498">
        <v>46054</v>
      </c>
      <c r="D241" s="499" t="s">
        <v>1140</v>
      </c>
      <c r="E241" s="479" t="e" vm="135">
        <v>#VALUE!</v>
      </c>
      <c r="F241" s="463" t="e" vm="46">
        <v>#VALUE!</v>
      </c>
      <c r="G241" s="478" t="s">
        <v>83</v>
      </c>
      <c r="H241" s="463" t="s">
        <v>747</v>
      </c>
      <c r="I241" s="479" t="s">
        <v>1141</v>
      </c>
      <c r="J241" s="471" t="s">
        <v>253</v>
      </c>
      <c r="K241" s="479" t="s">
        <v>1142</v>
      </c>
      <c r="L241" s="469">
        <v>46071.378472222219</v>
      </c>
      <c r="M241" s="471" t="s">
        <v>1023</v>
      </c>
      <c r="N241" s="471" t="s">
        <v>1023</v>
      </c>
      <c r="O241" s="495">
        <v>46071.458333333336</v>
      </c>
      <c r="P241" s="496">
        <v>46071.5</v>
      </c>
      <c r="Q241" s="500">
        <v>46071.745138888888</v>
      </c>
      <c r="R241" s="479"/>
      <c r="S241" s="473" t="s">
        <v>1143</v>
      </c>
      <c r="T241" s="471" t="s">
        <v>164</v>
      </c>
      <c r="U241" s="479"/>
      <c r="V241" s="473" t="s">
        <v>1144</v>
      </c>
      <c r="W241" s="463"/>
      <c r="X241" s="463"/>
      <c r="Y241" s="463" t="s">
        <v>158</v>
      </c>
      <c r="Z241" s="463" t="s">
        <v>67</v>
      </c>
      <c r="AB241" s="463"/>
      <c r="AC241" s="463"/>
      <c r="AD241" s="463"/>
      <c r="AE241" s="483"/>
      <c r="AF241" s="484"/>
      <c r="AG241" s="484"/>
      <c r="AH241" s="484"/>
      <c r="AI241" s="484"/>
      <c r="AJ241" s="484"/>
      <c r="AK241" s="484"/>
      <c r="AL241" s="484"/>
      <c r="AM241" s="484"/>
      <c r="AN241" s="484"/>
      <c r="AO241" s="484"/>
      <c r="AP241" s="484"/>
      <c r="AQ241" s="484"/>
      <c r="AR241" s="484"/>
      <c r="AS241" s="484"/>
      <c r="AT241" s="484"/>
      <c r="AU241" s="484"/>
    </row>
    <row r="242" spans="1:47" ht="15" customHeight="1">
      <c r="A242" s="60">
        <f>ROW() - ROW(Table1[[#Headers],[s]])</f>
        <v>241</v>
      </c>
      <c r="B242" s="42" t="s">
        <v>1145</v>
      </c>
      <c r="C242" s="51">
        <v>46054</v>
      </c>
      <c r="D242" s="52" t="s">
        <v>1146</v>
      </c>
      <c r="E242" s="42" t="e" vm="9">
        <v>#VALUE!</v>
      </c>
      <c r="F242" s="60" t="e" vm="10">
        <v>#VALUE!</v>
      </c>
      <c r="G242" s="43" t="s">
        <v>83</v>
      </c>
      <c r="H242" s="42" t="s">
        <v>152</v>
      </c>
      <c r="I242" s="78" t="s">
        <v>43</v>
      </c>
      <c r="J242" s="55" t="s">
        <v>153</v>
      </c>
      <c r="K242" s="42" t="s">
        <v>154</v>
      </c>
      <c r="L242" s="44">
        <v>46071.343055555553</v>
      </c>
      <c r="M242" s="55" t="s">
        <v>78</v>
      </c>
      <c r="N242" s="55" t="s">
        <v>78</v>
      </c>
      <c r="O242" s="56">
        <v>46071.625</v>
      </c>
      <c r="P242" s="57">
        <v>46071.631944444445</v>
      </c>
      <c r="Q242" s="58">
        <v>46071.73333333333</v>
      </c>
      <c r="R242" s="42"/>
      <c r="S242" s="53" t="s">
        <v>1147</v>
      </c>
      <c r="T242" s="55" t="s">
        <v>164</v>
      </c>
      <c r="U242" s="42"/>
      <c r="V242" s="53" t="s">
        <v>581</v>
      </c>
      <c r="W242" s="60"/>
      <c r="X242" s="60"/>
      <c r="Y242" s="60" t="s">
        <v>158</v>
      </c>
      <c r="Z242" s="60" t="s">
        <v>70</v>
      </c>
      <c r="AA242" s="60"/>
      <c r="AB242" s="60"/>
      <c r="AC242" s="60"/>
      <c r="AD242" s="60"/>
      <c r="AE242" s="69"/>
      <c r="AF242" s="17"/>
      <c r="AG242" s="17"/>
      <c r="AH242" s="17"/>
      <c r="AI242" s="17"/>
      <c r="AJ242" s="17"/>
      <c r="AK242" s="17"/>
      <c r="AL242" s="17"/>
      <c r="AM242" s="17"/>
      <c r="AN242" s="17"/>
      <c r="AO242" s="17"/>
      <c r="AP242" s="17"/>
      <c r="AQ242" s="17"/>
      <c r="AR242" s="17"/>
      <c r="AS242" s="17"/>
      <c r="AT242" s="17"/>
      <c r="AU242" s="17"/>
    </row>
    <row r="243" spans="1:47" ht="15" customHeight="1">
      <c r="A243" s="60">
        <f>ROW() - ROW(Table1[[#Headers],[s]])</f>
        <v>242</v>
      </c>
      <c r="B243" s="60" t="s">
        <v>1148</v>
      </c>
      <c r="C243" s="61">
        <v>46054</v>
      </c>
      <c r="D243" s="63" t="s">
        <v>1149</v>
      </c>
      <c r="E243" s="60" t="e" vm="136">
        <v>#VALUE!</v>
      </c>
      <c r="F243" s="60" t="e" vm="21">
        <v>#VALUE!</v>
      </c>
      <c r="G243" s="43" t="s">
        <v>83</v>
      </c>
      <c r="H243" s="42" t="s">
        <v>152</v>
      </c>
      <c r="I243" s="78" t="s">
        <v>43</v>
      </c>
      <c r="J243" s="55" t="s">
        <v>153</v>
      </c>
      <c r="K243" s="42" t="s">
        <v>154</v>
      </c>
      <c r="L243" s="65">
        <v>46071.433333333334</v>
      </c>
      <c r="M243" s="67" t="s">
        <v>39</v>
      </c>
      <c r="N243" s="67" t="s">
        <v>39</v>
      </c>
      <c r="O243" s="71">
        <v>46071.4375</v>
      </c>
      <c r="P243" s="72">
        <v>46071.490972222222</v>
      </c>
      <c r="Q243" s="66">
        <v>46071.59375</v>
      </c>
      <c r="R243" s="60"/>
      <c r="S243" s="68" t="s">
        <v>1150</v>
      </c>
      <c r="T243" s="55" t="s">
        <v>164</v>
      </c>
      <c r="U243" s="60"/>
      <c r="V243" s="68" t="s">
        <v>1151</v>
      </c>
      <c r="W243" s="60"/>
      <c r="X243" s="60"/>
      <c r="Y243" s="60" t="s">
        <v>158</v>
      </c>
      <c r="Z243" s="60" t="s">
        <v>70</v>
      </c>
      <c r="AA243" s="60"/>
      <c r="AB243" s="60"/>
      <c r="AC243" s="60"/>
      <c r="AD243" s="60"/>
      <c r="AE243" s="69"/>
      <c r="AF243" s="17"/>
      <c r="AG243" s="17"/>
      <c r="AH243" s="17"/>
      <c r="AI243" s="17"/>
      <c r="AJ243" s="17"/>
      <c r="AK243" s="17"/>
      <c r="AL243" s="17"/>
      <c r="AM243" s="17"/>
      <c r="AN243" s="17"/>
      <c r="AO243" s="17"/>
      <c r="AP243" s="17"/>
      <c r="AQ243" s="17"/>
      <c r="AR243" s="17"/>
      <c r="AS243" s="17"/>
      <c r="AT243" s="17"/>
      <c r="AU243" s="17"/>
    </row>
    <row r="244" spans="1:47" s="464" customFormat="1" ht="15" customHeight="1">
      <c r="A244" s="463">
        <f>ROW() - ROW(Table1[[#Headers],[s]])</f>
        <v>243</v>
      </c>
      <c r="B244" s="463" t="s">
        <v>1152</v>
      </c>
      <c r="C244" s="476">
        <v>46054</v>
      </c>
      <c r="D244" s="477" t="s">
        <v>1153</v>
      </c>
      <c r="E244" s="463" t="e" vm="14">
        <v>#VALUE!</v>
      </c>
      <c r="F244" s="463" t="e" vm="1">
        <v>#VALUE!</v>
      </c>
      <c r="G244" s="478" t="s">
        <v>83</v>
      </c>
      <c r="H244" s="479" t="s">
        <v>245</v>
      </c>
      <c r="I244" s="463" t="s">
        <v>1154</v>
      </c>
      <c r="J244" s="471" t="s">
        <v>253</v>
      </c>
      <c r="K244" s="463" t="s">
        <v>1155</v>
      </c>
      <c r="L244" s="481">
        <v>46071.468055555553</v>
      </c>
      <c r="M244" s="480" t="s">
        <v>1156</v>
      </c>
      <c r="N244" s="480" t="s">
        <v>1156</v>
      </c>
      <c r="O244" s="486">
        <v>46071.541666666664</v>
      </c>
      <c r="P244" s="487">
        <v>46071.583333333336</v>
      </c>
      <c r="Q244" s="488">
        <v>46071.679166666669</v>
      </c>
      <c r="R244" s="463"/>
      <c r="S244" s="482" t="s">
        <v>1157</v>
      </c>
      <c r="T244" s="471" t="s">
        <v>164</v>
      </c>
      <c r="U244" s="463"/>
      <c r="V244" s="482" t="s">
        <v>1158</v>
      </c>
      <c r="W244" s="463"/>
      <c r="X244" s="463"/>
      <c r="Y244" s="463" t="s">
        <v>158</v>
      </c>
      <c r="Z244" s="463" t="s">
        <v>158</v>
      </c>
      <c r="AA244" s="463"/>
      <c r="AB244" s="463"/>
      <c r="AC244" s="463"/>
      <c r="AD244" s="463"/>
      <c r="AE244" s="483"/>
      <c r="AF244" s="484"/>
      <c r="AG244" s="484"/>
      <c r="AH244" s="484"/>
      <c r="AI244" s="484"/>
      <c r="AJ244" s="484"/>
      <c r="AK244" s="484"/>
      <c r="AL244" s="484"/>
      <c r="AM244" s="484"/>
      <c r="AN244" s="484"/>
      <c r="AO244" s="484"/>
      <c r="AP244" s="484"/>
      <c r="AQ244" s="484"/>
      <c r="AR244" s="484"/>
      <c r="AS244" s="484"/>
      <c r="AT244" s="484"/>
      <c r="AU244" s="484"/>
    </row>
    <row r="245" spans="1:47" ht="15" hidden="1" customHeight="1">
      <c r="A245" s="60">
        <f>ROW() - ROW(Table1[[#Headers],[s]])</f>
        <v>244</v>
      </c>
      <c r="B245" s="60" t="s">
        <v>1159</v>
      </c>
      <c r="C245" s="61">
        <v>46054</v>
      </c>
      <c r="D245" s="63" t="s">
        <v>1160</v>
      </c>
      <c r="E245" s="60" t="e" vm="73">
        <v>#VALUE!</v>
      </c>
      <c r="F245" s="60" t="e" vm="49">
        <v>#VALUE!</v>
      </c>
      <c r="G245" s="43" t="s">
        <v>36</v>
      </c>
      <c r="H245" s="42" t="s">
        <v>152</v>
      </c>
      <c r="I245" s="60" t="s">
        <v>43</v>
      </c>
      <c r="J245" s="55" t="s">
        <v>153</v>
      </c>
      <c r="K245" s="60" t="s">
        <v>154</v>
      </c>
      <c r="L245" s="65">
        <v>46071.554861111108</v>
      </c>
      <c r="M245" s="67" t="s">
        <v>44</v>
      </c>
      <c r="N245" s="67" t="s">
        <v>44</v>
      </c>
      <c r="O245" s="71">
        <v>46071.697916666664</v>
      </c>
      <c r="P245" s="72">
        <v>46071.708333333336</v>
      </c>
      <c r="Q245" s="66">
        <v>46071.75</v>
      </c>
      <c r="R245" s="60"/>
      <c r="S245" s="68" t="s">
        <v>1161</v>
      </c>
      <c r="T245" s="55" t="s">
        <v>164</v>
      </c>
      <c r="U245" s="60"/>
      <c r="V245" s="68" t="s">
        <v>1162</v>
      </c>
      <c r="W245" s="60"/>
      <c r="X245" s="60"/>
      <c r="Y245" s="60" t="s">
        <v>203</v>
      </c>
      <c r="Z245" s="60" t="s">
        <v>70</v>
      </c>
      <c r="AA245" s="60"/>
      <c r="AB245" s="60"/>
      <c r="AC245" s="60"/>
      <c r="AD245" s="60"/>
      <c r="AE245" s="69"/>
      <c r="AF245" s="17"/>
      <c r="AG245" s="17"/>
      <c r="AH245" s="17"/>
      <c r="AI245" s="17"/>
      <c r="AJ245" s="17"/>
      <c r="AK245" s="17"/>
      <c r="AL245" s="17"/>
      <c r="AM245" s="17"/>
      <c r="AN245" s="17"/>
      <c r="AO245" s="17"/>
      <c r="AP245" s="17"/>
      <c r="AQ245" s="17"/>
      <c r="AR245" s="17"/>
      <c r="AS245" s="17"/>
      <c r="AT245" s="17"/>
      <c r="AU245" s="17"/>
    </row>
    <row r="246" spans="1:47" ht="15.75" customHeight="1">
      <c r="A246" s="60">
        <f>ROW() - ROW(Table1[[#Headers],[s]])</f>
        <v>245</v>
      </c>
      <c r="B246" s="119" t="s">
        <v>1163</v>
      </c>
      <c r="C246" s="61">
        <v>46054</v>
      </c>
      <c r="D246" s="63" t="s">
        <v>1164</v>
      </c>
      <c r="E246" s="60" t="e" vm="131">
        <v>#VALUE!</v>
      </c>
      <c r="F246" s="60" t="e" vm="25">
        <v>#VALUE!</v>
      </c>
      <c r="G246" s="43" t="s">
        <v>83</v>
      </c>
      <c r="H246" s="42" t="s">
        <v>152</v>
      </c>
      <c r="I246" s="78" t="s">
        <v>43</v>
      </c>
      <c r="J246" s="55" t="s">
        <v>153</v>
      </c>
      <c r="K246" s="60" t="s">
        <v>154</v>
      </c>
      <c r="L246" s="71">
        <v>46071.646527777775</v>
      </c>
      <c r="M246" s="67" t="s">
        <v>72</v>
      </c>
      <c r="N246" s="67" t="s">
        <v>72</v>
      </c>
      <c r="O246" s="72">
        <v>46072.75</v>
      </c>
      <c r="P246" s="66">
        <v>46071.756944444445</v>
      </c>
      <c r="Q246" s="58">
        <v>46071.865277777775</v>
      </c>
      <c r="R246" s="60"/>
      <c r="S246" s="68" t="s">
        <v>1165</v>
      </c>
      <c r="T246" s="55" t="s">
        <v>164</v>
      </c>
      <c r="U246" s="60"/>
      <c r="V246" s="68" t="s">
        <v>1166</v>
      </c>
      <c r="W246" s="60"/>
      <c r="X246" s="60"/>
      <c r="Y246" s="60" t="s">
        <v>158</v>
      </c>
      <c r="Z246" s="60" t="s">
        <v>70</v>
      </c>
      <c r="AA246" s="60"/>
      <c r="AB246" s="60"/>
      <c r="AC246" s="60"/>
      <c r="AD246" s="60"/>
      <c r="AE246" s="69"/>
      <c r="AF246" s="17"/>
      <c r="AG246" s="17"/>
      <c r="AH246" s="17"/>
      <c r="AI246" s="17"/>
      <c r="AJ246" s="17"/>
      <c r="AK246" s="17"/>
      <c r="AL246" s="17"/>
      <c r="AM246" s="17"/>
      <c r="AN246" s="17"/>
      <c r="AO246" s="17"/>
      <c r="AP246" s="17"/>
      <c r="AQ246" s="17"/>
      <c r="AR246" s="17"/>
      <c r="AS246" s="17"/>
      <c r="AT246" s="17"/>
      <c r="AU246" s="17"/>
    </row>
    <row r="247" spans="1:47" ht="15" customHeight="1">
      <c r="A247" s="60">
        <f>ROW() - ROW(Table1[[#Headers],[s]])</f>
        <v>246</v>
      </c>
      <c r="B247" s="60" t="s">
        <v>1167</v>
      </c>
      <c r="C247" s="61" t="s">
        <v>60</v>
      </c>
      <c r="D247" s="63" t="s">
        <v>1168</v>
      </c>
      <c r="E247" s="60" t="e" vm="137">
        <v>#VALUE!</v>
      </c>
      <c r="F247" s="60" t="e" vm="1">
        <v>#VALUE!</v>
      </c>
      <c r="G247" s="43" t="s">
        <v>83</v>
      </c>
      <c r="H247" s="60" t="s">
        <v>747</v>
      </c>
      <c r="I247" s="60" t="s">
        <v>1169</v>
      </c>
      <c r="J247" s="55" t="s">
        <v>253</v>
      </c>
      <c r="K247" s="60" t="s">
        <v>154</v>
      </c>
      <c r="L247" s="65">
        <v>46071.708333333336</v>
      </c>
      <c r="M247" s="67" t="s">
        <v>1170</v>
      </c>
      <c r="N247" s="67"/>
      <c r="O247" s="71">
        <v>46071.875</v>
      </c>
      <c r="P247" s="71">
        <v>46071.916666666664</v>
      </c>
      <c r="Q247" s="66">
        <v>46071.965277777781</v>
      </c>
      <c r="R247" s="60"/>
      <c r="S247" s="68" t="s">
        <v>1171</v>
      </c>
      <c r="T247" s="55" t="s">
        <v>164</v>
      </c>
      <c r="U247" s="60"/>
      <c r="V247" s="68" t="s">
        <v>1172</v>
      </c>
      <c r="W247" s="60"/>
      <c r="X247" s="60"/>
      <c r="Y247" s="60" t="s">
        <v>179</v>
      </c>
      <c r="Z247" s="60" t="s">
        <v>70</v>
      </c>
      <c r="AA247" s="60"/>
      <c r="AB247" s="60"/>
      <c r="AC247" s="60"/>
      <c r="AD247" s="60"/>
      <c r="AE247" s="69"/>
      <c r="AF247" s="17"/>
      <c r="AG247" s="17"/>
      <c r="AH247" s="17"/>
      <c r="AI247" s="17"/>
      <c r="AJ247" s="17"/>
      <c r="AK247" s="17"/>
      <c r="AL247" s="17"/>
      <c r="AM247" s="17"/>
      <c r="AN247" s="17"/>
      <c r="AO247" s="17"/>
      <c r="AP247" s="17"/>
      <c r="AQ247" s="17"/>
      <c r="AR247" s="17"/>
      <c r="AS247" s="17"/>
      <c r="AT247" s="17"/>
      <c r="AU247" s="17"/>
    </row>
    <row r="248" spans="1:47" s="464" customFormat="1" ht="15" hidden="1" customHeight="1">
      <c r="A248" s="463">
        <f>ROW() - ROW(Table1[[#Headers],[s]])</f>
        <v>247</v>
      </c>
      <c r="B248" s="463" t="s">
        <v>1173</v>
      </c>
      <c r="C248" s="476">
        <v>46054</v>
      </c>
      <c r="D248" s="477" t="s">
        <v>1174</v>
      </c>
      <c r="E248" s="463" t="s">
        <v>1175</v>
      </c>
      <c r="F248" s="463" t="e" vm="26">
        <v>#VALUE!</v>
      </c>
      <c r="G248" s="478" t="s">
        <v>174</v>
      </c>
      <c r="H248" s="479" t="s">
        <v>245</v>
      </c>
      <c r="I248" s="479" t="s">
        <v>175</v>
      </c>
      <c r="J248" s="480" t="s">
        <v>253</v>
      </c>
      <c r="K248" s="463" t="s">
        <v>1176</v>
      </c>
      <c r="L248" s="481">
        <v>46071.697222222225</v>
      </c>
      <c r="M248" s="480" t="s">
        <v>1177</v>
      </c>
      <c r="N248" s="480" t="s">
        <v>466</v>
      </c>
      <c r="O248" s="486">
        <v>46072.333333333336</v>
      </c>
      <c r="P248" s="486">
        <v>46072.375</v>
      </c>
      <c r="Q248" s="486">
        <v>46072.634027777778</v>
      </c>
      <c r="R248" s="463"/>
      <c r="S248" s="482" t="s">
        <v>1178</v>
      </c>
      <c r="T248" s="471"/>
      <c r="U248" s="463"/>
      <c r="V248" s="482" t="s">
        <v>1179</v>
      </c>
      <c r="W248" s="463"/>
      <c r="X248" s="463"/>
      <c r="Y248" s="463" t="s">
        <v>70</v>
      </c>
      <c r="Z248" s="463" t="s">
        <v>70</v>
      </c>
      <c r="AA248" s="463"/>
      <c r="AB248" s="463"/>
      <c r="AC248" s="463"/>
      <c r="AD248" s="463"/>
      <c r="AE248" s="483"/>
      <c r="AF248" s="484"/>
      <c r="AG248" s="484"/>
      <c r="AH248" s="484"/>
      <c r="AI248" s="484"/>
      <c r="AJ248" s="484"/>
      <c r="AK248" s="484"/>
      <c r="AL248" s="484"/>
      <c r="AM248" s="484"/>
      <c r="AN248" s="484"/>
      <c r="AO248" s="484"/>
      <c r="AP248" s="484"/>
      <c r="AQ248" s="484"/>
      <c r="AR248" s="484"/>
      <c r="AS248" s="484"/>
      <c r="AT248" s="484"/>
      <c r="AU248" s="484"/>
    </row>
    <row r="249" spans="1:47" ht="15" hidden="1" customHeight="1">
      <c r="A249" s="60">
        <f>ROW() - ROW(Table1[[#Headers],[s]])</f>
        <v>248</v>
      </c>
      <c r="B249" s="60" t="s">
        <v>1180</v>
      </c>
      <c r="C249" s="61">
        <v>46054</v>
      </c>
      <c r="D249" s="63" t="s">
        <v>1181</v>
      </c>
      <c r="E249" s="60" t="e" vm="75">
        <v>#VALUE!</v>
      </c>
      <c r="F249" s="60" t="e" vm="21">
        <v>#VALUE!</v>
      </c>
      <c r="G249" s="43" t="s">
        <v>200</v>
      </c>
      <c r="H249" s="42" t="s">
        <v>152</v>
      </c>
      <c r="I249" s="60" t="s">
        <v>43</v>
      </c>
      <c r="J249" s="55" t="s">
        <v>153</v>
      </c>
      <c r="K249" s="60" t="s">
        <v>154</v>
      </c>
      <c r="L249" s="65">
        <v>46072.56527777778</v>
      </c>
      <c r="M249" s="67" t="s">
        <v>39</v>
      </c>
      <c r="N249" s="67" t="s">
        <v>39</v>
      </c>
      <c r="O249" s="71">
        <v>46073.416666666664</v>
      </c>
      <c r="P249" s="72">
        <v>46073.416666666664</v>
      </c>
      <c r="Q249" s="66">
        <v>46073.5</v>
      </c>
      <c r="R249" s="60"/>
      <c r="S249" s="68" t="s">
        <v>1182</v>
      </c>
      <c r="T249" s="55" t="s">
        <v>1183</v>
      </c>
      <c r="U249" s="60"/>
      <c r="V249" s="68" t="s">
        <v>1184</v>
      </c>
      <c r="W249" s="60"/>
      <c r="X249" s="60"/>
      <c r="Y249" s="60" t="s">
        <v>70</v>
      </c>
      <c r="Z249" s="60" t="s">
        <v>70</v>
      </c>
      <c r="AA249" s="60"/>
      <c r="AB249" s="60"/>
      <c r="AC249" s="60"/>
      <c r="AD249" s="60"/>
      <c r="AE249" s="69"/>
      <c r="AF249" s="17"/>
      <c r="AG249" s="17"/>
      <c r="AH249" s="17"/>
      <c r="AI249" s="17"/>
      <c r="AJ249" s="17"/>
      <c r="AK249" s="17"/>
      <c r="AL249" s="17"/>
      <c r="AM249" s="17"/>
      <c r="AN249" s="17"/>
      <c r="AO249" s="17"/>
      <c r="AP249" s="17"/>
      <c r="AQ249" s="17"/>
      <c r="AR249" s="17"/>
      <c r="AS249" s="17"/>
      <c r="AT249" s="17"/>
      <c r="AU249" s="17"/>
    </row>
    <row r="250" spans="1:47" ht="15" hidden="1" customHeight="1">
      <c r="A250" s="60">
        <f>ROW() - ROW(Table1[[#Headers],[s]])</f>
        <v>249</v>
      </c>
      <c r="B250" s="60" t="s">
        <v>1185</v>
      </c>
      <c r="C250" s="61">
        <v>46054</v>
      </c>
      <c r="D250" s="63" t="s">
        <v>1186</v>
      </c>
      <c r="E250" s="60" t="e" vm="131">
        <v>#VALUE!</v>
      </c>
      <c r="F250" s="60" t="e" vm="25">
        <v>#VALUE!</v>
      </c>
      <c r="G250" s="43" t="s">
        <v>174</v>
      </c>
      <c r="H250" s="42" t="s">
        <v>152</v>
      </c>
      <c r="I250" s="42" t="s">
        <v>175</v>
      </c>
      <c r="J250" s="55" t="s">
        <v>153</v>
      </c>
      <c r="K250" s="60" t="s">
        <v>154</v>
      </c>
      <c r="L250" s="65">
        <v>46072.581944444442</v>
      </c>
      <c r="M250" s="67" t="s">
        <v>72</v>
      </c>
      <c r="N250" s="67" t="s">
        <v>72</v>
      </c>
      <c r="O250" s="65">
        <v>46072.618055555555</v>
      </c>
      <c r="P250" s="65">
        <v>46072.635416666664</v>
      </c>
      <c r="Q250" s="65">
        <v>46072.739583333336</v>
      </c>
      <c r="R250" s="60"/>
      <c r="S250" s="68" t="s">
        <v>1187</v>
      </c>
      <c r="T250" s="55" t="s">
        <v>266</v>
      </c>
      <c r="U250" s="60"/>
      <c r="V250" s="68" t="s">
        <v>1188</v>
      </c>
      <c r="W250" s="60"/>
      <c r="X250" s="60"/>
      <c r="Y250" s="60" t="s">
        <v>158</v>
      </c>
      <c r="Z250" s="60" t="s">
        <v>67</v>
      </c>
      <c r="AA250" s="60"/>
      <c r="AB250" s="60"/>
      <c r="AC250" s="60"/>
      <c r="AD250" s="60"/>
      <c r="AE250" s="69"/>
      <c r="AF250" s="17"/>
      <c r="AG250" s="17"/>
      <c r="AH250" s="17"/>
      <c r="AI250" s="17"/>
      <c r="AJ250" s="17"/>
      <c r="AK250" s="17"/>
      <c r="AL250" s="17"/>
      <c r="AM250" s="17"/>
      <c r="AN250" s="17"/>
      <c r="AO250" s="17"/>
      <c r="AP250" s="17"/>
      <c r="AQ250" s="17"/>
      <c r="AR250" s="17"/>
      <c r="AS250" s="17"/>
      <c r="AT250" s="17"/>
      <c r="AU250" s="17"/>
    </row>
    <row r="251" spans="1:47" ht="15" hidden="1" customHeight="1">
      <c r="A251" s="60">
        <f>ROW() - ROW(Table1[[#Headers],[s]])</f>
        <v>250</v>
      </c>
      <c r="B251" s="60" t="s">
        <v>1189</v>
      </c>
      <c r="C251" s="61">
        <v>46054</v>
      </c>
      <c r="D251" s="63" t="s">
        <v>1190</v>
      </c>
      <c r="E251" s="60" t="e" vm="125">
        <v>#VALUE!</v>
      </c>
      <c r="F251" s="60" t="e" vm="25">
        <v>#VALUE!</v>
      </c>
      <c r="G251" s="43" t="s">
        <v>174</v>
      </c>
      <c r="H251" s="42" t="s">
        <v>152</v>
      </c>
      <c r="I251" s="42" t="s">
        <v>175</v>
      </c>
      <c r="J251" s="55" t="s">
        <v>153</v>
      </c>
      <c r="K251" s="60" t="s">
        <v>154</v>
      </c>
      <c r="L251" s="65">
        <v>46072.586111111108</v>
      </c>
      <c r="M251" s="67" t="s">
        <v>72</v>
      </c>
      <c r="N251" s="67" t="s">
        <v>72</v>
      </c>
      <c r="O251" s="65">
        <v>46072.645833333336</v>
      </c>
      <c r="P251" s="65">
        <v>46072.677083333336</v>
      </c>
      <c r="Q251" s="65">
        <v>46072.708333333336</v>
      </c>
      <c r="R251" s="60"/>
      <c r="S251" s="68" t="s">
        <v>1191</v>
      </c>
      <c r="T251" s="55" t="s">
        <v>178</v>
      </c>
      <c r="U251" s="60"/>
      <c r="V251" s="68" t="s">
        <v>1192</v>
      </c>
      <c r="W251" s="60"/>
      <c r="X251" s="60"/>
      <c r="Y251" s="60" t="s">
        <v>158</v>
      </c>
      <c r="Z251" s="60" t="s">
        <v>70</v>
      </c>
      <c r="AA251" s="60"/>
      <c r="AB251" s="60"/>
      <c r="AC251" s="60"/>
      <c r="AD251" s="60"/>
      <c r="AE251" s="69"/>
      <c r="AF251" s="17"/>
      <c r="AG251" s="17"/>
      <c r="AH251" s="17"/>
      <c r="AI251" s="17"/>
      <c r="AJ251" s="17"/>
      <c r="AK251" s="17"/>
      <c r="AL251" s="17"/>
      <c r="AM251" s="17"/>
      <c r="AN251" s="17"/>
      <c r="AO251" s="17"/>
      <c r="AP251" s="17"/>
      <c r="AQ251" s="17"/>
      <c r="AR251" s="17"/>
      <c r="AS251" s="17"/>
      <c r="AT251" s="17"/>
      <c r="AU251" s="17"/>
    </row>
    <row r="252" spans="1:47" ht="15" hidden="1" customHeight="1">
      <c r="A252" s="60">
        <f>ROW() - ROW(Table1[[#Headers],[s]])</f>
        <v>251</v>
      </c>
      <c r="B252" s="60" t="s">
        <v>1193</v>
      </c>
      <c r="C252" s="61" t="s">
        <v>60</v>
      </c>
      <c r="D252" s="63" t="s">
        <v>1194</v>
      </c>
      <c r="E252" s="60" t="e" vm="56">
        <v>#VALUE!</v>
      </c>
      <c r="F252" s="60" t="e" vm="35">
        <v>#VALUE!</v>
      </c>
      <c r="G252" s="43" t="s">
        <v>174</v>
      </c>
      <c r="H252" s="60" t="s">
        <v>747</v>
      </c>
      <c r="I252" s="61" t="s">
        <v>60</v>
      </c>
      <c r="J252" s="67" t="s">
        <v>253</v>
      </c>
      <c r="K252" s="60" t="s">
        <v>1195</v>
      </c>
      <c r="L252" s="65">
        <v>46072.782638888886</v>
      </c>
      <c r="M252" s="67"/>
      <c r="N252" s="67"/>
      <c r="O252" s="64"/>
      <c r="P252" s="60"/>
      <c r="Q252" s="110"/>
      <c r="R252" s="60"/>
      <c r="S252" s="68"/>
      <c r="T252" s="55" t="s">
        <v>178</v>
      </c>
      <c r="U252" s="60"/>
      <c r="V252" s="68"/>
      <c r="W252" s="60"/>
      <c r="X252" s="60"/>
      <c r="Y252" s="60" t="s">
        <v>179</v>
      </c>
      <c r="Z252" s="60" t="s">
        <v>179</v>
      </c>
      <c r="AA252" s="60"/>
      <c r="AB252" s="60"/>
      <c r="AC252" s="60"/>
      <c r="AD252" s="60"/>
      <c r="AE252" s="69"/>
      <c r="AF252" s="17"/>
      <c r="AG252" s="17"/>
      <c r="AH252" s="17"/>
      <c r="AI252" s="17"/>
      <c r="AJ252" s="17"/>
      <c r="AK252" s="17"/>
      <c r="AL252" s="17"/>
      <c r="AM252" s="17"/>
      <c r="AN252" s="17"/>
      <c r="AO252" s="17"/>
      <c r="AP252" s="17"/>
      <c r="AQ252" s="17"/>
      <c r="AR252" s="17"/>
      <c r="AS252" s="17"/>
      <c r="AT252" s="17"/>
      <c r="AU252" s="17"/>
    </row>
    <row r="253" spans="1:47" ht="15" hidden="1" customHeight="1">
      <c r="A253" s="60">
        <f>ROW() - ROW(Table1[[#Headers],[s]])</f>
        <v>252</v>
      </c>
      <c r="B253" s="60" t="s">
        <v>1196</v>
      </c>
      <c r="C253" s="75">
        <v>46054</v>
      </c>
      <c r="D253" s="63" t="s">
        <v>1197</v>
      </c>
      <c r="E253" s="60" t="e" vm="53">
        <v>#VALUE!</v>
      </c>
      <c r="F253" s="60" t="e" vm="12">
        <v>#VALUE!</v>
      </c>
      <c r="G253" s="43" t="s">
        <v>174</v>
      </c>
      <c r="H253" s="60" t="s">
        <v>245</v>
      </c>
      <c r="I253" s="42" t="s">
        <v>175</v>
      </c>
      <c r="J253" s="67" t="s">
        <v>280</v>
      </c>
      <c r="K253" s="60" t="s">
        <v>154</v>
      </c>
      <c r="L253" s="65">
        <v>46072.676388888889</v>
      </c>
      <c r="M253" s="67" t="s">
        <v>1198</v>
      </c>
      <c r="N253" s="67" t="s">
        <v>1198</v>
      </c>
      <c r="O253" s="65">
        <v>46072.739583333336</v>
      </c>
      <c r="P253" s="65">
        <v>46072.756944444445</v>
      </c>
      <c r="Q253" s="65">
        <v>46072.965277777781</v>
      </c>
      <c r="R253" s="60"/>
      <c r="S253" s="68" t="s">
        <v>1199</v>
      </c>
      <c r="T253" s="55" t="s">
        <v>164</v>
      </c>
      <c r="U253" s="60"/>
      <c r="V253" s="68" t="s">
        <v>1200</v>
      </c>
      <c r="W253" s="60"/>
      <c r="X253" s="60"/>
      <c r="Y253" s="60" t="s">
        <v>158</v>
      </c>
      <c r="Z253" s="60" t="s">
        <v>70</v>
      </c>
      <c r="AA253" s="60"/>
      <c r="AB253" s="60"/>
      <c r="AC253" s="60"/>
      <c r="AD253" s="60" t="s">
        <v>985</v>
      </c>
      <c r="AE253" s="69"/>
      <c r="AF253" s="17"/>
      <c r="AG253" s="17"/>
      <c r="AH253" s="17"/>
      <c r="AI253" s="17"/>
      <c r="AJ253" s="17"/>
      <c r="AK253" s="17"/>
      <c r="AL253" s="17"/>
      <c r="AM253" s="17"/>
      <c r="AN253" s="17"/>
      <c r="AO253" s="17"/>
      <c r="AP253" s="17"/>
      <c r="AQ253" s="17"/>
      <c r="AR253" s="17"/>
      <c r="AS253" s="17"/>
      <c r="AT253" s="17"/>
      <c r="AU253" s="17"/>
    </row>
    <row r="254" spans="1:47" ht="15" hidden="1" customHeight="1">
      <c r="A254" s="60">
        <f>ROW() - ROW(Table1[[#Headers],[s]])</f>
        <v>253</v>
      </c>
      <c r="B254" s="60" t="s">
        <v>1201</v>
      </c>
      <c r="C254" s="75">
        <v>46054</v>
      </c>
      <c r="D254" s="63" t="s">
        <v>1202</v>
      </c>
      <c r="E254" s="60" t="e" vm="80">
        <v>#VALUE!</v>
      </c>
      <c r="F254" s="60" t="e" vm="10">
        <v>#VALUE!</v>
      </c>
      <c r="G254" s="64" t="s">
        <v>200</v>
      </c>
      <c r="H254" s="60" t="s">
        <v>152</v>
      </c>
      <c r="I254" s="60" t="s">
        <v>43</v>
      </c>
      <c r="J254" s="67" t="s">
        <v>153</v>
      </c>
      <c r="K254" s="60" t="s">
        <v>154</v>
      </c>
      <c r="L254" s="65">
        <v>46073.492361111108</v>
      </c>
      <c r="M254" s="67" t="s">
        <v>78</v>
      </c>
      <c r="N254" s="55" t="s">
        <v>78</v>
      </c>
      <c r="O254" s="71">
        <v>46073.791666666664</v>
      </c>
      <c r="P254" s="72">
        <v>46073.8125</v>
      </c>
      <c r="Q254" s="66">
        <v>46073.833333333336</v>
      </c>
      <c r="R254" s="60"/>
      <c r="S254" s="68" t="s">
        <v>1203</v>
      </c>
      <c r="T254" s="55" t="s">
        <v>478</v>
      </c>
      <c r="U254" s="60"/>
      <c r="V254" s="68" t="s">
        <v>1204</v>
      </c>
      <c r="W254" s="60"/>
      <c r="X254" s="60"/>
      <c r="Y254" s="60" t="s">
        <v>203</v>
      </c>
      <c r="Z254" s="60" t="s">
        <v>70</v>
      </c>
      <c r="AA254" s="60"/>
      <c r="AB254" s="60"/>
      <c r="AC254" s="60"/>
      <c r="AD254" s="60"/>
      <c r="AE254" s="69"/>
      <c r="AF254" s="17"/>
      <c r="AG254" s="17"/>
      <c r="AH254" s="17"/>
      <c r="AI254" s="17"/>
      <c r="AJ254" s="17"/>
      <c r="AK254" s="17"/>
      <c r="AL254" s="17"/>
      <c r="AM254" s="17"/>
      <c r="AN254" s="17"/>
      <c r="AO254" s="17"/>
      <c r="AP254" s="17"/>
      <c r="AQ254" s="17"/>
      <c r="AR254" s="17"/>
      <c r="AS254" s="17"/>
      <c r="AT254" s="17"/>
      <c r="AU254" s="17"/>
    </row>
    <row r="255" spans="1:47" ht="15" hidden="1" customHeight="1">
      <c r="A255" s="60">
        <f>ROW() - ROW(Table1[[#Headers],[s]])</f>
        <v>254</v>
      </c>
      <c r="B255" s="60" t="s">
        <v>1205</v>
      </c>
      <c r="C255" s="61">
        <v>46054</v>
      </c>
      <c r="D255" s="63" t="s">
        <v>1206</v>
      </c>
      <c r="E255" s="60" t="e" vm="9">
        <v>#VALUE!</v>
      </c>
      <c r="F255" s="60" t="e" vm="10">
        <v>#VALUE!</v>
      </c>
      <c r="G255" s="64" t="s">
        <v>200</v>
      </c>
      <c r="H255" s="60" t="s">
        <v>152</v>
      </c>
      <c r="I255" s="60" t="s">
        <v>43</v>
      </c>
      <c r="J255" s="67" t="s">
        <v>153</v>
      </c>
      <c r="K255" s="60" t="s">
        <v>154</v>
      </c>
      <c r="L255" s="65">
        <v>46073.540277777778</v>
      </c>
      <c r="M255" s="67" t="s">
        <v>78</v>
      </c>
      <c r="N255" s="55" t="s">
        <v>78</v>
      </c>
      <c r="O255" s="71">
        <v>46073.833333333336</v>
      </c>
      <c r="P255" s="72">
        <v>46073.854166666664</v>
      </c>
      <c r="Q255" s="66">
        <v>46073.864583333336</v>
      </c>
      <c r="R255" s="60"/>
      <c r="S255" s="68" t="s">
        <v>1207</v>
      </c>
      <c r="T255" s="55" t="s">
        <v>179</v>
      </c>
      <c r="U255" s="60"/>
      <c r="V255" s="68" t="s">
        <v>374</v>
      </c>
      <c r="W255" s="60"/>
      <c r="X255" s="60"/>
      <c r="Y255" s="60" t="s">
        <v>203</v>
      </c>
      <c r="Z255" s="60" t="s">
        <v>70</v>
      </c>
      <c r="AA255" s="60"/>
      <c r="AB255" s="60"/>
      <c r="AC255" s="60"/>
      <c r="AD255" s="60"/>
      <c r="AE255" s="69"/>
      <c r="AF255" s="17"/>
      <c r="AG255" s="17"/>
      <c r="AH255" s="17"/>
      <c r="AI255" s="17"/>
      <c r="AJ255" s="17"/>
      <c r="AK255" s="17"/>
      <c r="AL255" s="17"/>
      <c r="AM255" s="17"/>
      <c r="AN255" s="17"/>
      <c r="AO255" s="17"/>
      <c r="AP255" s="17"/>
      <c r="AQ255" s="17"/>
      <c r="AR255" s="17"/>
      <c r="AS255" s="17"/>
      <c r="AT255" s="17"/>
      <c r="AU255" s="17"/>
    </row>
    <row r="256" spans="1:47" ht="15.75" hidden="1" customHeight="1">
      <c r="A256" s="60">
        <f>ROW() - ROW(Table1[[#Headers],[s]])</f>
        <v>255</v>
      </c>
      <c r="B256" s="60" t="s">
        <v>1208</v>
      </c>
      <c r="C256" s="75" t="s">
        <v>60</v>
      </c>
      <c r="D256" s="156" t="s">
        <v>1209</v>
      </c>
      <c r="E256" s="60" t="e" vm="70">
        <v>#VALUE!</v>
      </c>
      <c r="F256" s="60" t="e" vm="37">
        <v>#VALUE!</v>
      </c>
      <c r="G256" s="64" t="s">
        <v>200</v>
      </c>
      <c r="H256" s="60" t="s">
        <v>152</v>
      </c>
      <c r="I256" s="60" t="s">
        <v>43</v>
      </c>
      <c r="J256" s="67" t="s">
        <v>153</v>
      </c>
      <c r="K256" s="60" t="s">
        <v>154</v>
      </c>
      <c r="L256" s="65">
        <v>46073.433333333334</v>
      </c>
      <c r="M256" s="67" t="s">
        <v>1023</v>
      </c>
      <c r="N256" s="67" t="s">
        <v>1023</v>
      </c>
      <c r="O256" s="71">
        <v>46078.375</v>
      </c>
      <c r="P256" s="72">
        <v>46078.395833333336</v>
      </c>
      <c r="Q256" s="66">
        <v>46078.416666666664</v>
      </c>
      <c r="R256" s="60"/>
      <c r="S256" s="68" t="s">
        <v>1210</v>
      </c>
      <c r="T256" s="55" t="s">
        <v>478</v>
      </c>
      <c r="U256" s="60"/>
      <c r="V256" s="68" t="s">
        <v>1210</v>
      </c>
      <c r="W256" s="60"/>
      <c r="X256" s="60"/>
      <c r="Y256" s="60" t="s">
        <v>203</v>
      </c>
      <c r="Z256" s="60" t="s">
        <v>70</v>
      </c>
      <c r="AA256" s="60"/>
      <c r="AB256" s="60"/>
      <c r="AC256" s="60"/>
      <c r="AD256" s="60"/>
      <c r="AE256" s="69"/>
      <c r="AF256" s="17"/>
      <c r="AG256" s="17"/>
      <c r="AH256" s="17"/>
      <c r="AI256" s="17"/>
      <c r="AJ256" s="17"/>
      <c r="AK256" s="17"/>
      <c r="AL256" s="17"/>
      <c r="AM256" s="17"/>
      <c r="AN256" s="17"/>
      <c r="AO256" s="17"/>
      <c r="AP256" s="17"/>
      <c r="AQ256" s="17"/>
      <c r="AR256" s="17"/>
      <c r="AS256" s="17"/>
      <c r="AT256" s="17"/>
      <c r="AU256" s="17"/>
    </row>
    <row r="257" spans="1:47" ht="15" hidden="1" customHeight="1">
      <c r="A257" s="60">
        <f>ROW() - ROW(Table1[[#Headers],[s]])</f>
        <v>256</v>
      </c>
      <c r="B257" s="60" t="s">
        <v>1211</v>
      </c>
      <c r="C257" s="75">
        <v>46054</v>
      </c>
      <c r="D257" s="63" t="s">
        <v>1212</v>
      </c>
      <c r="E257" s="60" t="e" vm="80">
        <v>#VALUE!</v>
      </c>
      <c r="F257" s="60" t="e" vm="10">
        <v>#VALUE!</v>
      </c>
      <c r="G257" s="64" t="s">
        <v>200</v>
      </c>
      <c r="H257" s="60" t="s">
        <v>152</v>
      </c>
      <c r="I257" s="60" t="s">
        <v>43</v>
      </c>
      <c r="J257" s="67" t="s">
        <v>153</v>
      </c>
      <c r="K257" s="60" t="s">
        <v>154</v>
      </c>
      <c r="L257" s="65">
        <v>46073.504166666666</v>
      </c>
      <c r="M257" s="67" t="s">
        <v>78</v>
      </c>
      <c r="N257" s="55" t="s">
        <v>78</v>
      </c>
      <c r="O257" s="71">
        <v>46073.75</v>
      </c>
      <c r="P257" s="72">
        <v>46073.770833333336</v>
      </c>
      <c r="Q257" s="66">
        <v>46073.791666666664</v>
      </c>
      <c r="R257" s="60"/>
      <c r="S257" s="68" t="s">
        <v>1213</v>
      </c>
      <c r="T257" s="55" t="s">
        <v>164</v>
      </c>
      <c r="U257" s="60"/>
      <c r="V257" s="68" t="s">
        <v>1214</v>
      </c>
      <c r="W257" s="60"/>
      <c r="X257" s="60"/>
      <c r="Y257" s="60" t="s">
        <v>203</v>
      </c>
      <c r="Z257" s="60" t="s">
        <v>70</v>
      </c>
      <c r="AA257" s="42"/>
      <c r="AB257" s="60"/>
      <c r="AC257" s="60"/>
      <c r="AD257" s="60"/>
      <c r="AE257" s="69"/>
      <c r="AF257" s="17"/>
      <c r="AG257" s="17"/>
      <c r="AH257" s="17"/>
      <c r="AI257" s="17"/>
      <c r="AJ257" s="17"/>
      <c r="AK257" s="17"/>
      <c r="AL257" s="17"/>
      <c r="AM257" s="17"/>
      <c r="AN257" s="17"/>
      <c r="AO257" s="17"/>
      <c r="AP257" s="17"/>
      <c r="AQ257" s="17"/>
      <c r="AR257" s="17"/>
      <c r="AS257" s="17"/>
      <c r="AT257" s="17"/>
      <c r="AU257" s="17"/>
    </row>
    <row r="258" spans="1:47" ht="15" hidden="1" customHeight="1">
      <c r="A258" s="60">
        <f>ROW() - ROW(Table1[[#Headers],[s]])</f>
        <v>257</v>
      </c>
      <c r="B258" s="60" t="s">
        <v>1215</v>
      </c>
      <c r="C258" s="61">
        <v>46054</v>
      </c>
      <c r="D258" s="63" t="s">
        <v>1216</v>
      </c>
      <c r="E258" s="60" t="e" vm="62">
        <v>#VALUE!</v>
      </c>
      <c r="F258" s="60" t="e" vm="26">
        <v>#VALUE!</v>
      </c>
      <c r="G258" s="64" t="s">
        <v>200</v>
      </c>
      <c r="H258" s="60" t="s">
        <v>152</v>
      </c>
      <c r="I258" s="60" t="s">
        <v>43</v>
      </c>
      <c r="J258" s="67" t="s">
        <v>153</v>
      </c>
      <c r="K258" s="60" t="s">
        <v>154</v>
      </c>
      <c r="L258" s="65">
        <v>46074.753472222219</v>
      </c>
      <c r="M258" s="67" t="s">
        <v>1023</v>
      </c>
      <c r="N258" s="67" t="s">
        <v>1023</v>
      </c>
      <c r="O258" s="71">
        <v>46073.833333333336</v>
      </c>
      <c r="P258" s="72">
        <v>46073.854166666664</v>
      </c>
      <c r="Q258" s="66">
        <v>46073.875</v>
      </c>
      <c r="R258" s="60"/>
      <c r="S258" s="68" t="s">
        <v>1217</v>
      </c>
      <c r="T258" s="55" t="s">
        <v>478</v>
      </c>
      <c r="U258" s="60"/>
      <c r="V258" s="68" t="s">
        <v>1218</v>
      </c>
      <c r="W258" s="60"/>
      <c r="X258" s="60"/>
      <c r="Y258" s="60" t="s">
        <v>203</v>
      </c>
      <c r="Z258" s="60" t="s">
        <v>70</v>
      </c>
      <c r="AA258" s="60"/>
      <c r="AB258" s="60"/>
      <c r="AC258" s="60"/>
      <c r="AD258" s="60"/>
      <c r="AE258" s="69"/>
      <c r="AF258" s="17"/>
      <c r="AG258" s="17"/>
      <c r="AH258" s="17"/>
      <c r="AI258" s="17"/>
      <c r="AJ258" s="17"/>
      <c r="AK258" s="17"/>
      <c r="AL258" s="17"/>
      <c r="AM258" s="17"/>
      <c r="AN258" s="17"/>
      <c r="AO258" s="17"/>
      <c r="AP258" s="17"/>
      <c r="AQ258" s="17"/>
      <c r="AR258" s="17"/>
      <c r="AS258" s="17"/>
      <c r="AT258" s="17"/>
      <c r="AU258" s="17"/>
    </row>
    <row r="259" spans="1:47" ht="15" hidden="1" customHeight="1">
      <c r="A259" s="60">
        <f>ROW() - ROW(Table1[[#Headers],[s]])</f>
        <v>258</v>
      </c>
      <c r="B259" s="60" t="s">
        <v>1219</v>
      </c>
      <c r="C259" s="75">
        <v>46054</v>
      </c>
      <c r="D259" s="63" t="s">
        <v>1220</v>
      </c>
      <c r="E259" s="60" t="e" vm="75">
        <v>#VALUE!</v>
      </c>
      <c r="F259" s="60" t="e" vm="21">
        <v>#VALUE!</v>
      </c>
      <c r="G259" s="43" t="s">
        <v>151</v>
      </c>
      <c r="H259" s="42" t="s">
        <v>152</v>
      </c>
      <c r="I259" s="60" t="s">
        <v>1221</v>
      </c>
      <c r="J259" s="55" t="s">
        <v>153</v>
      </c>
      <c r="K259" s="60" t="s">
        <v>154</v>
      </c>
      <c r="L259" s="65">
        <v>46073.833333333336</v>
      </c>
      <c r="M259" s="67" t="s">
        <v>39</v>
      </c>
      <c r="N259" s="67" t="s">
        <v>39</v>
      </c>
      <c r="O259" s="71">
        <v>46076.4375</v>
      </c>
      <c r="P259" s="72">
        <v>46076.4375</v>
      </c>
      <c r="Q259" s="66">
        <v>46076.494444444441</v>
      </c>
      <c r="R259" s="60"/>
      <c r="S259" s="68" t="s">
        <v>1222</v>
      </c>
      <c r="T259" s="55" t="s">
        <v>478</v>
      </c>
      <c r="U259" s="60"/>
      <c r="V259" s="68" t="s">
        <v>1222</v>
      </c>
      <c r="W259" s="60"/>
      <c r="X259" s="60"/>
      <c r="Y259" s="60" t="s">
        <v>158</v>
      </c>
      <c r="Z259" s="60" t="s">
        <v>70</v>
      </c>
      <c r="AA259" s="60"/>
      <c r="AB259" s="60"/>
      <c r="AC259" s="60"/>
      <c r="AD259" s="60"/>
      <c r="AE259" s="69"/>
      <c r="AF259" s="17"/>
      <c r="AG259" s="17"/>
      <c r="AH259" s="17"/>
      <c r="AI259" s="17"/>
      <c r="AJ259" s="17"/>
      <c r="AK259" s="17"/>
      <c r="AL259" s="17"/>
      <c r="AM259" s="17"/>
      <c r="AN259" s="17"/>
      <c r="AO259" s="17"/>
      <c r="AP259" s="17"/>
      <c r="AQ259" s="17"/>
      <c r="AR259" s="17"/>
      <c r="AS259" s="17"/>
      <c r="AT259" s="17"/>
      <c r="AU259" s="17"/>
    </row>
    <row r="260" spans="1:47" ht="15" hidden="1" customHeight="1">
      <c r="A260" s="60">
        <f>ROW() - ROW(Table1[[#Headers],[s]])</f>
        <v>259</v>
      </c>
      <c r="B260" s="60" t="s">
        <v>1223</v>
      </c>
      <c r="C260" s="75">
        <v>46054</v>
      </c>
      <c r="D260" s="63" t="s">
        <v>1224</v>
      </c>
      <c r="E260" s="60" t="e" vm="138">
        <v>#VALUE!</v>
      </c>
      <c r="F260" s="60" t="e" vm="5">
        <v>#VALUE!</v>
      </c>
      <c r="G260" s="64" t="s">
        <v>200</v>
      </c>
      <c r="H260" s="60" t="s">
        <v>747</v>
      </c>
      <c r="I260" s="60" t="s">
        <v>1221</v>
      </c>
      <c r="J260" s="67" t="s">
        <v>253</v>
      </c>
      <c r="K260" s="60" t="s">
        <v>371</v>
      </c>
      <c r="L260" s="65">
        <v>46073.496527777781</v>
      </c>
      <c r="M260" s="55" t="s">
        <v>155</v>
      </c>
      <c r="N260" s="55" t="s">
        <v>155</v>
      </c>
      <c r="O260" s="71">
        <v>46073.666666666664</v>
      </c>
      <c r="P260" s="72">
        <v>46073.6875</v>
      </c>
      <c r="Q260" s="66">
        <v>46073.743055555555</v>
      </c>
      <c r="R260" s="60"/>
      <c r="S260" s="68" t="s">
        <v>817</v>
      </c>
      <c r="T260" s="55" t="s">
        <v>478</v>
      </c>
      <c r="U260" s="60"/>
      <c r="V260" s="68" t="s">
        <v>1225</v>
      </c>
      <c r="W260" s="60"/>
      <c r="X260" s="60"/>
      <c r="Y260" s="60" t="s">
        <v>203</v>
      </c>
      <c r="Z260" s="60" t="s">
        <v>70</v>
      </c>
      <c r="AA260" s="60"/>
      <c r="AB260" s="60"/>
      <c r="AC260" s="60"/>
      <c r="AD260" s="60"/>
      <c r="AE260" s="69"/>
      <c r="AF260" s="17"/>
      <c r="AG260" s="17"/>
      <c r="AH260" s="17"/>
      <c r="AI260" s="17"/>
      <c r="AJ260" s="17"/>
      <c r="AK260" s="17"/>
      <c r="AL260" s="17"/>
      <c r="AM260" s="17"/>
      <c r="AN260" s="17"/>
      <c r="AO260" s="17"/>
      <c r="AP260" s="17"/>
      <c r="AQ260" s="17"/>
      <c r="AR260" s="17"/>
      <c r="AS260" s="17"/>
      <c r="AT260" s="17"/>
      <c r="AU260" s="17"/>
    </row>
    <row r="261" spans="1:47" ht="15" hidden="1" customHeight="1">
      <c r="A261" s="60">
        <f>ROW() - ROW(Table1[[#Headers],[s]])</f>
        <v>260</v>
      </c>
      <c r="B261" s="60" t="s">
        <v>1226</v>
      </c>
      <c r="C261" s="61" t="s">
        <v>60</v>
      </c>
      <c r="D261" s="63" t="s">
        <v>1227</v>
      </c>
      <c r="E261" s="60" t="e" vm="139">
        <v>#VALUE!</v>
      </c>
      <c r="F261" s="60" t="e" vm="1">
        <v>#VALUE!</v>
      </c>
      <c r="G261" s="64" t="s">
        <v>200</v>
      </c>
      <c r="H261" s="60" t="s">
        <v>747</v>
      </c>
      <c r="I261" s="61" t="s">
        <v>60</v>
      </c>
      <c r="J261" s="67" t="s">
        <v>253</v>
      </c>
      <c r="K261" s="60" t="s">
        <v>1228</v>
      </c>
      <c r="L261" s="65">
        <v>46073.475694444445</v>
      </c>
      <c r="M261" s="67" t="s">
        <v>179</v>
      </c>
      <c r="N261" s="67"/>
      <c r="O261" s="64"/>
      <c r="P261" s="60"/>
      <c r="Q261" s="110"/>
      <c r="R261" s="60"/>
      <c r="S261" s="68"/>
      <c r="T261" s="55" t="s">
        <v>179</v>
      </c>
      <c r="U261" s="60"/>
      <c r="V261" s="68"/>
      <c r="W261" s="60"/>
      <c r="X261" s="60"/>
      <c r="Y261" s="60" t="s">
        <v>179</v>
      </c>
      <c r="Z261" s="60" t="s">
        <v>179</v>
      </c>
      <c r="AA261" s="60"/>
      <c r="AB261" s="60"/>
      <c r="AC261" s="60"/>
      <c r="AD261" s="60"/>
      <c r="AE261" s="69"/>
      <c r="AF261" s="17"/>
      <c r="AG261" s="17"/>
      <c r="AH261" s="17"/>
      <c r="AI261" s="17"/>
      <c r="AJ261" s="17"/>
      <c r="AK261" s="17"/>
      <c r="AL261" s="17"/>
      <c r="AM261" s="17"/>
      <c r="AN261" s="17"/>
      <c r="AO261" s="17"/>
      <c r="AP261" s="17"/>
      <c r="AQ261" s="17"/>
      <c r="AR261" s="17"/>
      <c r="AS261" s="17"/>
      <c r="AT261" s="17"/>
      <c r="AU261" s="17"/>
    </row>
    <row r="262" spans="1:47" ht="15" hidden="1" customHeight="1">
      <c r="A262" s="60">
        <f>ROW() - ROW(Table1[[#Headers],[s]])</f>
        <v>261</v>
      </c>
      <c r="B262" s="60" t="s">
        <v>1229</v>
      </c>
      <c r="C262" s="61" t="s">
        <v>60</v>
      </c>
      <c r="D262" s="63" t="s">
        <v>1230</v>
      </c>
      <c r="E262" s="60" t="e" vm="140">
        <v>#VALUE!</v>
      </c>
      <c r="F262" s="60" t="e" vm="30">
        <v>#VALUE!</v>
      </c>
      <c r="G262" s="64" t="s">
        <v>200</v>
      </c>
      <c r="H262" s="60" t="s">
        <v>747</v>
      </c>
      <c r="I262" s="61" t="s">
        <v>60</v>
      </c>
      <c r="J262" s="67" t="s">
        <v>253</v>
      </c>
      <c r="K262" s="60" t="s">
        <v>1228</v>
      </c>
      <c r="L262" s="65">
        <v>46073.587500000001</v>
      </c>
      <c r="M262" s="67" t="s">
        <v>179</v>
      </c>
      <c r="N262" s="67"/>
      <c r="O262" s="64"/>
      <c r="P262" s="60"/>
      <c r="Q262" s="110"/>
      <c r="R262" s="60"/>
      <c r="S262" s="68"/>
      <c r="T262" s="55" t="s">
        <v>179</v>
      </c>
      <c r="U262" s="60"/>
      <c r="V262" s="68"/>
      <c r="W262" s="60"/>
      <c r="X262" s="60"/>
      <c r="Y262" s="60" t="s">
        <v>179</v>
      </c>
      <c r="Z262" s="60" t="s">
        <v>179</v>
      </c>
      <c r="AA262" s="60"/>
      <c r="AB262" s="60"/>
      <c r="AC262" s="60"/>
      <c r="AD262" s="60"/>
      <c r="AE262" s="69"/>
      <c r="AF262" s="17"/>
      <c r="AG262" s="17"/>
      <c r="AH262" s="17"/>
      <c r="AI262" s="17"/>
      <c r="AJ262" s="17"/>
      <c r="AK262" s="17"/>
      <c r="AL262" s="17"/>
      <c r="AM262" s="17"/>
      <c r="AN262" s="17"/>
      <c r="AO262" s="17"/>
      <c r="AP262" s="17"/>
      <c r="AQ262" s="17"/>
      <c r="AR262" s="17"/>
      <c r="AS262" s="17"/>
      <c r="AT262" s="17"/>
      <c r="AU262" s="17"/>
    </row>
    <row r="263" spans="1:47" ht="15" hidden="1" customHeight="1">
      <c r="A263" s="60">
        <f>ROW() - ROW(Table1[[#Headers],[s]])</f>
        <v>262</v>
      </c>
      <c r="B263" s="60" t="s">
        <v>1231</v>
      </c>
      <c r="C263" s="61">
        <v>46054</v>
      </c>
      <c r="D263" s="63" t="s">
        <v>1232</v>
      </c>
      <c r="E263" s="60" t="e" vm="138">
        <v>#VALUE!</v>
      </c>
      <c r="F263" s="60" t="e" vm="5">
        <v>#VALUE!</v>
      </c>
      <c r="G263" s="43" t="s">
        <v>174</v>
      </c>
      <c r="H263" s="60" t="s">
        <v>747</v>
      </c>
      <c r="I263" s="42" t="s">
        <v>175</v>
      </c>
      <c r="J263" s="67" t="s">
        <v>253</v>
      </c>
      <c r="K263" s="60" t="s">
        <v>154</v>
      </c>
      <c r="L263" s="65">
        <v>46073.215277777781</v>
      </c>
      <c r="M263" s="67" t="s">
        <v>1233</v>
      </c>
      <c r="N263" s="67" t="s">
        <v>1233</v>
      </c>
      <c r="O263" s="65">
        <v>46074.333333333336</v>
      </c>
      <c r="P263" s="65">
        <v>46074.5</v>
      </c>
      <c r="Q263" s="58">
        <v>46075.440972222219</v>
      </c>
      <c r="R263" s="42"/>
      <c r="S263" s="53" t="s">
        <v>1234</v>
      </c>
      <c r="T263" s="55" t="s">
        <v>1235</v>
      </c>
      <c r="U263" s="60"/>
      <c r="V263" s="68" t="s">
        <v>1236</v>
      </c>
      <c r="W263" s="60"/>
      <c r="X263" s="60"/>
      <c r="Y263" s="60" t="s">
        <v>70</v>
      </c>
      <c r="Z263" s="60" t="s">
        <v>67</v>
      </c>
      <c r="AA263" s="60"/>
      <c r="AB263" s="60"/>
      <c r="AC263" s="60"/>
      <c r="AD263" s="60"/>
      <c r="AE263" s="69"/>
      <c r="AF263" s="17"/>
      <c r="AG263" s="17"/>
      <c r="AH263" s="17"/>
      <c r="AI263" s="17"/>
      <c r="AJ263" s="17"/>
      <c r="AK263" s="17"/>
      <c r="AL263" s="17"/>
      <c r="AM263" s="17"/>
      <c r="AN263" s="17"/>
      <c r="AO263" s="17"/>
      <c r="AP263" s="17"/>
      <c r="AQ263" s="17"/>
      <c r="AR263" s="17"/>
      <c r="AS263" s="17"/>
      <c r="AT263" s="17"/>
      <c r="AU263" s="17"/>
    </row>
    <row r="264" spans="1:47" s="24" customFormat="1" ht="15.75" hidden="1" customHeight="1">
      <c r="A264" s="87">
        <f>ROW() - ROW(Table1[[#Headers],[s]])</f>
        <v>263</v>
      </c>
      <c r="B264" s="87" t="s">
        <v>1237</v>
      </c>
      <c r="C264" s="88">
        <v>46054</v>
      </c>
      <c r="D264" s="89" t="s">
        <v>1238</v>
      </c>
      <c r="E264" s="87" t="e" vm="60">
        <v>#VALUE!</v>
      </c>
      <c r="F264" s="87" t="e" vm="37">
        <v>#VALUE!</v>
      </c>
      <c r="G264" s="90" t="s">
        <v>174</v>
      </c>
      <c r="H264" s="87" t="s">
        <v>747</v>
      </c>
      <c r="I264" s="42" t="s">
        <v>175</v>
      </c>
      <c r="J264" s="323" t="s">
        <v>253</v>
      </c>
      <c r="K264" s="87" t="s">
        <v>332</v>
      </c>
      <c r="L264" s="91">
        <v>46074.510416666664</v>
      </c>
      <c r="M264" s="323" t="s">
        <v>1023</v>
      </c>
      <c r="N264" s="323" t="s">
        <v>1023</v>
      </c>
      <c r="O264" s="91">
        <v>46074.614583333336</v>
      </c>
      <c r="P264" s="91">
        <v>46074.739583333336</v>
      </c>
      <c r="Q264" s="145">
        <v>46075.869444444441</v>
      </c>
      <c r="R264" s="87"/>
      <c r="S264" s="92" t="s">
        <v>1239</v>
      </c>
      <c r="T264" s="157" t="s">
        <v>1240</v>
      </c>
      <c r="U264" s="87"/>
      <c r="V264" s="92" t="s">
        <v>1241</v>
      </c>
      <c r="W264" s="87"/>
      <c r="X264" s="87"/>
      <c r="Y264" s="87" t="s">
        <v>70</v>
      </c>
      <c r="Z264" s="87" t="s">
        <v>67</v>
      </c>
      <c r="AA264" s="87"/>
      <c r="AB264" s="87"/>
      <c r="AC264" s="87"/>
      <c r="AD264" s="87"/>
      <c r="AE264" s="93"/>
      <c r="AF264" s="27"/>
      <c r="AG264" s="27"/>
      <c r="AH264" s="27"/>
      <c r="AI264" s="27"/>
      <c r="AJ264" s="27"/>
      <c r="AK264" s="27"/>
      <c r="AL264" s="27"/>
      <c r="AM264" s="27"/>
      <c r="AN264" s="27"/>
      <c r="AO264" s="27"/>
      <c r="AP264" s="27"/>
      <c r="AQ264" s="27"/>
      <c r="AR264" s="27"/>
      <c r="AS264" s="27"/>
      <c r="AT264" s="27"/>
      <c r="AU264" s="27"/>
    </row>
    <row r="265" spans="1:47" ht="15" hidden="1" customHeight="1">
      <c r="A265" s="60">
        <f>ROW() - ROW(Table1[[#Headers],[s]])</f>
        <v>264</v>
      </c>
      <c r="B265" s="60" t="s">
        <v>1242</v>
      </c>
      <c r="C265" s="61">
        <v>46054</v>
      </c>
      <c r="D265" s="63" t="s">
        <v>1243</v>
      </c>
      <c r="E265" s="60" t="e" vm="9">
        <v>#VALUE!</v>
      </c>
      <c r="F265" s="60" t="e" vm="10">
        <v>#VALUE!</v>
      </c>
      <c r="G265" s="43" t="s">
        <v>42</v>
      </c>
      <c r="H265" s="42" t="s">
        <v>152</v>
      </c>
      <c r="I265" s="60" t="s">
        <v>43</v>
      </c>
      <c r="J265" s="55" t="s">
        <v>153</v>
      </c>
      <c r="K265" s="60" t="s">
        <v>154</v>
      </c>
      <c r="L265" s="65">
        <v>46075.404861111114</v>
      </c>
      <c r="M265" s="67" t="s">
        <v>78</v>
      </c>
      <c r="N265" s="55" t="s">
        <v>78</v>
      </c>
      <c r="O265" s="71">
        <v>46076.840277777781</v>
      </c>
      <c r="P265" s="71">
        <v>46076.840277777781</v>
      </c>
      <c r="Q265" s="71">
        <v>46076.854166666664</v>
      </c>
      <c r="R265" s="60"/>
      <c r="S265" s="68" t="s">
        <v>1244</v>
      </c>
      <c r="T265" s="55" t="s">
        <v>164</v>
      </c>
      <c r="U265" s="60"/>
      <c r="V265" s="290" t="s">
        <v>1245</v>
      </c>
      <c r="W265" s="60"/>
      <c r="X265" s="60"/>
      <c r="Y265" s="60" t="s">
        <v>158</v>
      </c>
      <c r="Z265" s="60" t="s">
        <v>70</v>
      </c>
      <c r="AA265" s="60"/>
      <c r="AB265" s="60"/>
      <c r="AC265" s="60"/>
      <c r="AD265" s="60"/>
      <c r="AE265" s="69"/>
      <c r="AF265" s="17"/>
      <c r="AG265" s="17"/>
      <c r="AH265" s="17"/>
      <c r="AI265" s="17"/>
      <c r="AJ265" s="17"/>
      <c r="AK265" s="17"/>
      <c r="AL265" s="17"/>
      <c r="AM265" s="17"/>
      <c r="AN265" s="17"/>
      <c r="AO265" s="17"/>
      <c r="AP265" s="17"/>
      <c r="AQ265" s="17"/>
      <c r="AR265" s="17"/>
      <c r="AS265" s="17"/>
      <c r="AT265" s="17"/>
      <c r="AU265" s="17"/>
    </row>
    <row r="266" spans="1:47" ht="15" hidden="1" customHeight="1">
      <c r="A266" s="60">
        <f>ROW() - ROW(Table1[[#Headers],[s]])</f>
        <v>265</v>
      </c>
      <c r="B266" s="60" t="s">
        <v>1246</v>
      </c>
      <c r="C266" s="61">
        <v>46054</v>
      </c>
      <c r="D266" s="63" t="s">
        <v>1247</v>
      </c>
      <c r="E266" s="60" t="e" vm="141">
        <v>#VALUE!</v>
      </c>
      <c r="F266" s="60" t="e" vm="30">
        <v>#VALUE!</v>
      </c>
      <c r="G266" s="43" t="s">
        <v>42</v>
      </c>
      <c r="H266" s="42" t="s">
        <v>152</v>
      </c>
      <c r="I266" s="60" t="s">
        <v>43</v>
      </c>
      <c r="J266" s="55" t="s">
        <v>153</v>
      </c>
      <c r="K266" s="60" t="s">
        <v>154</v>
      </c>
      <c r="L266" s="65">
        <v>46075.677083333336</v>
      </c>
      <c r="M266" s="67" t="s">
        <v>507</v>
      </c>
      <c r="N266" s="67" t="s">
        <v>507</v>
      </c>
      <c r="O266" s="71">
        <v>46076.520833333336</v>
      </c>
      <c r="P266" s="72">
        <v>46076.523611111108</v>
      </c>
      <c r="Q266" s="66">
        <v>46076.588888888888</v>
      </c>
      <c r="R266" s="60"/>
      <c r="S266" s="68" t="s">
        <v>1248</v>
      </c>
      <c r="T266" s="55"/>
      <c r="U266" s="60"/>
      <c r="V266" s="68" t="s">
        <v>1249</v>
      </c>
      <c r="W266" s="60"/>
      <c r="X266" s="60"/>
      <c r="Y266" s="60" t="s">
        <v>158</v>
      </c>
      <c r="Z266" s="60" t="s">
        <v>67</v>
      </c>
      <c r="AA266" s="60"/>
      <c r="AB266" s="60"/>
      <c r="AC266" s="60"/>
      <c r="AD266" s="60"/>
      <c r="AE266" s="69"/>
      <c r="AF266" s="17"/>
      <c r="AG266" s="17"/>
      <c r="AH266" s="17"/>
      <c r="AI266" s="17"/>
      <c r="AJ266" s="17"/>
      <c r="AK266" s="17"/>
      <c r="AL266" s="17"/>
      <c r="AM266" s="17"/>
      <c r="AN266" s="17"/>
      <c r="AO266" s="17"/>
      <c r="AP266" s="17"/>
      <c r="AQ266" s="17"/>
      <c r="AR266" s="17"/>
      <c r="AS266" s="17"/>
      <c r="AT266" s="17"/>
      <c r="AU266" s="17"/>
    </row>
    <row r="267" spans="1:47" ht="15.75" hidden="1" customHeight="1">
      <c r="A267" s="60">
        <f>ROW() - ROW(Table1[[#Headers],[s]])</f>
        <v>266</v>
      </c>
      <c r="B267" s="74" t="s">
        <v>1250</v>
      </c>
      <c r="C267" s="61" t="s">
        <v>60</v>
      </c>
      <c r="D267" s="63" t="s">
        <v>1251</v>
      </c>
      <c r="E267" s="60" t="e" vm="142">
        <v>#VALUE!</v>
      </c>
      <c r="F267" s="60" t="e" vm="2">
        <v>#VALUE!</v>
      </c>
      <c r="G267" s="43" t="s">
        <v>174</v>
      </c>
      <c r="H267" s="42" t="s">
        <v>152</v>
      </c>
      <c r="I267" s="61" t="s">
        <v>60</v>
      </c>
      <c r="J267" s="55" t="s">
        <v>268</v>
      </c>
      <c r="K267" s="42" t="s">
        <v>154</v>
      </c>
      <c r="L267" s="65">
        <v>46074.469444444447</v>
      </c>
      <c r="M267" s="67" t="s">
        <v>162</v>
      </c>
      <c r="N267" s="67" t="s">
        <v>162</v>
      </c>
      <c r="O267" s="64"/>
      <c r="P267" s="60"/>
      <c r="Q267" s="110"/>
      <c r="R267" s="60"/>
      <c r="S267" s="68" t="s">
        <v>1252</v>
      </c>
      <c r="T267" s="55" t="s">
        <v>179</v>
      </c>
      <c r="U267" s="60"/>
      <c r="V267" s="68"/>
      <c r="W267" s="60"/>
      <c r="X267" s="60"/>
      <c r="Y267" s="60" t="s">
        <v>179</v>
      </c>
      <c r="Z267" s="60" t="s">
        <v>179</v>
      </c>
      <c r="AA267" s="60"/>
      <c r="AB267" s="60"/>
      <c r="AC267" s="60"/>
      <c r="AD267" s="60"/>
      <c r="AE267" s="69"/>
      <c r="AF267" s="17"/>
      <c r="AG267" s="17"/>
      <c r="AH267" s="17"/>
      <c r="AI267" s="17"/>
      <c r="AJ267" s="17"/>
      <c r="AK267" s="17"/>
      <c r="AL267" s="17"/>
      <c r="AM267" s="17"/>
      <c r="AN267" s="17"/>
      <c r="AO267" s="17"/>
      <c r="AP267" s="17"/>
      <c r="AQ267" s="17"/>
      <c r="AR267" s="17"/>
      <c r="AS267" s="17"/>
      <c r="AT267" s="17"/>
      <c r="AU267" s="17"/>
    </row>
    <row r="268" spans="1:47" ht="15" hidden="1" customHeight="1">
      <c r="A268" s="60">
        <f>ROW() - ROW(Table1[[#Headers],[s]])</f>
        <v>267</v>
      </c>
      <c r="B268" s="60" t="s">
        <v>1253</v>
      </c>
      <c r="C268" s="61">
        <v>46054</v>
      </c>
      <c r="D268" s="63" t="s">
        <v>1254</v>
      </c>
      <c r="E268" s="60" t="e" vm="143">
        <v>#VALUE!</v>
      </c>
      <c r="F268" s="60" t="e" vm="5">
        <v>#VALUE!</v>
      </c>
      <c r="G268" s="43" t="s">
        <v>174</v>
      </c>
      <c r="H268" s="60" t="s">
        <v>245</v>
      </c>
      <c r="I268" s="42" t="s">
        <v>175</v>
      </c>
      <c r="J268" s="67" t="s">
        <v>253</v>
      </c>
      <c r="K268" s="60" t="s">
        <v>332</v>
      </c>
      <c r="L268" s="65">
        <v>46074.740972222222</v>
      </c>
      <c r="M268" s="67" t="s">
        <v>1255</v>
      </c>
      <c r="N268" s="67" t="s">
        <v>1256</v>
      </c>
      <c r="O268" s="71">
        <v>46074.333333333336</v>
      </c>
      <c r="P268" s="71">
        <v>46074.583333333336</v>
      </c>
      <c r="Q268" s="71">
        <v>46075.583333333336</v>
      </c>
      <c r="R268" s="60"/>
      <c r="S268" s="68" t="s">
        <v>1257</v>
      </c>
      <c r="T268" s="55" t="s">
        <v>266</v>
      </c>
      <c r="U268" s="60"/>
      <c r="V268" s="68" t="s">
        <v>1236</v>
      </c>
      <c r="W268" s="60"/>
      <c r="X268" s="60"/>
      <c r="Y268" s="60" t="s">
        <v>70</v>
      </c>
      <c r="Z268" s="87" t="s">
        <v>67</v>
      </c>
      <c r="AA268" s="60"/>
      <c r="AB268" s="60"/>
      <c r="AC268" s="60"/>
      <c r="AD268" s="60"/>
      <c r="AE268" s="69"/>
      <c r="AF268" s="17"/>
      <c r="AG268" s="17"/>
      <c r="AH268" s="17"/>
      <c r="AI268" s="17"/>
      <c r="AJ268" s="17"/>
      <c r="AK268" s="17"/>
      <c r="AL268" s="17"/>
      <c r="AM268" s="17"/>
      <c r="AN268" s="17"/>
      <c r="AO268" s="17"/>
      <c r="AP268" s="17"/>
      <c r="AQ268" s="17"/>
      <c r="AR268" s="17"/>
      <c r="AS268" s="17"/>
      <c r="AT268" s="17"/>
      <c r="AU268" s="17"/>
    </row>
    <row r="269" spans="1:47" s="24" customFormat="1" ht="15" hidden="1" customHeight="1">
      <c r="A269" s="87">
        <f>ROW() - ROW(Table1[[#Headers],[s]])</f>
        <v>268</v>
      </c>
      <c r="B269" s="87" t="s">
        <v>1258</v>
      </c>
      <c r="C269" s="88">
        <v>46054</v>
      </c>
      <c r="D269" s="89" t="s">
        <v>1259</v>
      </c>
      <c r="E269" s="87" t="e" vm="142">
        <v>#VALUE!</v>
      </c>
      <c r="F269" s="87" t="e" vm="2">
        <v>#VALUE!</v>
      </c>
      <c r="G269" s="90" t="s">
        <v>174</v>
      </c>
      <c r="H269" s="87" t="s">
        <v>245</v>
      </c>
      <c r="I269" s="42" t="s">
        <v>175</v>
      </c>
      <c r="J269" s="323" t="s">
        <v>253</v>
      </c>
      <c r="K269" s="87" t="s">
        <v>154</v>
      </c>
      <c r="L269" s="91">
        <v>46075.050694444442</v>
      </c>
      <c r="M269" s="323" t="s">
        <v>162</v>
      </c>
      <c r="N269" s="323" t="s">
        <v>162</v>
      </c>
      <c r="O269" s="91">
        <v>46075.291666666664</v>
      </c>
      <c r="P269" s="91">
        <v>46075.326388888891</v>
      </c>
      <c r="Q269" s="91">
        <v>46075.553472222222</v>
      </c>
      <c r="R269" s="87"/>
      <c r="S269" s="92" t="s">
        <v>1260</v>
      </c>
      <c r="T269" s="134" t="s">
        <v>1261</v>
      </c>
      <c r="U269" s="87"/>
      <c r="V269" s="92" t="s">
        <v>1262</v>
      </c>
      <c r="W269" s="87"/>
      <c r="X269" s="87"/>
      <c r="Y269" s="87" t="s">
        <v>70</v>
      </c>
      <c r="Z269" s="87" t="s">
        <v>67</v>
      </c>
      <c r="AA269" s="87"/>
      <c r="AB269" s="87"/>
      <c r="AC269" s="87"/>
      <c r="AD269" s="87"/>
      <c r="AE269" s="93"/>
      <c r="AF269" s="27"/>
      <c r="AG269" s="27"/>
      <c r="AH269" s="27"/>
      <c r="AI269" s="27"/>
      <c r="AJ269" s="27"/>
      <c r="AK269" s="27"/>
      <c r="AL269" s="27"/>
      <c r="AM269" s="27"/>
      <c r="AN269" s="27"/>
      <c r="AO269" s="27"/>
      <c r="AP269" s="27"/>
      <c r="AQ269" s="27"/>
      <c r="AR269" s="27"/>
      <c r="AS269" s="27"/>
      <c r="AT269" s="27"/>
      <c r="AU269" s="27"/>
    </row>
    <row r="270" spans="1:47" ht="15" hidden="1" customHeight="1">
      <c r="A270" s="87">
        <f>ROW() - ROW(Table1[[#Headers],[s]])</f>
        <v>269</v>
      </c>
      <c r="B270" s="87" t="s">
        <v>1263</v>
      </c>
      <c r="C270" s="88" t="s">
        <v>60</v>
      </c>
      <c r="D270" s="89" t="s">
        <v>1264</v>
      </c>
      <c r="E270" s="87" t="e" vm="142">
        <v>#VALUE!</v>
      </c>
      <c r="F270" s="87" t="e" vm="2">
        <v>#VALUE!</v>
      </c>
      <c r="G270" s="90" t="s">
        <v>174</v>
      </c>
      <c r="H270" s="87" t="s">
        <v>152</v>
      </c>
      <c r="I270" s="61" t="s">
        <v>60</v>
      </c>
      <c r="J270" s="323" t="s">
        <v>153</v>
      </c>
      <c r="K270" s="42" t="s">
        <v>154</v>
      </c>
      <c r="L270" s="91">
        <v>46075.44027777778</v>
      </c>
      <c r="M270" s="323" t="s">
        <v>162</v>
      </c>
      <c r="N270" s="323" t="s">
        <v>162</v>
      </c>
      <c r="O270" s="91"/>
      <c r="P270" s="91"/>
      <c r="Q270" s="91"/>
      <c r="R270" s="87"/>
      <c r="S270" s="87" t="s">
        <v>1252</v>
      </c>
      <c r="T270" s="55" t="s">
        <v>179</v>
      </c>
      <c r="U270" s="87"/>
      <c r="V270" s="92"/>
      <c r="W270" s="87"/>
      <c r="X270" s="87"/>
      <c r="Y270" s="87" t="s">
        <v>179</v>
      </c>
      <c r="Z270" s="87" t="s">
        <v>179</v>
      </c>
      <c r="AA270" s="87"/>
      <c r="AB270" s="87"/>
      <c r="AC270" s="87"/>
      <c r="AD270" s="87"/>
      <c r="AE270" s="93"/>
      <c r="AF270" s="27"/>
      <c r="AG270" s="27"/>
      <c r="AH270" s="27"/>
      <c r="AI270" s="27"/>
      <c r="AJ270" s="27"/>
      <c r="AK270" s="27"/>
      <c r="AL270" s="27"/>
      <c r="AM270" s="27"/>
      <c r="AN270" s="27"/>
      <c r="AO270" s="27"/>
      <c r="AP270" s="27"/>
      <c r="AQ270" s="27"/>
      <c r="AR270" s="27"/>
      <c r="AS270" s="27"/>
      <c r="AT270" s="27"/>
      <c r="AU270" s="27"/>
    </row>
    <row r="271" spans="1:47" ht="15" hidden="1" customHeight="1">
      <c r="A271" s="60">
        <f>ROW() - ROW(Table1[[#Headers],[s]])</f>
        <v>270</v>
      </c>
      <c r="B271" s="60" t="s">
        <v>1265</v>
      </c>
      <c r="C271" s="61">
        <v>46054</v>
      </c>
      <c r="D271" s="63" t="s">
        <v>1266</v>
      </c>
      <c r="E271" s="60" t="s">
        <v>316</v>
      </c>
      <c r="F271" s="60" t="e" vm="26">
        <v>#VALUE!</v>
      </c>
      <c r="G271" s="43" t="s">
        <v>174</v>
      </c>
      <c r="H271" s="60" t="s">
        <v>747</v>
      </c>
      <c r="I271" s="42" t="s">
        <v>175</v>
      </c>
      <c r="J271" s="67" t="s">
        <v>253</v>
      </c>
      <c r="K271" s="60" t="s">
        <v>154</v>
      </c>
      <c r="L271" s="65">
        <v>46074.754166666666</v>
      </c>
      <c r="M271" s="67" t="s">
        <v>1023</v>
      </c>
      <c r="N271" s="67" t="s">
        <v>1023</v>
      </c>
      <c r="O271" s="65">
        <v>46074.833333333336</v>
      </c>
      <c r="P271" s="65">
        <v>46074.833333333336</v>
      </c>
      <c r="Q271" s="65">
        <v>46074.984027777777</v>
      </c>
      <c r="R271" s="60"/>
      <c r="S271" s="68" t="s">
        <v>1267</v>
      </c>
      <c r="T271" s="55" t="s">
        <v>478</v>
      </c>
      <c r="U271" s="60"/>
      <c r="V271" s="68" t="s">
        <v>1268</v>
      </c>
      <c r="W271" s="60"/>
      <c r="X271" s="60"/>
      <c r="Y271" s="60" t="s">
        <v>158</v>
      </c>
      <c r="Z271" s="60" t="s">
        <v>70</v>
      </c>
      <c r="AA271" s="60"/>
      <c r="AB271" s="60"/>
      <c r="AC271" s="60"/>
      <c r="AD271" s="60"/>
      <c r="AE271" s="69"/>
      <c r="AF271" s="17"/>
      <c r="AG271" s="17"/>
      <c r="AH271" s="17"/>
      <c r="AI271" s="17"/>
      <c r="AJ271" s="17"/>
      <c r="AK271" s="17"/>
      <c r="AL271" s="17"/>
      <c r="AM271" s="17"/>
      <c r="AN271" s="17"/>
      <c r="AO271" s="17"/>
      <c r="AP271" s="17"/>
      <c r="AQ271" s="17"/>
      <c r="AR271" s="17"/>
      <c r="AS271" s="17"/>
      <c r="AT271" s="17"/>
      <c r="AU271" s="17"/>
    </row>
    <row r="272" spans="1:47" s="24" customFormat="1" ht="15" hidden="1" customHeight="1">
      <c r="A272" s="87">
        <f>ROW() - ROW(Table1[[#Headers],[s]])</f>
        <v>271</v>
      </c>
      <c r="B272" s="87" t="s">
        <v>1269</v>
      </c>
      <c r="C272" s="88">
        <v>46054</v>
      </c>
      <c r="D272" s="89" t="s">
        <v>1270</v>
      </c>
      <c r="E272" s="87" t="e" vm="9">
        <v>#VALUE!</v>
      </c>
      <c r="F272" s="87" t="e" vm="10">
        <v>#VALUE!</v>
      </c>
      <c r="G272" s="90" t="s">
        <v>174</v>
      </c>
      <c r="H272" s="87" t="s">
        <v>747</v>
      </c>
      <c r="I272" s="42" t="s">
        <v>175</v>
      </c>
      <c r="J272" s="323" t="s">
        <v>253</v>
      </c>
      <c r="K272" s="87" t="s">
        <v>154</v>
      </c>
      <c r="L272" s="91">
        <v>46075.797222222223</v>
      </c>
      <c r="M272" s="323" t="s">
        <v>78</v>
      </c>
      <c r="N272" s="55" t="s">
        <v>78</v>
      </c>
      <c r="O272" s="91">
        <v>46075.84375</v>
      </c>
      <c r="P272" s="91">
        <v>46075.864583333336</v>
      </c>
      <c r="Q272" s="91">
        <v>46075.966666666667</v>
      </c>
      <c r="R272" s="87"/>
      <c r="S272" s="92" t="s">
        <v>1271</v>
      </c>
      <c r="T272" s="134" t="s">
        <v>266</v>
      </c>
      <c r="U272" s="87"/>
      <c r="V272" s="92" t="s">
        <v>1272</v>
      </c>
      <c r="W272" s="87"/>
      <c r="X272" s="87"/>
      <c r="Y272" s="87" t="s">
        <v>158</v>
      </c>
      <c r="Z272" s="87" t="s">
        <v>70</v>
      </c>
      <c r="AA272" s="87"/>
      <c r="AB272" s="87"/>
      <c r="AC272" s="87"/>
      <c r="AD272" s="87"/>
      <c r="AE272" s="93"/>
      <c r="AF272" s="27"/>
      <c r="AG272" s="27"/>
      <c r="AH272" s="27"/>
      <c r="AI272" s="27"/>
      <c r="AJ272" s="27"/>
      <c r="AK272" s="27"/>
      <c r="AL272" s="27"/>
      <c r="AM272" s="27"/>
      <c r="AN272" s="27"/>
      <c r="AO272" s="27"/>
      <c r="AP272" s="27"/>
      <c r="AQ272" s="27"/>
      <c r="AR272" s="27"/>
      <c r="AS272" s="27"/>
      <c r="AT272" s="27"/>
      <c r="AU272" s="27"/>
    </row>
    <row r="273" spans="1:47" ht="15" hidden="1" customHeight="1">
      <c r="A273" s="42">
        <f>ROW() - ROW(Table1[[#Headers],[s]])</f>
        <v>272</v>
      </c>
      <c r="B273" s="42" t="s">
        <v>1273</v>
      </c>
      <c r="C273" s="51">
        <v>46054</v>
      </c>
      <c r="D273" s="52" t="s">
        <v>1274</v>
      </c>
      <c r="E273" s="42" t="e" vm="144">
        <v>#VALUE!</v>
      </c>
      <c r="F273" s="42" t="e" vm="39">
        <v>#VALUE!</v>
      </c>
      <c r="G273" s="43" t="s">
        <v>151</v>
      </c>
      <c r="H273" s="42" t="s">
        <v>245</v>
      </c>
      <c r="I273" s="60" t="s">
        <v>43</v>
      </c>
      <c r="J273" s="55" t="s">
        <v>253</v>
      </c>
      <c r="K273" s="42" t="s">
        <v>154</v>
      </c>
      <c r="L273" s="44">
        <v>46076.378472222219</v>
      </c>
      <c r="M273" s="55" t="s">
        <v>1275</v>
      </c>
      <c r="N273" s="55" t="s">
        <v>1275</v>
      </c>
      <c r="O273" s="56">
        <v>46076.486805555556</v>
      </c>
      <c r="P273" s="57">
        <v>46076.694444444445</v>
      </c>
      <c r="Q273" s="132">
        <v>46077.000694444447</v>
      </c>
      <c r="R273" s="42"/>
      <c r="S273" s="53" t="s">
        <v>1276</v>
      </c>
      <c r="T273" s="55" t="s">
        <v>164</v>
      </c>
      <c r="U273" s="42"/>
      <c r="V273" s="53" t="s">
        <v>1277</v>
      </c>
      <c r="W273" s="42"/>
      <c r="X273" s="42"/>
      <c r="Y273" s="42" t="s">
        <v>70</v>
      </c>
      <c r="Z273" s="42" t="s">
        <v>67</v>
      </c>
      <c r="AB273" s="42"/>
      <c r="AC273" s="42"/>
      <c r="AD273" s="42" t="s">
        <v>1278</v>
      </c>
      <c r="AE273" s="54"/>
    </row>
    <row r="274" spans="1:47" ht="15" hidden="1" customHeight="1">
      <c r="A274" s="60">
        <f>ROW() - ROW(Table1[[#Headers],[s]])</f>
        <v>273</v>
      </c>
      <c r="B274" s="60" t="s">
        <v>1279</v>
      </c>
      <c r="C274" s="61">
        <v>46054</v>
      </c>
      <c r="D274" s="63" t="s">
        <v>1280</v>
      </c>
      <c r="E274" s="60" t="e" vm="145">
        <v>#VALUE!</v>
      </c>
      <c r="F274" s="60" t="e" vm="16">
        <v>#VALUE!</v>
      </c>
      <c r="G274" s="64" t="s">
        <v>42</v>
      </c>
      <c r="H274" s="60" t="s">
        <v>152</v>
      </c>
      <c r="I274" s="60" t="s">
        <v>43</v>
      </c>
      <c r="J274" s="67" t="s">
        <v>153</v>
      </c>
      <c r="K274" s="60" t="s">
        <v>154</v>
      </c>
      <c r="L274" s="65">
        <v>46076.415972222225</v>
      </c>
      <c r="M274" s="67" t="s">
        <v>58</v>
      </c>
      <c r="N274" s="67" t="s">
        <v>58</v>
      </c>
      <c r="O274" s="71">
        <v>46076.597222222219</v>
      </c>
      <c r="P274" s="71">
        <v>46076.603472222225</v>
      </c>
      <c r="Q274" s="71">
        <v>46076.63958333333</v>
      </c>
      <c r="R274" s="60"/>
      <c r="S274" s="68" t="s">
        <v>1281</v>
      </c>
      <c r="T274" s="55" t="s">
        <v>164</v>
      </c>
      <c r="U274" s="60"/>
      <c r="V274" s="68" t="s">
        <v>1282</v>
      </c>
      <c r="W274" s="60"/>
      <c r="X274" s="60"/>
      <c r="Y274" s="60" t="s">
        <v>158</v>
      </c>
      <c r="Z274" s="60" t="s">
        <v>70</v>
      </c>
      <c r="AA274" s="60"/>
      <c r="AB274" s="60"/>
      <c r="AC274" s="60"/>
      <c r="AD274" s="60"/>
      <c r="AE274" s="69"/>
      <c r="AF274" s="17"/>
      <c r="AG274" s="17"/>
      <c r="AH274" s="17"/>
      <c r="AI274" s="17"/>
      <c r="AJ274" s="17"/>
      <c r="AK274" s="17"/>
      <c r="AL274" s="17"/>
      <c r="AM274" s="17"/>
      <c r="AN274" s="17"/>
      <c r="AO274" s="17"/>
      <c r="AP274" s="17"/>
      <c r="AQ274" s="17"/>
      <c r="AR274" s="17"/>
      <c r="AS274" s="17"/>
      <c r="AT274" s="17"/>
      <c r="AU274" s="17"/>
    </row>
    <row r="275" spans="1:47" ht="15" hidden="1" customHeight="1">
      <c r="A275" s="60">
        <f>ROW() - ROW(Table1[[#Headers],[s]])</f>
        <v>274</v>
      </c>
      <c r="B275" s="60" t="s">
        <v>1283</v>
      </c>
      <c r="C275" s="61">
        <v>46054</v>
      </c>
      <c r="D275" s="63" t="s">
        <v>1284</v>
      </c>
      <c r="E275" s="60" t="e" vm="131">
        <v>#VALUE!</v>
      </c>
      <c r="F275" s="60" t="e" vm="25">
        <v>#VALUE!</v>
      </c>
      <c r="G275" s="64" t="s">
        <v>42</v>
      </c>
      <c r="H275" s="60" t="s">
        <v>152</v>
      </c>
      <c r="I275" s="60" t="s">
        <v>43</v>
      </c>
      <c r="J275" s="67" t="s">
        <v>153</v>
      </c>
      <c r="K275" s="60" t="s">
        <v>154</v>
      </c>
      <c r="L275" s="65">
        <v>46076.45208333333</v>
      </c>
      <c r="M275" s="67" t="s">
        <v>72</v>
      </c>
      <c r="N275" s="67" t="s">
        <v>72</v>
      </c>
      <c r="O275" s="71">
        <v>46076.587500000001</v>
      </c>
      <c r="P275" s="282">
        <v>46076.588888888888</v>
      </c>
      <c r="Q275" s="282">
        <v>46076.601388888892</v>
      </c>
      <c r="R275" s="60"/>
      <c r="S275" s="68" t="s">
        <v>373</v>
      </c>
      <c r="T275" s="55" t="s">
        <v>164</v>
      </c>
      <c r="U275" s="60"/>
      <c r="V275" s="68" t="s">
        <v>1285</v>
      </c>
      <c r="W275" s="60"/>
      <c r="X275" s="60"/>
      <c r="Y275" s="60" t="s">
        <v>158</v>
      </c>
      <c r="Z275" s="60" t="s">
        <v>70</v>
      </c>
      <c r="AA275" s="60"/>
      <c r="AB275" s="60"/>
      <c r="AC275" s="60"/>
      <c r="AD275" s="60"/>
      <c r="AE275" s="69"/>
      <c r="AF275" s="17"/>
      <c r="AG275" s="17"/>
      <c r="AH275" s="17"/>
      <c r="AI275" s="17"/>
      <c r="AJ275" s="17"/>
      <c r="AK275" s="17"/>
      <c r="AL275" s="17"/>
      <c r="AM275" s="17"/>
      <c r="AN275" s="17"/>
      <c r="AO275" s="17"/>
      <c r="AP275" s="17"/>
      <c r="AQ275" s="17"/>
      <c r="AR275" s="17"/>
      <c r="AS275" s="17"/>
      <c r="AT275" s="17"/>
      <c r="AU275" s="17"/>
    </row>
    <row r="276" spans="1:47" ht="15" hidden="1" customHeight="1">
      <c r="A276" s="60">
        <f>ROW() - ROW(Table1[[#Headers],[s]])</f>
        <v>275</v>
      </c>
      <c r="B276" s="60" t="s">
        <v>1286</v>
      </c>
      <c r="C276" s="61">
        <v>46054</v>
      </c>
      <c r="D276" s="63" t="s">
        <v>1287</v>
      </c>
      <c r="E276" s="60" t="e" vm="9">
        <v>#VALUE!</v>
      </c>
      <c r="F276" s="60" t="e" vm="10">
        <v>#VALUE!</v>
      </c>
      <c r="G276" s="64" t="s">
        <v>42</v>
      </c>
      <c r="H276" s="60" t="s">
        <v>152</v>
      </c>
      <c r="I276" s="60" t="s">
        <v>43</v>
      </c>
      <c r="J276" s="67" t="s">
        <v>153</v>
      </c>
      <c r="K276" s="60" t="s">
        <v>154</v>
      </c>
      <c r="L276" s="65">
        <v>46076.53402777778</v>
      </c>
      <c r="M276" s="67" t="s">
        <v>78</v>
      </c>
      <c r="N276" s="55" t="s">
        <v>78</v>
      </c>
      <c r="O276" s="66">
        <v>46076.882638888892</v>
      </c>
      <c r="P276" s="66">
        <v>46076.884722222225</v>
      </c>
      <c r="Q276" s="66">
        <v>46076.897916666669</v>
      </c>
      <c r="R276" s="60"/>
      <c r="S276" s="68" t="s">
        <v>1288</v>
      </c>
      <c r="T276" s="55" t="s">
        <v>164</v>
      </c>
      <c r="U276" s="60"/>
      <c r="V276" s="68" t="s">
        <v>1289</v>
      </c>
      <c r="W276" s="60"/>
      <c r="X276" s="60"/>
      <c r="Y276" s="60" t="s">
        <v>158</v>
      </c>
      <c r="Z276" s="60" t="s">
        <v>70</v>
      </c>
      <c r="AA276" s="60"/>
      <c r="AB276" s="60"/>
      <c r="AC276" s="60"/>
      <c r="AD276" s="60"/>
      <c r="AE276" s="69"/>
      <c r="AF276" s="17"/>
      <c r="AG276" s="17"/>
      <c r="AH276" s="17"/>
      <c r="AI276" s="17"/>
      <c r="AJ276" s="17"/>
      <c r="AK276" s="17"/>
      <c r="AL276" s="17"/>
      <c r="AM276" s="17"/>
      <c r="AN276" s="17"/>
      <c r="AO276" s="17"/>
      <c r="AP276" s="17"/>
      <c r="AQ276" s="17"/>
      <c r="AR276" s="17"/>
      <c r="AS276" s="17"/>
      <c r="AT276" s="17"/>
      <c r="AU276" s="17"/>
    </row>
    <row r="277" spans="1:47" ht="15" hidden="1" customHeight="1">
      <c r="A277" s="60">
        <f>ROW() - ROW(Table1[[#Headers],[s]])</f>
        <v>276</v>
      </c>
      <c r="B277" s="60" t="s">
        <v>1290</v>
      </c>
      <c r="C277" s="61">
        <v>46054</v>
      </c>
      <c r="D277" s="63" t="s">
        <v>1291</v>
      </c>
      <c r="E277" s="60" t="e" vm="107">
        <v>#VALUE!</v>
      </c>
      <c r="F277" s="60" t="e" vm="23">
        <v>#VALUE!</v>
      </c>
      <c r="G277" s="64" t="s">
        <v>42</v>
      </c>
      <c r="H277" s="60" t="s">
        <v>152</v>
      </c>
      <c r="I277" s="60" t="s">
        <v>43</v>
      </c>
      <c r="J277" s="67" t="s">
        <v>153</v>
      </c>
      <c r="K277" s="60" t="s">
        <v>154</v>
      </c>
      <c r="L277" s="65">
        <v>46076.568749999999</v>
      </c>
      <c r="M277" s="67" t="s">
        <v>58</v>
      </c>
      <c r="N277" s="67" t="s">
        <v>58</v>
      </c>
      <c r="O277" s="66">
        <v>46077.430555555555</v>
      </c>
      <c r="P277" s="66">
        <v>46077.4375</v>
      </c>
      <c r="Q277" s="66">
        <v>46077.445833333331</v>
      </c>
      <c r="R277" s="60"/>
      <c r="S277" s="68" t="s">
        <v>1292</v>
      </c>
      <c r="T277" s="55" t="s">
        <v>164</v>
      </c>
      <c r="U277" s="60"/>
      <c r="V277" s="68" t="s">
        <v>1293</v>
      </c>
      <c r="W277" s="60"/>
      <c r="X277" s="60"/>
      <c r="Y277" s="60" t="s">
        <v>158</v>
      </c>
      <c r="Z277" s="280" t="s">
        <v>70</v>
      </c>
      <c r="AA277" s="60"/>
      <c r="AB277" s="60"/>
      <c r="AC277" s="60"/>
      <c r="AD277" s="60"/>
      <c r="AE277" s="69"/>
      <c r="AF277" s="17"/>
      <c r="AG277" s="17"/>
      <c r="AH277" s="17"/>
      <c r="AI277" s="17"/>
      <c r="AJ277" s="17"/>
      <c r="AK277" s="17"/>
      <c r="AL277" s="17"/>
      <c r="AM277" s="17"/>
      <c r="AN277" s="17"/>
      <c r="AO277" s="17"/>
      <c r="AP277" s="17"/>
      <c r="AQ277" s="17"/>
      <c r="AR277" s="17"/>
      <c r="AS277" s="17"/>
      <c r="AT277" s="17"/>
      <c r="AU277" s="17"/>
    </row>
    <row r="278" spans="1:47" ht="15" hidden="1" customHeight="1">
      <c r="A278" s="60">
        <f>ROW() - ROW(Table1[[#Headers],[s]])</f>
        <v>277</v>
      </c>
      <c r="B278" s="60" t="s">
        <v>1294</v>
      </c>
      <c r="C278" s="61">
        <v>46054</v>
      </c>
      <c r="D278" s="63" t="s">
        <v>1295</v>
      </c>
      <c r="E278" s="60" t="e" vm="9">
        <v>#VALUE!</v>
      </c>
      <c r="F278" s="60" t="e" vm="10">
        <v>#VALUE!</v>
      </c>
      <c r="G278" s="64" t="s">
        <v>42</v>
      </c>
      <c r="H278" s="60" t="s">
        <v>152</v>
      </c>
      <c r="I278" s="60" t="s">
        <v>43</v>
      </c>
      <c r="J278" s="67" t="s">
        <v>153</v>
      </c>
      <c r="K278" s="60" t="s">
        <v>154</v>
      </c>
      <c r="L278" s="65">
        <v>46076.572222222225</v>
      </c>
      <c r="M278" s="67" t="s">
        <v>78</v>
      </c>
      <c r="N278" s="55" t="s">
        <v>78</v>
      </c>
      <c r="O278" s="71">
        <v>46076.9375</v>
      </c>
      <c r="P278" s="71">
        <v>46076.9375</v>
      </c>
      <c r="Q278" s="71">
        <v>46076.965277777781</v>
      </c>
      <c r="R278" s="60"/>
      <c r="S278" s="68" t="s">
        <v>1296</v>
      </c>
      <c r="T278" s="55" t="s">
        <v>164</v>
      </c>
      <c r="U278" s="60"/>
      <c r="V278" s="68" t="s">
        <v>1293</v>
      </c>
      <c r="W278" s="60"/>
      <c r="X278" s="60"/>
      <c r="Y278" s="60" t="s">
        <v>70</v>
      </c>
      <c r="Z278" s="60" t="s">
        <v>70</v>
      </c>
      <c r="AA278" s="60"/>
      <c r="AB278" s="60"/>
      <c r="AC278" s="60"/>
      <c r="AD278" s="60"/>
      <c r="AE278" s="69"/>
      <c r="AF278" s="17"/>
      <c r="AG278" s="17"/>
      <c r="AH278" s="17"/>
      <c r="AI278" s="17"/>
      <c r="AJ278" s="17"/>
      <c r="AK278" s="17"/>
      <c r="AL278" s="17"/>
      <c r="AM278" s="17"/>
      <c r="AN278" s="17"/>
      <c r="AO278" s="17"/>
      <c r="AP278" s="17"/>
      <c r="AQ278" s="17"/>
      <c r="AR278" s="17"/>
      <c r="AS278" s="17"/>
      <c r="AT278" s="17"/>
      <c r="AU278" s="17"/>
    </row>
    <row r="279" spans="1:47" ht="15" hidden="1" customHeight="1">
      <c r="A279" s="60">
        <f>ROW() - ROW(Table1[[#Headers],[s]])</f>
        <v>278</v>
      </c>
      <c r="B279" s="60" t="s">
        <v>1297</v>
      </c>
      <c r="C279" s="61">
        <v>46054</v>
      </c>
      <c r="D279" s="63" t="s">
        <v>1298</v>
      </c>
      <c r="E279" s="60" t="e" vm="9">
        <v>#VALUE!</v>
      </c>
      <c r="F279" s="60" t="e" vm="10">
        <v>#VALUE!</v>
      </c>
      <c r="G279" s="64" t="s">
        <v>42</v>
      </c>
      <c r="H279" s="60" t="s">
        <v>152</v>
      </c>
      <c r="I279" s="60" t="s">
        <v>43</v>
      </c>
      <c r="J279" s="67" t="s">
        <v>153</v>
      </c>
      <c r="K279" s="60" t="s">
        <v>154</v>
      </c>
      <c r="L279" s="65">
        <v>46076.677083333336</v>
      </c>
      <c r="M279" s="67" t="s">
        <v>78</v>
      </c>
      <c r="N279" s="55" t="s">
        <v>78</v>
      </c>
      <c r="O279" s="71">
        <v>46076.982638888891</v>
      </c>
      <c r="P279" s="71">
        <v>46076.982638888891</v>
      </c>
      <c r="Q279" s="71">
        <v>46077</v>
      </c>
      <c r="R279" s="60"/>
      <c r="S279" s="68" t="s">
        <v>1299</v>
      </c>
      <c r="T279" s="55" t="s">
        <v>164</v>
      </c>
      <c r="U279" s="60"/>
      <c r="V279" s="68" t="s">
        <v>1113</v>
      </c>
      <c r="W279" s="60"/>
      <c r="X279" s="60"/>
      <c r="Y279" s="60" t="s">
        <v>158</v>
      </c>
      <c r="Z279" s="60" t="s">
        <v>70</v>
      </c>
      <c r="AA279" s="60"/>
      <c r="AB279" s="60"/>
      <c r="AC279" s="60"/>
      <c r="AD279" s="60"/>
      <c r="AE279" s="69"/>
      <c r="AF279" s="17"/>
      <c r="AG279" s="17"/>
      <c r="AH279" s="17"/>
      <c r="AI279" s="17"/>
      <c r="AJ279" s="17"/>
      <c r="AK279" s="17"/>
      <c r="AL279" s="17"/>
      <c r="AM279" s="17"/>
      <c r="AN279" s="17"/>
      <c r="AO279" s="17"/>
      <c r="AP279" s="17"/>
      <c r="AQ279" s="17"/>
      <c r="AR279" s="17"/>
      <c r="AS279" s="17"/>
      <c r="AT279" s="17"/>
      <c r="AU279" s="17"/>
    </row>
    <row r="280" spans="1:47" ht="15" hidden="1" customHeight="1">
      <c r="A280" s="60">
        <f>ROW() - ROW(Table1[[#Headers],[s]])</f>
        <v>279</v>
      </c>
      <c r="B280" s="60" t="s">
        <v>1300</v>
      </c>
      <c r="C280" s="61">
        <v>46054</v>
      </c>
      <c r="D280" s="135" t="s">
        <v>1301</v>
      </c>
      <c r="E280" s="87" t="e" vm="146">
        <v>#VALUE!</v>
      </c>
      <c r="F280" s="70" t="e" vm="26">
        <v>#VALUE!</v>
      </c>
      <c r="G280" s="64" t="s">
        <v>42</v>
      </c>
      <c r="H280" s="60" t="s">
        <v>747</v>
      </c>
      <c r="I280" s="87" t="s">
        <v>1302</v>
      </c>
      <c r="J280" s="67" t="s">
        <v>253</v>
      </c>
      <c r="K280" s="60" t="s">
        <v>1303</v>
      </c>
      <c r="L280" s="65">
        <v>46076.87777777778</v>
      </c>
      <c r="M280" s="67" t="s">
        <v>800</v>
      </c>
      <c r="N280" s="67" t="s">
        <v>800</v>
      </c>
      <c r="O280" s="64"/>
      <c r="P280" s="60"/>
      <c r="Q280" s="66">
        <v>46077.604166666664</v>
      </c>
      <c r="R280" s="60"/>
      <c r="S280" s="68" t="s">
        <v>1304</v>
      </c>
      <c r="T280" s="55" t="s">
        <v>164</v>
      </c>
      <c r="U280" s="60" t="s">
        <v>1305</v>
      </c>
      <c r="V280" s="68" t="s">
        <v>1306</v>
      </c>
      <c r="W280" s="60"/>
      <c r="X280" s="60"/>
      <c r="Y280" s="60" t="s">
        <v>70</v>
      </c>
      <c r="Z280" s="60" t="s">
        <v>70</v>
      </c>
      <c r="AA280" s="60" t="s">
        <v>1307</v>
      </c>
      <c r="AB280" s="60"/>
      <c r="AC280" s="60"/>
      <c r="AD280" s="60"/>
      <c r="AE280" s="69"/>
      <c r="AF280" s="17"/>
      <c r="AG280" s="17"/>
      <c r="AH280" s="17"/>
      <c r="AI280" s="17"/>
      <c r="AJ280" s="17"/>
      <c r="AK280" s="17"/>
      <c r="AL280" s="17"/>
      <c r="AM280" s="17"/>
      <c r="AN280" s="17"/>
      <c r="AO280" s="17"/>
      <c r="AP280" s="17"/>
      <c r="AQ280" s="17"/>
      <c r="AR280" s="17"/>
      <c r="AS280" s="17"/>
      <c r="AT280" s="17"/>
      <c r="AU280" s="17"/>
    </row>
    <row r="281" spans="1:47" ht="15" hidden="1" customHeight="1">
      <c r="A281" s="60">
        <f>ROW() - ROW(Table1[[#Headers],[s]])</f>
        <v>280</v>
      </c>
      <c r="B281" s="60" t="s">
        <v>1308</v>
      </c>
      <c r="C281" s="61">
        <v>46054</v>
      </c>
      <c r="D281" s="89" t="s">
        <v>1309</v>
      </c>
      <c r="E281" s="87" t="e" vm="147">
        <v>#VALUE!</v>
      </c>
      <c r="F281" s="70" t="e" vm="16">
        <v>#VALUE!</v>
      </c>
      <c r="G281" s="64" t="s">
        <v>42</v>
      </c>
      <c r="H281" s="60" t="s">
        <v>152</v>
      </c>
      <c r="I281" s="60" t="s">
        <v>43</v>
      </c>
      <c r="J281" s="67" t="s">
        <v>153</v>
      </c>
      <c r="K281" s="60" t="s">
        <v>154</v>
      </c>
      <c r="L281" s="65">
        <v>46076.570138888892</v>
      </c>
      <c r="M281" s="67" t="s">
        <v>47</v>
      </c>
      <c r="N281" s="67" t="s">
        <v>47</v>
      </c>
      <c r="O281" s="71">
        <v>46078.347222222219</v>
      </c>
      <c r="P281" s="71">
        <v>46078.35</v>
      </c>
      <c r="Q281" s="71">
        <v>46078.357638888891</v>
      </c>
      <c r="R281" s="60"/>
      <c r="S281" s="68" t="s">
        <v>1310</v>
      </c>
      <c r="T281" s="55" t="s">
        <v>164</v>
      </c>
      <c r="U281" s="60"/>
      <c r="V281" s="68" t="s">
        <v>1311</v>
      </c>
      <c r="W281" s="60"/>
      <c r="X281" s="60"/>
      <c r="Y281" s="60" t="s">
        <v>158</v>
      </c>
      <c r="Z281" s="280" t="s">
        <v>70</v>
      </c>
      <c r="AA281" s="60"/>
      <c r="AB281" s="60"/>
      <c r="AC281" s="60"/>
      <c r="AD281" s="60"/>
      <c r="AE281" s="69"/>
      <c r="AF281" s="17"/>
      <c r="AG281" s="17"/>
      <c r="AH281" s="17"/>
      <c r="AI281" s="17"/>
      <c r="AJ281" s="17"/>
      <c r="AK281" s="17"/>
      <c r="AL281" s="17"/>
      <c r="AM281" s="17"/>
      <c r="AN281" s="17"/>
      <c r="AO281" s="17"/>
      <c r="AP281" s="17"/>
      <c r="AQ281" s="17"/>
      <c r="AR281" s="17"/>
      <c r="AS281" s="17"/>
      <c r="AT281" s="17"/>
      <c r="AU281" s="17"/>
    </row>
    <row r="282" spans="1:47" ht="15" customHeight="1">
      <c r="A282" s="60">
        <f>ROW() - ROW(Table1[[#Headers],[s]])</f>
        <v>281</v>
      </c>
      <c r="B282" s="63" t="s">
        <v>1312</v>
      </c>
      <c r="C282" s="61">
        <v>46054</v>
      </c>
      <c r="D282" s="63" t="s">
        <v>1313</v>
      </c>
      <c r="E282" s="60" t="e" vm="9">
        <v>#VALUE!</v>
      </c>
      <c r="F282" s="60" t="e" vm="10">
        <v>#VALUE!</v>
      </c>
      <c r="G282" s="64" t="s">
        <v>186</v>
      </c>
      <c r="H282" s="60" t="s">
        <v>152</v>
      </c>
      <c r="I282" s="78" t="s">
        <v>43</v>
      </c>
      <c r="J282" s="67" t="s">
        <v>153</v>
      </c>
      <c r="K282" s="60" t="s">
        <v>154</v>
      </c>
      <c r="L282" s="65">
        <v>46077.452777777777</v>
      </c>
      <c r="M282" s="67" t="s">
        <v>78</v>
      </c>
      <c r="N282" s="55" t="s">
        <v>78</v>
      </c>
      <c r="O282" s="71">
        <v>46077.625</v>
      </c>
      <c r="P282" s="72">
        <v>46077.631944444445</v>
      </c>
      <c r="Q282" s="66">
        <v>46077.740277777775</v>
      </c>
      <c r="R282" s="60"/>
      <c r="S282" s="68" t="s">
        <v>1314</v>
      </c>
      <c r="T282" s="55" t="s">
        <v>164</v>
      </c>
      <c r="U282" s="60"/>
      <c r="V282" s="68" t="s">
        <v>581</v>
      </c>
      <c r="W282" s="60"/>
      <c r="X282" s="60"/>
      <c r="Y282" s="60" t="s">
        <v>158</v>
      </c>
      <c r="Z282" s="60" t="s">
        <v>70</v>
      </c>
      <c r="AA282" s="60"/>
      <c r="AB282" s="60"/>
      <c r="AC282" s="60"/>
      <c r="AD282" s="60"/>
      <c r="AE282" s="69"/>
      <c r="AF282" s="17"/>
      <c r="AG282" s="17"/>
      <c r="AH282" s="17"/>
      <c r="AI282" s="17"/>
      <c r="AJ282" s="17"/>
      <c r="AK282" s="17"/>
      <c r="AL282" s="17"/>
      <c r="AM282" s="17"/>
      <c r="AN282" s="17"/>
      <c r="AO282" s="17"/>
      <c r="AP282" s="17"/>
      <c r="AQ282" s="17"/>
      <c r="AR282" s="17"/>
      <c r="AS282" s="17"/>
      <c r="AT282" s="17"/>
      <c r="AU282" s="17"/>
    </row>
    <row r="283" spans="1:47" ht="15" customHeight="1">
      <c r="A283" s="60">
        <f>ROW() - ROW(Table1[[#Headers],[s]])</f>
        <v>282</v>
      </c>
      <c r="B283" s="60" t="s">
        <v>1315</v>
      </c>
      <c r="C283" s="61">
        <v>46054</v>
      </c>
      <c r="D283" s="63" t="s">
        <v>1316</v>
      </c>
      <c r="E283" s="60" t="e" vm="148">
        <v>#VALUE!</v>
      </c>
      <c r="F283" s="60" t="e" vm="5">
        <v>#VALUE!</v>
      </c>
      <c r="G283" s="64" t="s">
        <v>186</v>
      </c>
      <c r="H283" s="60" t="s">
        <v>152</v>
      </c>
      <c r="I283" s="42" t="s">
        <v>43</v>
      </c>
      <c r="J283" s="67" t="s">
        <v>153</v>
      </c>
      <c r="K283" s="60" t="s">
        <v>154</v>
      </c>
      <c r="L283" s="65">
        <v>46077.498611111114</v>
      </c>
      <c r="M283" s="67" t="s">
        <v>55</v>
      </c>
      <c r="N283" s="67" t="s">
        <v>55</v>
      </c>
      <c r="O283" s="71">
        <v>46077.583333333336</v>
      </c>
      <c r="P283" s="72">
        <v>46077.590277777781</v>
      </c>
      <c r="Q283" s="66">
        <v>46077.782638888886</v>
      </c>
      <c r="R283" s="60"/>
      <c r="S283" s="68" t="s">
        <v>1317</v>
      </c>
      <c r="T283" s="55" t="s">
        <v>164</v>
      </c>
      <c r="U283" s="60"/>
      <c r="V283" s="53" t="s">
        <v>1318</v>
      </c>
      <c r="W283" s="60"/>
      <c r="X283" s="60"/>
      <c r="Y283" s="60" t="s">
        <v>158</v>
      </c>
      <c r="Z283" s="60" t="s">
        <v>67</v>
      </c>
      <c r="AB283" s="60"/>
      <c r="AC283" s="60"/>
      <c r="AD283" s="60"/>
      <c r="AE283" s="69"/>
      <c r="AF283" s="17"/>
      <c r="AG283" s="17"/>
      <c r="AH283" s="17"/>
      <c r="AI283" s="17"/>
      <c r="AJ283" s="17"/>
      <c r="AK283" s="17"/>
      <c r="AL283" s="17"/>
      <c r="AM283" s="17"/>
      <c r="AN283" s="17"/>
      <c r="AO283" s="17"/>
      <c r="AP283" s="17"/>
      <c r="AQ283" s="17"/>
      <c r="AR283" s="17"/>
      <c r="AS283" s="17"/>
      <c r="AT283" s="17"/>
      <c r="AU283" s="17"/>
    </row>
    <row r="284" spans="1:47" ht="15.75" customHeight="1">
      <c r="A284" s="60">
        <f>ROW() - ROW(Table1[[#Headers],[s]])</f>
        <v>283</v>
      </c>
      <c r="B284" s="60" t="s">
        <v>1319</v>
      </c>
      <c r="C284" s="61">
        <v>46054</v>
      </c>
      <c r="D284" s="52" t="s">
        <v>1320</v>
      </c>
      <c r="E284" s="60" t="e" vm="83">
        <v>#VALUE!</v>
      </c>
      <c r="F284" s="60" t="e" vm="37">
        <v>#VALUE!</v>
      </c>
      <c r="G284" s="64" t="s">
        <v>186</v>
      </c>
      <c r="H284" s="60" t="s">
        <v>245</v>
      </c>
      <c r="I284" s="42" t="s">
        <v>43</v>
      </c>
      <c r="J284" s="67" t="s">
        <v>253</v>
      </c>
      <c r="K284" s="60" t="s">
        <v>154</v>
      </c>
      <c r="L284" s="65">
        <v>46077.520138888889</v>
      </c>
      <c r="M284" s="67" t="s">
        <v>1321</v>
      </c>
      <c r="N284" s="67" t="s">
        <v>1321</v>
      </c>
      <c r="O284" s="71">
        <v>46077.5625</v>
      </c>
      <c r="P284" s="72">
        <v>46077.604166666664</v>
      </c>
      <c r="Q284" s="66">
        <v>46078.759722222225</v>
      </c>
      <c r="R284" s="60"/>
      <c r="S284" s="224" t="s">
        <v>1322</v>
      </c>
      <c r="T284" s="55" t="s">
        <v>164</v>
      </c>
      <c r="U284" s="60"/>
      <c r="V284" s="68" t="s">
        <v>299</v>
      </c>
      <c r="W284" s="60"/>
      <c r="X284" s="60"/>
      <c r="Y284" s="60" t="s">
        <v>158</v>
      </c>
      <c r="Z284" s="60" t="s">
        <v>67</v>
      </c>
      <c r="AB284" s="60"/>
      <c r="AC284" s="60"/>
      <c r="AD284" s="60"/>
      <c r="AE284" s="69"/>
      <c r="AF284" s="17"/>
      <c r="AG284" s="17"/>
      <c r="AH284" s="17"/>
      <c r="AI284" s="17"/>
      <c r="AJ284" s="17"/>
      <c r="AK284" s="17"/>
      <c r="AL284" s="17"/>
      <c r="AM284" s="17"/>
      <c r="AN284" s="17"/>
      <c r="AO284" s="17"/>
      <c r="AP284" s="17"/>
      <c r="AQ284" s="17"/>
      <c r="AR284" s="17"/>
      <c r="AS284" s="17"/>
      <c r="AT284" s="17"/>
      <c r="AU284" s="17"/>
    </row>
    <row r="285" spans="1:47" ht="15" customHeight="1">
      <c r="A285" s="60">
        <f>ROW() - ROW(Table1[[#Headers],[s]])</f>
        <v>284</v>
      </c>
      <c r="B285" s="60" t="s">
        <v>1323</v>
      </c>
      <c r="C285" s="61">
        <v>46054</v>
      </c>
      <c r="D285" s="63" t="s">
        <v>1324</v>
      </c>
      <c r="E285" s="60" t="e" vm="53">
        <v>#VALUE!</v>
      </c>
      <c r="F285" s="60" t="e" vm="12">
        <v>#VALUE!</v>
      </c>
      <c r="G285" s="64" t="s">
        <v>186</v>
      </c>
      <c r="H285" s="60" t="s">
        <v>747</v>
      </c>
      <c r="I285" s="42" t="s">
        <v>43</v>
      </c>
      <c r="J285" s="67" t="s">
        <v>253</v>
      </c>
      <c r="K285" s="60" t="s">
        <v>154</v>
      </c>
      <c r="L285" s="65">
        <v>46077.563888888886</v>
      </c>
      <c r="M285" s="67" t="s">
        <v>566</v>
      </c>
      <c r="N285" s="67" t="s">
        <v>566</v>
      </c>
      <c r="O285" s="71">
        <v>46077.625</v>
      </c>
      <c r="P285" s="72">
        <v>46077.645833333336</v>
      </c>
      <c r="Q285" s="66">
        <v>46079.779166666667</v>
      </c>
      <c r="R285" s="60"/>
      <c r="S285" s="68" t="s">
        <v>1325</v>
      </c>
      <c r="T285" s="55" t="s">
        <v>164</v>
      </c>
      <c r="U285" s="60"/>
      <c r="V285" s="68" t="s">
        <v>1326</v>
      </c>
      <c r="W285" s="60"/>
      <c r="X285" s="60"/>
      <c r="Y285" s="60" t="s">
        <v>158</v>
      </c>
      <c r="Z285" s="60" t="s">
        <v>158</v>
      </c>
      <c r="AA285" s="60"/>
      <c r="AB285" s="60"/>
      <c r="AC285" s="60"/>
      <c r="AD285" s="60"/>
      <c r="AE285" s="69"/>
      <c r="AF285" s="17"/>
      <c r="AG285" s="17"/>
      <c r="AH285" s="17"/>
      <c r="AI285" s="17"/>
      <c r="AJ285" s="17"/>
      <c r="AK285" s="17"/>
      <c r="AL285" s="17"/>
      <c r="AM285" s="17"/>
      <c r="AN285" s="17"/>
      <c r="AO285" s="17"/>
      <c r="AP285" s="17"/>
      <c r="AQ285" s="17"/>
      <c r="AR285" s="17"/>
      <c r="AS285" s="17"/>
      <c r="AT285" s="17"/>
      <c r="AU285" s="17"/>
    </row>
    <row r="286" spans="1:47" ht="15.75" customHeight="1">
      <c r="A286" s="60">
        <f>ROW() - ROW(Table1[[#Headers],[s]])</f>
        <v>285</v>
      </c>
      <c r="B286" s="119" t="s">
        <v>1294</v>
      </c>
      <c r="C286" s="75">
        <v>46054</v>
      </c>
      <c r="D286" s="63" t="s">
        <v>1327</v>
      </c>
      <c r="E286" s="60" t="e" vm="9">
        <v>#VALUE!</v>
      </c>
      <c r="F286" s="60" t="e" vm="10">
        <v>#VALUE!</v>
      </c>
      <c r="G286" s="64" t="s">
        <v>186</v>
      </c>
      <c r="H286" s="60" t="s">
        <v>152</v>
      </c>
      <c r="I286" s="78" t="s">
        <v>43</v>
      </c>
      <c r="J286" s="67" t="s">
        <v>153</v>
      </c>
      <c r="K286" s="60" t="s">
        <v>154</v>
      </c>
      <c r="L286" s="65">
        <v>46077.677777777775</v>
      </c>
      <c r="M286" s="67" t="s">
        <v>78</v>
      </c>
      <c r="N286" s="55" t="s">
        <v>78</v>
      </c>
      <c r="O286" s="71">
        <v>46077.75</v>
      </c>
      <c r="P286" s="72">
        <v>46077.756944444445</v>
      </c>
      <c r="Q286" s="66">
        <v>46077.90347222222</v>
      </c>
      <c r="R286" s="60"/>
      <c r="S286" s="68" t="s">
        <v>1328</v>
      </c>
      <c r="T286" s="55" t="s">
        <v>164</v>
      </c>
      <c r="U286" s="60"/>
      <c r="V286" s="68" t="s">
        <v>1329</v>
      </c>
      <c r="W286" s="60"/>
      <c r="X286" s="60"/>
      <c r="Y286" s="60" t="s">
        <v>158</v>
      </c>
      <c r="Z286" s="60" t="s">
        <v>70</v>
      </c>
      <c r="AA286" s="60"/>
      <c r="AB286" s="60"/>
      <c r="AC286" s="60"/>
      <c r="AD286" s="60"/>
      <c r="AE286" s="69"/>
      <c r="AF286" s="17"/>
      <c r="AG286" s="17"/>
      <c r="AH286" s="17"/>
      <c r="AI286" s="17"/>
      <c r="AJ286" s="17"/>
      <c r="AK286" s="17"/>
      <c r="AL286" s="17"/>
      <c r="AM286" s="17"/>
      <c r="AN286" s="17"/>
      <c r="AO286" s="17"/>
      <c r="AP286" s="17"/>
      <c r="AQ286" s="17"/>
      <c r="AR286" s="17"/>
      <c r="AS286" s="17"/>
      <c r="AT286" s="17"/>
      <c r="AU286" s="17"/>
    </row>
    <row r="287" spans="1:47" ht="15.75" customHeight="1">
      <c r="A287" s="60">
        <f>ROW() - ROW(Table1[[#Headers],[s]])</f>
        <v>286</v>
      </c>
      <c r="B287" s="119" t="s">
        <v>1330</v>
      </c>
      <c r="C287" s="75">
        <v>46054</v>
      </c>
      <c r="D287" s="63" t="s">
        <v>1331</v>
      </c>
      <c r="E287" s="60" t="e" vm="9">
        <v>#VALUE!</v>
      </c>
      <c r="F287" s="60" t="e" vm="10">
        <v>#VALUE!</v>
      </c>
      <c r="G287" s="64" t="s">
        <v>186</v>
      </c>
      <c r="H287" s="60" t="s">
        <v>152</v>
      </c>
      <c r="I287" s="78" t="s">
        <v>43</v>
      </c>
      <c r="J287" s="67" t="s">
        <v>153</v>
      </c>
      <c r="K287" s="60" t="s">
        <v>154</v>
      </c>
      <c r="L287" s="65">
        <v>46077.61041666667</v>
      </c>
      <c r="M287" s="67" t="s">
        <v>78</v>
      </c>
      <c r="N287" s="55" t="s">
        <v>78</v>
      </c>
      <c r="O287" s="71">
        <v>46077.75</v>
      </c>
      <c r="P287" s="72">
        <v>46077.756944444445</v>
      </c>
      <c r="Q287" s="66">
        <v>46077.854166666664</v>
      </c>
      <c r="R287" s="60"/>
      <c r="S287" s="68" t="s">
        <v>1332</v>
      </c>
      <c r="T287" s="55" t="s">
        <v>1333</v>
      </c>
      <c r="U287" s="60"/>
      <c r="V287" s="68" t="s">
        <v>1334</v>
      </c>
      <c r="W287" s="60"/>
      <c r="X287" s="60"/>
      <c r="Y287" s="60" t="s">
        <v>158</v>
      </c>
      <c r="Z287" s="60" t="s">
        <v>70</v>
      </c>
      <c r="AA287" s="60"/>
      <c r="AB287" s="60"/>
      <c r="AC287" s="60"/>
      <c r="AD287" s="60"/>
      <c r="AE287" s="69"/>
      <c r="AF287" s="17"/>
      <c r="AG287" s="17"/>
      <c r="AH287" s="17"/>
      <c r="AI287" s="17"/>
      <c r="AJ287" s="17"/>
      <c r="AK287" s="17"/>
      <c r="AL287" s="17"/>
      <c r="AM287" s="17"/>
      <c r="AN287" s="17"/>
      <c r="AO287" s="17"/>
      <c r="AP287" s="17"/>
      <c r="AQ287" s="17"/>
      <c r="AR287" s="17"/>
      <c r="AS287" s="17"/>
      <c r="AT287" s="17"/>
      <c r="AU287" s="17"/>
    </row>
    <row r="288" spans="1:47" ht="15" hidden="1" customHeight="1">
      <c r="A288" s="60">
        <f>ROW() - ROW(Table1[[#Headers],[s]])</f>
        <v>287</v>
      </c>
      <c r="B288" s="60" t="s">
        <v>1335</v>
      </c>
      <c r="C288" s="61">
        <v>46054</v>
      </c>
      <c r="D288" s="63" t="s">
        <v>1336</v>
      </c>
      <c r="E288" s="60" t="e" vm="72">
        <v>#VALUE!</v>
      </c>
      <c r="F288" s="60" t="e" vm="25">
        <v>#VALUE!</v>
      </c>
      <c r="G288" s="64" t="s">
        <v>174</v>
      </c>
      <c r="H288" s="60" t="s">
        <v>152</v>
      </c>
      <c r="I288" s="42" t="s">
        <v>175</v>
      </c>
      <c r="J288" s="67" t="s">
        <v>153</v>
      </c>
      <c r="K288" s="60" t="s">
        <v>154</v>
      </c>
      <c r="L288" s="65">
        <v>46077.772222222222</v>
      </c>
      <c r="M288" s="67" t="s">
        <v>72</v>
      </c>
      <c r="N288" s="67" t="s">
        <v>72</v>
      </c>
      <c r="O288" s="65">
        <v>46078.333333333336</v>
      </c>
      <c r="P288" s="65">
        <v>46078.354166666664</v>
      </c>
      <c r="Q288" s="65">
        <v>46078.385416666664</v>
      </c>
      <c r="R288" s="60"/>
      <c r="S288" s="68" t="s">
        <v>1337</v>
      </c>
      <c r="T288" s="55" t="s">
        <v>1338</v>
      </c>
      <c r="U288" s="60"/>
      <c r="V288" s="68" t="s">
        <v>1339</v>
      </c>
      <c r="W288" s="60"/>
      <c r="X288" s="60"/>
      <c r="Y288" s="60" t="s">
        <v>158</v>
      </c>
      <c r="Z288" s="87" t="s">
        <v>67</v>
      </c>
      <c r="AA288" s="60"/>
      <c r="AB288" s="60"/>
      <c r="AC288" s="60"/>
      <c r="AD288" s="60"/>
      <c r="AE288" s="69"/>
      <c r="AF288" s="17"/>
      <c r="AG288" s="17"/>
      <c r="AH288" s="17"/>
      <c r="AI288" s="17"/>
      <c r="AJ288" s="17"/>
      <c r="AK288" s="17"/>
      <c r="AL288" s="17"/>
      <c r="AM288" s="17"/>
      <c r="AN288" s="17"/>
      <c r="AO288" s="17"/>
      <c r="AP288" s="17"/>
      <c r="AQ288" s="17"/>
      <c r="AR288" s="17"/>
      <c r="AS288" s="17"/>
      <c r="AT288" s="17"/>
      <c r="AU288" s="17"/>
    </row>
    <row r="289" spans="1:47" ht="15" hidden="1" customHeight="1">
      <c r="A289" s="60">
        <f>ROW() - ROW(Table1[[#Headers],[s]])</f>
        <v>288</v>
      </c>
      <c r="B289" s="60" t="s">
        <v>1340</v>
      </c>
      <c r="C289" s="61" t="s">
        <v>60</v>
      </c>
      <c r="D289" s="63" t="s">
        <v>1341</v>
      </c>
      <c r="E289" s="60" t="e" vm="72">
        <v>#VALUE!</v>
      </c>
      <c r="F289" s="60" t="e" vm="25">
        <v>#VALUE!</v>
      </c>
      <c r="G289" s="64" t="s">
        <v>174</v>
      </c>
      <c r="H289" s="60" t="s">
        <v>152</v>
      </c>
      <c r="I289" s="60" t="s">
        <v>1342</v>
      </c>
      <c r="J289" s="67" t="s">
        <v>153</v>
      </c>
      <c r="K289" s="42" t="s">
        <v>154</v>
      </c>
      <c r="L289" s="65">
        <v>46077.775694444441</v>
      </c>
      <c r="M289" s="67" t="s">
        <v>72</v>
      </c>
      <c r="N289" s="67" t="s">
        <v>72</v>
      </c>
      <c r="O289" s="65"/>
      <c r="P289" s="60"/>
      <c r="Q289" s="110"/>
      <c r="R289" s="60"/>
      <c r="S289" s="68" t="s">
        <v>1342</v>
      </c>
      <c r="T289" s="55" t="s">
        <v>179</v>
      </c>
      <c r="U289" s="60"/>
      <c r="V289" s="68"/>
      <c r="W289" s="60"/>
      <c r="X289" s="60"/>
      <c r="Y289" s="60" t="s">
        <v>179</v>
      </c>
      <c r="Z289" s="60" t="s">
        <v>179</v>
      </c>
      <c r="AA289" s="60"/>
      <c r="AB289" s="60"/>
      <c r="AC289" s="60"/>
      <c r="AD289" s="60"/>
      <c r="AE289" s="69"/>
      <c r="AF289" s="17"/>
      <c r="AG289" s="17"/>
      <c r="AH289" s="17"/>
      <c r="AI289" s="17"/>
      <c r="AJ289" s="17"/>
      <c r="AK289" s="17"/>
      <c r="AL289" s="17"/>
      <c r="AM289" s="17"/>
      <c r="AN289" s="17"/>
      <c r="AO289" s="17"/>
      <c r="AP289" s="17"/>
      <c r="AQ289" s="17"/>
      <c r="AR289" s="17"/>
      <c r="AS289" s="17"/>
      <c r="AT289" s="17"/>
      <c r="AU289" s="17"/>
    </row>
    <row r="290" spans="1:47" ht="15" hidden="1" customHeight="1">
      <c r="A290" s="60">
        <f>ROW() - ROW(Table1[[#Headers],[s]])</f>
        <v>289</v>
      </c>
      <c r="B290" s="60" t="s">
        <v>1343</v>
      </c>
      <c r="C290" s="61" t="s">
        <v>60</v>
      </c>
      <c r="D290" s="63" t="s">
        <v>1344</v>
      </c>
      <c r="E290" s="60" t="e" vm="149">
        <v>#VALUE!</v>
      </c>
      <c r="F290" s="60" t="e" vm="40">
        <v>#VALUE!</v>
      </c>
      <c r="G290" s="64" t="s">
        <v>174</v>
      </c>
      <c r="H290" s="60" t="s">
        <v>152</v>
      </c>
      <c r="I290" s="61" t="s">
        <v>60</v>
      </c>
      <c r="J290" s="67" t="s">
        <v>153</v>
      </c>
      <c r="K290" s="60" t="s">
        <v>1345</v>
      </c>
      <c r="L290" s="65">
        <v>46078.51666666667</v>
      </c>
      <c r="M290" s="67"/>
      <c r="N290" s="67"/>
      <c r="O290" s="65"/>
      <c r="P290" s="60"/>
      <c r="Q290" s="110"/>
      <c r="R290" s="60"/>
      <c r="S290" s="68" t="s">
        <v>1345</v>
      </c>
      <c r="T290" s="55" t="s">
        <v>179</v>
      </c>
      <c r="U290" s="60"/>
      <c r="V290" s="68"/>
      <c r="W290" s="60"/>
      <c r="X290" s="60"/>
      <c r="Y290" s="60" t="s">
        <v>179</v>
      </c>
      <c r="Z290" s="60" t="s">
        <v>70</v>
      </c>
      <c r="AA290" s="60"/>
      <c r="AB290" s="60"/>
      <c r="AC290" s="60"/>
      <c r="AD290" s="60"/>
      <c r="AE290" s="69"/>
      <c r="AF290" s="17"/>
      <c r="AG290" s="17"/>
      <c r="AH290" s="17"/>
      <c r="AI290" s="17"/>
      <c r="AJ290" s="17"/>
      <c r="AK290" s="17"/>
      <c r="AL290" s="17"/>
      <c r="AM290" s="17"/>
      <c r="AN290" s="17"/>
      <c r="AO290" s="17"/>
      <c r="AP290" s="17"/>
      <c r="AQ290" s="17"/>
      <c r="AR290" s="17"/>
      <c r="AS290" s="17"/>
      <c r="AT290" s="17"/>
      <c r="AU290" s="17"/>
    </row>
    <row r="291" spans="1:47" ht="15" hidden="1" customHeight="1">
      <c r="A291" s="60">
        <f>ROW() - ROW(Table1[[#Headers],[s]])</f>
        <v>290</v>
      </c>
      <c r="B291" s="60" t="s">
        <v>1242</v>
      </c>
      <c r="C291" s="61">
        <v>46054</v>
      </c>
      <c r="D291" s="63" t="s">
        <v>1346</v>
      </c>
      <c r="E291" s="60" t="e" vm="9">
        <v>#VALUE!</v>
      </c>
      <c r="F291" s="60" t="e" vm="10">
        <v>#VALUE!</v>
      </c>
      <c r="G291" s="64" t="s">
        <v>174</v>
      </c>
      <c r="H291" s="60" t="s">
        <v>152</v>
      </c>
      <c r="I291" s="42" t="s">
        <v>175</v>
      </c>
      <c r="J291" s="67" t="s">
        <v>153</v>
      </c>
      <c r="K291" s="60" t="s">
        <v>154</v>
      </c>
      <c r="L291" s="65">
        <v>46078.451388888891</v>
      </c>
      <c r="M291" s="67" t="s">
        <v>78</v>
      </c>
      <c r="N291" s="55" t="s">
        <v>78</v>
      </c>
      <c r="O291" s="65">
        <v>46078.510416666664</v>
      </c>
      <c r="P291" s="65">
        <v>46078.534722222219</v>
      </c>
      <c r="Q291" s="65">
        <v>46078.576388888891</v>
      </c>
      <c r="R291" s="60"/>
      <c r="S291" s="68" t="s">
        <v>1347</v>
      </c>
      <c r="T291" s="55" t="s">
        <v>1348</v>
      </c>
      <c r="U291" s="60"/>
      <c r="V291" s="68" t="s">
        <v>1349</v>
      </c>
      <c r="W291" s="60"/>
      <c r="X291" s="60"/>
      <c r="Y291" s="60" t="s">
        <v>158</v>
      </c>
      <c r="Z291" s="60" t="s">
        <v>70</v>
      </c>
      <c r="AA291" s="60"/>
      <c r="AB291" s="60"/>
      <c r="AC291" s="60"/>
      <c r="AD291" s="60"/>
      <c r="AE291" s="69"/>
      <c r="AF291" s="17"/>
      <c r="AG291" s="17"/>
      <c r="AH291" s="17"/>
      <c r="AI291" s="17"/>
      <c r="AJ291" s="17"/>
      <c r="AK291" s="17"/>
      <c r="AL291" s="17"/>
      <c r="AM291" s="17"/>
      <c r="AN291" s="17"/>
      <c r="AO291" s="17"/>
      <c r="AP291" s="17"/>
      <c r="AQ291" s="17"/>
      <c r="AR291" s="17"/>
      <c r="AS291" s="17"/>
      <c r="AT291" s="17"/>
      <c r="AU291" s="17"/>
    </row>
    <row r="292" spans="1:47" ht="15" hidden="1" customHeight="1">
      <c r="A292" s="60">
        <f>ROW() - ROW(Table1[[#Headers],[s]])</f>
        <v>291</v>
      </c>
      <c r="B292" s="60" t="s">
        <v>1350</v>
      </c>
      <c r="C292" s="75">
        <v>46054</v>
      </c>
      <c r="D292" s="63" t="s">
        <v>1351</v>
      </c>
      <c r="E292" s="60" t="e" vm="80">
        <v>#VALUE!</v>
      </c>
      <c r="F292" s="60" t="e" vm="10">
        <v>#VALUE!</v>
      </c>
      <c r="G292" s="64" t="s">
        <v>174</v>
      </c>
      <c r="H292" s="60" t="s">
        <v>152</v>
      </c>
      <c r="I292" s="42" t="s">
        <v>175</v>
      </c>
      <c r="J292" s="67" t="s">
        <v>153</v>
      </c>
      <c r="K292" s="60" t="s">
        <v>154</v>
      </c>
      <c r="L292" s="65">
        <v>46078.473611111112</v>
      </c>
      <c r="M292" s="67" t="s">
        <v>78</v>
      </c>
      <c r="N292" s="55" t="s">
        <v>78</v>
      </c>
      <c r="O292" s="65">
        <v>46078.552083333336</v>
      </c>
      <c r="P292" s="65">
        <v>46078.576388888891</v>
      </c>
      <c r="Q292" s="65">
        <v>46078.635416666664</v>
      </c>
      <c r="R292" s="60"/>
      <c r="S292" s="68" t="s">
        <v>1352</v>
      </c>
      <c r="T292" s="55" t="s">
        <v>1348</v>
      </c>
      <c r="U292" s="60"/>
      <c r="V292" s="68" t="s">
        <v>1353</v>
      </c>
      <c r="W292" s="60"/>
      <c r="X292" s="60"/>
      <c r="Y292" s="60" t="s">
        <v>158</v>
      </c>
      <c r="Z292" s="60" t="s">
        <v>70</v>
      </c>
      <c r="AA292" s="60"/>
      <c r="AB292" s="60"/>
      <c r="AC292" s="60"/>
      <c r="AD292" s="60"/>
      <c r="AE292" s="69"/>
      <c r="AF292" s="17"/>
      <c r="AG292" s="17"/>
      <c r="AH292" s="17"/>
      <c r="AI292" s="17"/>
      <c r="AJ292" s="17"/>
      <c r="AK292" s="17"/>
      <c r="AL292" s="17"/>
      <c r="AM292" s="17"/>
      <c r="AN292" s="17"/>
      <c r="AO292" s="17"/>
      <c r="AP292" s="17"/>
      <c r="AQ292" s="17"/>
      <c r="AR292" s="17"/>
      <c r="AS292" s="17"/>
      <c r="AT292" s="17"/>
      <c r="AU292" s="17"/>
    </row>
    <row r="293" spans="1:47" ht="15" hidden="1" customHeight="1">
      <c r="A293" s="60">
        <f>ROW() - ROW(Table1[[#Headers],[s]])</f>
        <v>292</v>
      </c>
      <c r="B293" s="60" t="s">
        <v>1354</v>
      </c>
      <c r="C293" s="61">
        <v>46054</v>
      </c>
      <c r="D293" s="63" t="s">
        <v>1355</v>
      </c>
      <c r="E293" s="60" t="e" vm="138">
        <v>#VALUE!</v>
      </c>
      <c r="F293" s="60" t="e" vm="5">
        <v>#VALUE!</v>
      </c>
      <c r="G293" s="64" t="s">
        <v>200</v>
      </c>
      <c r="H293" s="60" t="s">
        <v>245</v>
      </c>
      <c r="I293" s="60" t="s">
        <v>1221</v>
      </c>
      <c r="J293" s="67" t="s">
        <v>253</v>
      </c>
      <c r="K293" s="60" t="s">
        <v>371</v>
      </c>
      <c r="L293" s="65">
        <v>46078.423611111109</v>
      </c>
      <c r="M293" s="67" t="s">
        <v>55</v>
      </c>
      <c r="N293" s="67" t="s">
        <v>55</v>
      </c>
      <c r="O293" s="65">
        <v>46079.333333333336</v>
      </c>
      <c r="P293" s="72">
        <v>46079.333333333336</v>
      </c>
      <c r="Q293" s="66">
        <v>46079.470138888886</v>
      </c>
      <c r="R293" s="60"/>
      <c r="S293" s="68" t="s">
        <v>1356</v>
      </c>
      <c r="T293" s="55" t="s">
        <v>1357</v>
      </c>
      <c r="U293" s="60"/>
      <c r="V293" s="68" t="s">
        <v>1358</v>
      </c>
      <c r="W293" s="60"/>
      <c r="X293" s="60" t="s">
        <v>1359</v>
      </c>
      <c r="Y293" s="60" t="s">
        <v>70</v>
      </c>
      <c r="Z293" s="60" t="s">
        <v>70</v>
      </c>
      <c r="AA293" s="60" t="s">
        <v>1360</v>
      </c>
      <c r="AB293" s="60"/>
      <c r="AC293" s="60"/>
      <c r="AD293" s="60" t="s">
        <v>985</v>
      </c>
      <c r="AE293" s="69"/>
      <c r="AF293" s="17"/>
      <c r="AG293" s="17"/>
      <c r="AH293" s="17"/>
      <c r="AI293" s="17"/>
      <c r="AJ293" s="17"/>
      <c r="AK293" s="17"/>
      <c r="AL293" s="17"/>
      <c r="AM293" s="17"/>
      <c r="AN293" s="17"/>
      <c r="AO293" s="17"/>
      <c r="AP293" s="17"/>
      <c r="AQ293" s="17"/>
      <c r="AR293" s="17"/>
      <c r="AS293" s="17"/>
      <c r="AT293" s="17"/>
      <c r="AU293" s="17"/>
    </row>
    <row r="294" spans="1:47" ht="15" hidden="1" customHeight="1">
      <c r="A294" s="60">
        <f>ROW() - ROW(Table1[[#Headers],[s]])</f>
        <v>293</v>
      </c>
      <c r="B294" s="60" t="s">
        <v>1361</v>
      </c>
      <c r="C294" s="75">
        <v>46054</v>
      </c>
      <c r="D294" s="63" t="s">
        <v>1362</v>
      </c>
      <c r="E294" s="60" t="e" vm="69">
        <v>#VALUE!</v>
      </c>
      <c r="F294" s="60" t="e" vm="2">
        <v>#VALUE!</v>
      </c>
      <c r="G294" s="64" t="s">
        <v>174</v>
      </c>
      <c r="H294" s="60" t="s">
        <v>747</v>
      </c>
      <c r="I294" s="42" t="s">
        <v>175</v>
      </c>
      <c r="J294" s="67" t="s">
        <v>253</v>
      </c>
      <c r="K294" s="60" t="s">
        <v>154</v>
      </c>
      <c r="L294" s="65">
        <v>46078.65347222222</v>
      </c>
      <c r="M294" s="67" t="s">
        <v>162</v>
      </c>
      <c r="N294" s="67" t="s">
        <v>162</v>
      </c>
      <c r="O294" s="65">
        <v>46078.6875</v>
      </c>
      <c r="P294" s="65">
        <v>46078.701388888891</v>
      </c>
      <c r="Q294" s="66">
        <v>46078.818055555559</v>
      </c>
      <c r="R294" s="60"/>
      <c r="S294" s="68" t="s">
        <v>1363</v>
      </c>
      <c r="T294" s="55" t="s">
        <v>1364</v>
      </c>
      <c r="U294" s="60"/>
      <c r="V294" s="68" t="s">
        <v>1365</v>
      </c>
      <c r="W294" s="60"/>
      <c r="X294" s="60"/>
      <c r="Y294" s="60" t="s">
        <v>158</v>
      </c>
      <c r="Z294" s="60" t="s">
        <v>70</v>
      </c>
      <c r="AA294" s="60"/>
      <c r="AB294" s="60"/>
      <c r="AC294" s="60"/>
      <c r="AD294" s="60"/>
      <c r="AE294" s="69"/>
      <c r="AF294" s="17"/>
      <c r="AG294" s="17"/>
      <c r="AH294" s="17"/>
      <c r="AI294" s="17"/>
      <c r="AJ294" s="17"/>
      <c r="AK294" s="17"/>
      <c r="AL294" s="17"/>
      <c r="AM294" s="17"/>
      <c r="AN294" s="17"/>
      <c r="AO294" s="17"/>
      <c r="AP294" s="17"/>
      <c r="AQ294" s="17"/>
      <c r="AR294" s="17"/>
      <c r="AS294" s="17"/>
      <c r="AT294" s="17"/>
      <c r="AU294" s="17"/>
    </row>
    <row r="295" spans="1:47" ht="15" hidden="1" customHeight="1">
      <c r="A295" s="60">
        <f>ROW() - ROW(Table1[[#Headers],[s]])</f>
        <v>294</v>
      </c>
      <c r="B295" s="60" t="s">
        <v>1366</v>
      </c>
      <c r="C295" s="75">
        <v>46054</v>
      </c>
      <c r="D295" s="63" t="s">
        <v>1367</v>
      </c>
      <c r="E295" s="60" t="e" vm="88">
        <v>#VALUE!</v>
      </c>
      <c r="F295" s="60" t="e" vm="2">
        <v>#VALUE!</v>
      </c>
      <c r="G295" s="64" t="s">
        <v>200</v>
      </c>
      <c r="H295" s="60" t="s">
        <v>245</v>
      </c>
      <c r="I295" s="60" t="s">
        <v>1221</v>
      </c>
      <c r="J295" s="67" t="s">
        <v>253</v>
      </c>
      <c r="K295" s="60" t="s">
        <v>154</v>
      </c>
      <c r="L295" s="65">
        <v>46078.625694444447</v>
      </c>
      <c r="M295" s="67" t="s">
        <v>162</v>
      </c>
      <c r="N295" s="67" t="s">
        <v>162</v>
      </c>
      <c r="O295" s="65">
        <v>46078.791666666664</v>
      </c>
      <c r="P295" s="72">
        <v>46078.791666666664</v>
      </c>
      <c r="Q295" s="66">
        <v>46079.488888888889</v>
      </c>
      <c r="R295" s="60"/>
      <c r="S295" s="68" t="s">
        <v>1368</v>
      </c>
      <c r="T295" s="55" t="s">
        <v>1369</v>
      </c>
      <c r="U295" s="60"/>
      <c r="V295" s="68" t="s">
        <v>1370</v>
      </c>
      <c r="W295" s="60"/>
      <c r="X295" s="60"/>
      <c r="Y295" s="60" t="s">
        <v>158</v>
      </c>
      <c r="Z295" s="60" t="s">
        <v>67</v>
      </c>
      <c r="AA295" s="60"/>
      <c r="AB295" s="60"/>
      <c r="AC295" s="60"/>
      <c r="AD295" s="60"/>
      <c r="AE295" s="69"/>
      <c r="AF295" s="17"/>
      <c r="AG295" s="17"/>
      <c r="AH295" s="17"/>
      <c r="AI295" s="17"/>
      <c r="AJ295" s="17"/>
      <c r="AK295" s="17"/>
      <c r="AL295" s="17"/>
      <c r="AM295" s="17"/>
      <c r="AN295" s="17"/>
      <c r="AO295" s="17"/>
      <c r="AP295" s="17"/>
      <c r="AQ295" s="17"/>
      <c r="AR295" s="17"/>
      <c r="AS295" s="17"/>
      <c r="AT295" s="17"/>
      <c r="AU295" s="17"/>
    </row>
    <row r="296" spans="1:47" ht="15.75" hidden="1" customHeight="1">
      <c r="A296" s="60">
        <f>ROW() - ROW(Table1[[#Headers],[s]])</f>
        <v>295</v>
      </c>
      <c r="B296" s="74" t="s">
        <v>1371</v>
      </c>
      <c r="C296" s="61">
        <v>46054</v>
      </c>
      <c r="D296" s="63" t="s">
        <v>1372</v>
      </c>
      <c r="E296" s="60" t="e" vm="8">
        <v>#VALUE!</v>
      </c>
      <c r="F296" s="60" t="e" vm="5">
        <v>#VALUE!</v>
      </c>
      <c r="G296" s="64" t="s">
        <v>174</v>
      </c>
      <c r="H296" s="60" t="s">
        <v>152</v>
      </c>
      <c r="I296" s="42" t="s">
        <v>175</v>
      </c>
      <c r="J296" s="67" t="s">
        <v>153</v>
      </c>
      <c r="K296" s="60" t="s">
        <v>154</v>
      </c>
      <c r="L296" s="65">
        <v>46078.574999999997</v>
      </c>
      <c r="M296" s="67" t="s">
        <v>602</v>
      </c>
      <c r="N296" s="67" t="s">
        <v>602</v>
      </c>
      <c r="O296" s="65">
        <v>46078.604166666664</v>
      </c>
      <c r="P296" s="65">
        <v>46078.618055555555</v>
      </c>
      <c r="Q296" s="65">
        <v>46078.645833333336</v>
      </c>
      <c r="R296" s="60"/>
      <c r="S296" s="68" t="s">
        <v>1373</v>
      </c>
      <c r="T296" s="55" t="s">
        <v>1369</v>
      </c>
      <c r="U296" s="60"/>
      <c r="V296" s="68" t="s">
        <v>1374</v>
      </c>
      <c r="W296" s="60"/>
      <c r="X296" s="60"/>
      <c r="Y296" s="60" t="s">
        <v>158</v>
      </c>
      <c r="Z296" s="60" t="s">
        <v>70</v>
      </c>
      <c r="AA296" s="60"/>
      <c r="AB296" s="60"/>
      <c r="AC296" s="60"/>
      <c r="AD296" s="60"/>
      <c r="AE296" s="69"/>
      <c r="AF296" s="17"/>
      <c r="AG296" s="17"/>
      <c r="AH296" s="17"/>
      <c r="AI296" s="17"/>
      <c r="AJ296" s="17"/>
      <c r="AK296" s="17"/>
      <c r="AL296" s="17"/>
      <c r="AM296" s="17"/>
      <c r="AN296" s="17"/>
      <c r="AO296" s="17"/>
      <c r="AP296" s="17"/>
      <c r="AQ296" s="17"/>
      <c r="AR296" s="17"/>
      <c r="AS296" s="17"/>
      <c r="AT296" s="17"/>
      <c r="AU296" s="17"/>
    </row>
    <row r="297" spans="1:47" ht="15" hidden="1" customHeight="1">
      <c r="A297" s="60">
        <f>ROW() - ROW(Table1[[#Headers],[s]])</f>
        <v>296</v>
      </c>
      <c r="B297" s="60" t="s">
        <v>1375</v>
      </c>
      <c r="C297" s="61">
        <v>46054</v>
      </c>
      <c r="D297" s="63" t="s">
        <v>1376</v>
      </c>
      <c r="E297" s="60" t="s">
        <v>316</v>
      </c>
      <c r="F297" s="60" t="e" vm="37">
        <v>#VALUE!</v>
      </c>
      <c r="G297" s="64" t="s">
        <v>174</v>
      </c>
      <c r="H297" s="60" t="s">
        <v>747</v>
      </c>
      <c r="I297" s="42" t="s">
        <v>175</v>
      </c>
      <c r="J297" s="67" t="s">
        <v>253</v>
      </c>
      <c r="K297" s="60" t="s">
        <v>154</v>
      </c>
      <c r="L297" s="65">
        <v>46078.461111111108</v>
      </c>
      <c r="M297" s="67" t="s">
        <v>1377</v>
      </c>
      <c r="N297" s="67" t="s">
        <v>1377</v>
      </c>
      <c r="O297" s="65">
        <v>46078.53125</v>
      </c>
      <c r="P297" s="65">
        <v>46078.548611111109</v>
      </c>
      <c r="Q297" s="65">
        <v>46078.584027777775</v>
      </c>
      <c r="R297" s="60"/>
      <c r="S297" s="68" t="s">
        <v>1378</v>
      </c>
      <c r="T297" s="55" t="s">
        <v>1364</v>
      </c>
      <c r="U297" s="60"/>
      <c r="V297" s="68" t="s">
        <v>1379</v>
      </c>
      <c r="W297" s="60"/>
      <c r="X297" s="60"/>
      <c r="Y297" s="60" t="s">
        <v>158</v>
      </c>
      <c r="Z297" s="60" t="s">
        <v>67</v>
      </c>
      <c r="AA297" s="42"/>
      <c r="AB297" s="60"/>
      <c r="AC297" s="60"/>
      <c r="AD297" s="60"/>
      <c r="AE297" s="69"/>
      <c r="AF297" s="17"/>
      <c r="AG297" s="17"/>
      <c r="AH297" s="17"/>
      <c r="AI297" s="17"/>
      <c r="AJ297" s="17"/>
      <c r="AK297" s="17"/>
      <c r="AL297" s="17"/>
      <c r="AM297" s="17"/>
      <c r="AN297" s="17"/>
      <c r="AO297" s="17"/>
      <c r="AP297" s="17"/>
      <c r="AQ297" s="17"/>
      <c r="AR297" s="17"/>
      <c r="AS297" s="17"/>
      <c r="AT297" s="17"/>
      <c r="AU297" s="17"/>
    </row>
    <row r="298" spans="1:47" ht="15.75" hidden="1" customHeight="1">
      <c r="A298" s="60">
        <f>ROW() - ROW(Table1[[#Headers],[s]])</f>
        <v>297</v>
      </c>
      <c r="B298" s="74" t="s">
        <v>1380</v>
      </c>
      <c r="C298" s="61">
        <v>46054</v>
      </c>
      <c r="D298" s="63" t="s">
        <v>1381</v>
      </c>
      <c r="E298" s="60" t="e" vm="24">
        <v>#VALUE!</v>
      </c>
      <c r="F298" s="60" t="e" vm="25">
        <v>#VALUE!</v>
      </c>
      <c r="G298" s="64" t="s">
        <v>1057</v>
      </c>
      <c r="H298" s="60" t="s">
        <v>152</v>
      </c>
      <c r="I298" s="60" t="s">
        <v>43</v>
      </c>
      <c r="J298" s="67" t="s">
        <v>153</v>
      </c>
      <c r="K298" s="60" t="s">
        <v>154</v>
      </c>
      <c r="L298" s="65">
        <v>46079.390277777777</v>
      </c>
      <c r="M298" s="67" t="s">
        <v>72</v>
      </c>
      <c r="N298" s="67" t="s">
        <v>72</v>
      </c>
      <c r="O298" s="65">
        <v>46079.458333333336</v>
      </c>
      <c r="P298" s="65">
        <v>46079.465277777781</v>
      </c>
      <c r="Q298" s="65">
        <v>46079.486111111109</v>
      </c>
      <c r="R298" s="60"/>
      <c r="S298" s="68" t="s">
        <v>1382</v>
      </c>
      <c r="T298" s="55" t="s">
        <v>1364</v>
      </c>
      <c r="U298" s="60"/>
      <c r="V298" s="68" t="s">
        <v>1285</v>
      </c>
      <c r="W298" s="60"/>
      <c r="X298" s="60"/>
      <c r="Y298" s="60" t="s">
        <v>158</v>
      </c>
      <c r="Z298" s="280" t="s">
        <v>70</v>
      </c>
      <c r="AA298" s="60"/>
      <c r="AB298" s="60"/>
      <c r="AC298" s="60"/>
      <c r="AD298" s="60"/>
      <c r="AE298" s="69"/>
      <c r="AF298" s="17"/>
      <c r="AG298" s="17"/>
      <c r="AH298" s="17"/>
      <c r="AI298" s="17"/>
      <c r="AJ298" s="17"/>
      <c r="AK298" s="17"/>
      <c r="AL298" s="17"/>
      <c r="AM298" s="17"/>
      <c r="AN298" s="17"/>
      <c r="AO298" s="17"/>
      <c r="AP298" s="17"/>
      <c r="AQ298" s="17"/>
      <c r="AR298" s="17"/>
      <c r="AS298" s="17"/>
      <c r="AT298" s="17"/>
      <c r="AU298" s="17"/>
    </row>
    <row r="299" spans="1:47" ht="15" hidden="1" customHeight="1">
      <c r="A299" s="60">
        <f>ROW() - ROW(Table1[[#Headers],[s]])</f>
        <v>298</v>
      </c>
      <c r="B299" s="60" t="s">
        <v>1383</v>
      </c>
      <c r="C299" s="61">
        <v>46054</v>
      </c>
      <c r="D299" s="63" t="s">
        <v>1384</v>
      </c>
      <c r="E299" s="60" t="e" vm="150">
        <v>#VALUE!</v>
      </c>
      <c r="F299" s="60" t="e" vm="5">
        <v>#VALUE!</v>
      </c>
      <c r="G299" s="64" t="s">
        <v>200</v>
      </c>
      <c r="H299" s="60" t="s">
        <v>152</v>
      </c>
      <c r="I299" s="60" t="s">
        <v>1221</v>
      </c>
      <c r="J299" s="67" t="s">
        <v>153</v>
      </c>
      <c r="K299" s="60" t="s">
        <v>154</v>
      </c>
      <c r="L299" s="65">
        <v>46079.36041666667</v>
      </c>
      <c r="M299" s="67" t="s">
        <v>602</v>
      </c>
      <c r="N299" s="67" t="s">
        <v>602</v>
      </c>
      <c r="O299" s="71">
        <v>46079.5</v>
      </c>
      <c r="P299" s="72">
        <v>46079.541666666664</v>
      </c>
      <c r="Q299" s="66">
        <v>46079.5625</v>
      </c>
      <c r="R299" s="60"/>
      <c r="S299" s="68" t="s">
        <v>728</v>
      </c>
      <c r="T299" s="55" t="s">
        <v>179</v>
      </c>
      <c r="U299" s="60"/>
      <c r="V299" s="68" t="s">
        <v>374</v>
      </c>
      <c r="W299" s="60"/>
      <c r="X299" s="60"/>
      <c r="Y299" s="60" t="s">
        <v>203</v>
      </c>
      <c r="Z299" s="60" t="s">
        <v>70</v>
      </c>
      <c r="AA299" s="60"/>
      <c r="AB299" s="60"/>
      <c r="AC299" s="60"/>
      <c r="AD299" s="42"/>
      <c r="AE299" s="69"/>
      <c r="AF299" s="17"/>
      <c r="AG299" s="17"/>
      <c r="AH299" s="17"/>
      <c r="AI299" s="17"/>
      <c r="AJ299" s="17"/>
      <c r="AK299" s="17"/>
      <c r="AL299" s="17"/>
      <c r="AM299" s="17"/>
      <c r="AN299" s="17"/>
      <c r="AO299" s="17"/>
      <c r="AP299" s="17"/>
      <c r="AQ299" s="17"/>
      <c r="AR299" s="17"/>
      <c r="AS299" s="17"/>
      <c r="AT299" s="17"/>
      <c r="AU299" s="17"/>
    </row>
    <row r="300" spans="1:47" ht="15" hidden="1" customHeight="1">
      <c r="A300" s="60">
        <f>ROW() - ROW(Table1[[#Headers],[s]])</f>
        <v>299</v>
      </c>
      <c r="B300" s="60" t="s">
        <v>1385</v>
      </c>
      <c r="C300" s="75">
        <v>46054</v>
      </c>
      <c r="D300" s="63" t="s">
        <v>1386</v>
      </c>
      <c r="E300" s="60" t="e" vm="9">
        <v>#VALUE!</v>
      </c>
      <c r="F300" s="60" t="e" vm="10">
        <v>#VALUE!</v>
      </c>
      <c r="G300" s="64" t="s">
        <v>200</v>
      </c>
      <c r="H300" s="60" t="s">
        <v>152</v>
      </c>
      <c r="I300" s="60" t="s">
        <v>1221</v>
      </c>
      <c r="J300" s="67" t="s">
        <v>153</v>
      </c>
      <c r="K300" s="60" t="s">
        <v>154</v>
      </c>
      <c r="L300" s="65">
        <v>46079.680555555555</v>
      </c>
      <c r="M300" s="67" t="s">
        <v>78</v>
      </c>
      <c r="N300" s="55" t="s">
        <v>78</v>
      </c>
      <c r="O300" s="71">
        <v>46079.708333333336</v>
      </c>
      <c r="P300" s="72">
        <v>46079.729166666664</v>
      </c>
      <c r="Q300" s="66">
        <v>46079.75</v>
      </c>
      <c r="R300" s="60"/>
      <c r="S300" s="68" t="s">
        <v>1387</v>
      </c>
      <c r="T300" s="55" t="s">
        <v>179</v>
      </c>
      <c r="U300" s="60"/>
      <c r="V300" s="68" t="s">
        <v>1388</v>
      </c>
      <c r="W300" s="60"/>
      <c r="X300" s="60"/>
      <c r="Y300" s="60" t="s">
        <v>203</v>
      </c>
      <c r="Z300" s="60" t="s">
        <v>70</v>
      </c>
      <c r="AA300" s="60"/>
      <c r="AB300" s="60"/>
      <c r="AC300" s="60"/>
      <c r="AD300" s="60"/>
      <c r="AE300" s="69"/>
      <c r="AF300" s="17"/>
      <c r="AG300" s="17"/>
      <c r="AH300" s="17"/>
      <c r="AI300" s="17"/>
      <c r="AJ300" s="17"/>
      <c r="AK300" s="17"/>
      <c r="AL300" s="17"/>
      <c r="AM300" s="17"/>
      <c r="AN300" s="17"/>
      <c r="AO300" s="17"/>
      <c r="AP300" s="17"/>
      <c r="AQ300" s="17"/>
      <c r="AR300" s="17"/>
      <c r="AS300" s="17"/>
      <c r="AT300" s="17"/>
      <c r="AU300" s="17"/>
    </row>
    <row r="301" spans="1:47" s="29" customFormat="1" ht="15" hidden="1" customHeight="1">
      <c r="A301" s="111">
        <f>ROW() - ROW(Table1[[#Headers],[s]])</f>
        <v>300</v>
      </c>
      <c r="B301" s="111" t="s">
        <v>1389</v>
      </c>
      <c r="C301" s="112">
        <v>46054</v>
      </c>
      <c r="D301" s="113" t="s">
        <v>1390</v>
      </c>
      <c r="E301" s="111" t="e" vm="121">
        <v>#VALUE!</v>
      </c>
      <c r="F301" s="111" t="e" vm="17">
        <v>#VALUE!</v>
      </c>
      <c r="G301" s="123" t="s">
        <v>200</v>
      </c>
      <c r="H301" s="111" t="s">
        <v>747</v>
      </c>
      <c r="I301" s="111" t="s">
        <v>1221</v>
      </c>
      <c r="J301" s="116" t="s">
        <v>253</v>
      </c>
      <c r="K301" s="111" t="s">
        <v>1391</v>
      </c>
      <c r="L301" s="115">
        <v>46079.717361111114</v>
      </c>
      <c r="M301" s="116" t="s">
        <v>227</v>
      </c>
      <c r="N301" s="116" t="s">
        <v>227</v>
      </c>
      <c r="O301" s="124">
        <v>46079.916666666664</v>
      </c>
      <c r="P301" s="128">
        <v>46079.9375</v>
      </c>
      <c r="Q301" s="129">
        <v>46079.083333333336</v>
      </c>
      <c r="R301" s="111"/>
      <c r="S301" s="117" t="s">
        <v>1392</v>
      </c>
      <c r="T301" s="153" t="s">
        <v>478</v>
      </c>
      <c r="U301" s="111"/>
      <c r="V301" s="117" t="s">
        <v>1393</v>
      </c>
      <c r="W301" s="111"/>
      <c r="X301" s="111"/>
      <c r="Y301" s="111" t="s">
        <v>203</v>
      </c>
      <c r="Z301" s="111" t="s">
        <v>70</v>
      </c>
      <c r="AA301" s="111"/>
      <c r="AB301" s="111"/>
      <c r="AC301" s="111"/>
      <c r="AD301" s="111"/>
      <c r="AE301" s="118"/>
      <c r="AF301" s="26"/>
      <c r="AG301" s="26"/>
      <c r="AH301" s="26"/>
      <c r="AI301" s="26"/>
      <c r="AJ301" s="26"/>
      <c r="AK301" s="26"/>
      <c r="AL301" s="26"/>
      <c r="AM301" s="26"/>
      <c r="AN301" s="26"/>
      <c r="AO301" s="26"/>
      <c r="AP301" s="26"/>
      <c r="AQ301" s="26"/>
      <c r="AR301" s="26"/>
      <c r="AS301" s="26"/>
      <c r="AT301" s="26"/>
      <c r="AU301" s="26"/>
    </row>
    <row r="302" spans="1:47" ht="15.75" hidden="1" customHeight="1">
      <c r="A302" s="60">
        <f>ROW() - ROW(Table1[[#Headers],[s]])</f>
        <v>301</v>
      </c>
      <c r="B302" s="74" t="s">
        <v>1394</v>
      </c>
      <c r="C302" s="61">
        <v>46082</v>
      </c>
      <c r="D302" s="63" t="s">
        <v>1395</v>
      </c>
      <c r="E302" s="60" t="e" vm="9">
        <v>#VALUE!</v>
      </c>
      <c r="F302" s="60" t="e" vm="10">
        <v>#VALUE!</v>
      </c>
      <c r="G302" s="64" t="s">
        <v>174</v>
      </c>
      <c r="H302" s="60" t="s">
        <v>152</v>
      </c>
      <c r="I302" s="42" t="s">
        <v>175</v>
      </c>
      <c r="J302" s="67" t="s">
        <v>153</v>
      </c>
      <c r="K302" s="60" t="s">
        <v>154</v>
      </c>
      <c r="L302" s="65">
        <v>46080.644444444442</v>
      </c>
      <c r="M302" s="67" t="s">
        <v>78</v>
      </c>
      <c r="N302" s="55" t="s">
        <v>78</v>
      </c>
      <c r="O302" s="65">
        <v>46080.71875</v>
      </c>
      <c r="P302" s="65">
        <v>46080.739583333336</v>
      </c>
      <c r="Q302" s="65">
        <v>46080.770833333336</v>
      </c>
      <c r="R302" s="60"/>
      <c r="S302" s="68" t="s">
        <v>663</v>
      </c>
      <c r="T302" s="55" t="s">
        <v>478</v>
      </c>
      <c r="U302" s="60"/>
      <c r="V302" s="68" t="s">
        <v>183</v>
      </c>
      <c r="W302" s="60"/>
      <c r="X302" s="60"/>
      <c r="Y302" s="60" t="s">
        <v>158</v>
      </c>
      <c r="Z302" s="60" t="s">
        <v>70</v>
      </c>
      <c r="AA302" s="60"/>
      <c r="AB302" s="60"/>
      <c r="AC302" s="60"/>
      <c r="AD302" s="60"/>
      <c r="AE302" s="69"/>
      <c r="AF302" s="17"/>
      <c r="AG302" s="17"/>
      <c r="AH302" s="17"/>
      <c r="AI302" s="17"/>
      <c r="AJ302" s="17"/>
      <c r="AK302" s="17"/>
      <c r="AL302" s="17"/>
      <c r="AM302" s="17"/>
      <c r="AN302" s="17"/>
      <c r="AO302" s="17"/>
      <c r="AP302" s="17"/>
      <c r="AQ302" s="17"/>
      <c r="AR302" s="17"/>
      <c r="AS302" s="17"/>
      <c r="AT302" s="17"/>
      <c r="AU302" s="17"/>
    </row>
    <row r="303" spans="1:47" ht="15" hidden="1" customHeight="1">
      <c r="A303" s="60">
        <f>ROW() - ROW(Table1[[#Headers],[s]])</f>
        <v>302</v>
      </c>
      <c r="B303" s="60" t="s">
        <v>1396</v>
      </c>
      <c r="C303" s="61">
        <v>46054</v>
      </c>
      <c r="D303" s="95" t="s">
        <v>1397</v>
      </c>
      <c r="E303" s="60" t="e" vm="58">
        <v>#VALUE!</v>
      </c>
      <c r="F303" s="60" t="e" vm="25">
        <v>#VALUE!</v>
      </c>
      <c r="G303" s="64" t="s">
        <v>174</v>
      </c>
      <c r="H303" s="60" t="s">
        <v>747</v>
      </c>
      <c r="I303" s="42" t="s">
        <v>175</v>
      </c>
      <c r="J303" s="67" t="s">
        <v>253</v>
      </c>
      <c r="K303" s="60" t="s">
        <v>154</v>
      </c>
      <c r="L303" s="65">
        <v>46080.44027777778</v>
      </c>
      <c r="M303" s="67" t="s">
        <v>1398</v>
      </c>
      <c r="N303" s="67" t="s">
        <v>1398</v>
      </c>
      <c r="O303" s="65">
        <v>46080.493055555555</v>
      </c>
      <c r="P303" s="65">
        <v>46080.510416666664</v>
      </c>
      <c r="Q303" s="65">
        <v>46080.800000000003</v>
      </c>
      <c r="R303" s="60"/>
      <c r="S303" s="68" t="s">
        <v>1399</v>
      </c>
      <c r="T303" s="55"/>
      <c r="U303" s="60"/>
      <c r="V303" s="68" t="s">
        <v>1400</v>
      </c>
      <c r="W303" s="60"/>
      <c r="X303" s="60"/>
      <c r="Y303" s="60" t="s">
        <v>158</v>
      </c>
      <c r="Z303" s="42" t="s">
        <v>67</v>
      </c>
      <c r="AA303" s="60"/>
      <c r="AB303" s="60"/>
      <c r="AC303" s="60"/>
      <c r="AD303" s="60"/>
      <c r="AE303" s="69"/>
      <c r="AF303" s="17"/>
      <c r="AG303" s="17"/>
      <c r="AH303" s="17"/>
      <c r="AI303" s="17"/>
      <c r="AJ303" s="17"/>
      <c r="AK303" s="17"/>
      <c r="AL303" s="17"/>
      <c r="AM303" s="17"/>
      <c r="AN303" s="17"/>
      <c r="AO303" s="17"/>
      <c r="AP303" s="17"/>
      <c r="AQ303" s="17"/>
      <c r="AR303" s="17"/>
      <c r="AS303" s="17"/>
      <c r="AT303" s="17"/>
      <c r="AU303" s="17"/>
    </row>
    <row r="304" spans="1:47" ht="15.75" hidden="1" customHeight="1">
      <c r="A304" s="60">
        <f>ROW() - ROW(Table1[[#Headers],[s]])</f>
        <v>303</v>
      </c>
      <c r="B304" s="74" t="s">
        <v>1401</v>
      </c>
      <c r="C304" s="61">
        <v>46082</v>
      </c>
      <c r="D304" s="63" t="s">
        <v>1402</v>
      </c>
      <c r="E304" s="60" t="e" vm="151">
        <v>#VALUE!</v>
      </c>
      <c r="F304" s="60" t="e" vm="12">
        <v>#VALUE!</v>
      </c>
      <c r="G304" s="64" t="s">
        <v>36</v>
      </c>
      <c r="H304" s="60" t="s">
        <v>152</v>
      </c>
      <c r="I304" s="60" t="s">
        <v>43</v>
      </c>
      <c r="J304" s="67" t="s">
        <v>153</v>
      </c>
      <c r="K304" s="60" t="s">
        <v>154</v>
      </c>
      <c r="L304" s="65">
        <v>46081.218055555553</v>
      </c>
      <c r="M304" s="67" t="s">
        <v>57</v>
      </c>
      <c r="N304" s="67" t="s">
        <v>1403</v>
      </c>
      <c r="O304" s="64"/>
      <c r="P304" s="60"/>
      <c r="Q304" s="66">
        <v>46082.481249999997</v>
      </c>
      <c r="R304" s="60"/>
      <c r="S304" s="68" t="s">
        <v>1404</v>
      </c>
      <c r="T304" s="55" t="s">
        <v>50</v>
      </c>
      <c r="U304" s="60"/>
      <c r="V304" s="68" t="s">
        <v>1405</v>
      </c>
      <c r="W304" s="60"/>
      <c r="X304" s="60"/>
      <c r="Y304" s="60" t="s">
        <v>158</v>
      </c>
      <c r="Z304" s="60" t="s">
        <v>70</v>
      </c>
      <c r="AA304" s="60" t="s">
        <v>1406</v>
      </c>
      <c r="AB304" s="60"/>
      <c r="AC304" s="60"/>
      <c r="AD304" s="60"/>
      <c r="AE304" s="69"/>
      <c r="AF304" s="17"/>
      <c r="AG304" s="17"/>
      <c r="AH304" s="17"/>
      <c r="AI304" s="17"/>
      <c r="AJ304" s="17"/>
      <c r="AK304" s="17"/>
      <c r="AL304" s="17"/>
      <c r="AM304" s="17"/>
      <c r="AN304" s="17"/>
      <c r="AO304" s="17"/>
      <c r="AP304" s="17"/>
      <c r="AQ304" s="17"/>
      <c r="AR304" s="17"/>
      <c r="AS304" s="17"/>
      <c r="AT304" s="17"/>
      <c r="AU304" s="17"/>
    </row>
    <row r="305" spans="1:47" ht="15" customHeight="1">
      <c r="A305" s="60">
        <f>ROW() - ROW(Table1[[#Headers],[s]])</f>
        <v>304</v>
      </c>
      <c r="B305" s="42" t="s">
        <v>1407</v>
      </c>
      <c r="C305" s="51">
        <v>46082</v>
      </c>
      <c r="D305" s="59" t="s">
        <v>1408</v>
      </c>
      <c r="E305" s="42" t="e" vm="152">
        <v>#VALUE!</v>
      </c>
      <c r="F305" s="42" t="e" vm="2">
        <v>#VALUE!</v>
      </c>
      <c r="G305" s="64" t="s">
        <v>186</v>
      </c>
      <c r="H305" s="60" t="s">
        <v>152</v>
      </c>
      <c r="I305" s="78" t="s">
        <v>43</v>
      </c>
      <c r="J305" s="67" t="s">
        <v>153</v>
      </c>
      <c r="K305" s="60" t="s">
        <v>154</v>
      </c>
      <c r="L305" s="65">
        <v>46083.44027777778</v>
      </c>
      <c r="M305" s="67" t="s">
        <v>162</v>
      </c>
      <c r="N305" s="67" t="s">
        <v>162</v>
      </c>
      <c r="O305" s="71">
        <v>46083.5</v>
      </c>
      <c r="P305" s="72">
        <v>46083.506944444445</v>
      </c>
      <c r="Q305" s="66">
        <v>46083.580555555556</v>
      </c>
      <c r="R305" s="60"/>
      <c r="S305" s="68" t="s">
        <v>1409</v>
      </c>
      <c r="T305" s="55" t="s">
        <v>478</v>
      </c>
      <c r="U305" s="60"/>
      <c r="V305" s="68" t="s">
        <v>802</v>
      </c>
      <c r="W305" s="60"/>
      <c r="X305" s="60"/>
      <c r="Y305" s="60" t="s">
        <v>158</v>
      </c>
      <c r="Z305" s="60" t="s">
        <v>70</v>
      </c>
      <c r="AA305" s="60"/>
      <c r="AB305" s="60"/>
      <c r="AC305" s="60"/>
      <c r="AD305" s="60"/>
      <c r="AE305" s="69"/>
    </row>
    <row r="306" spans="1:47" ht="15" customHeight="1">
      <c r="A306" s="60">
        <f>ROW() - ROW(Table1[[#Headers],[s]])</f>
        <v>305</v>
      </c>
      <c r="B306" s="60" t="s">
        <v>700</v>
      </c>
      <c r="C306" s="61">
        <v>46082</v>
      </c>
      <c r="D306" s="63" t="s">
        <v>1410</v>
      </c>
      <c r="E306" s="60" t="e" vm="93">
        <v>#VALUE!</v>
      </c>
      <c r="F306" s="60" t="e" vm="12">
        <v>#VALUE!</v>
      </c>
      <c r="G306" s="64" t="s">
        <v>186</v>
      </c>
      <c r="H306" s="60" t="s">
        <v>152</v>
      </c>
      <c r="I306" s="42" t="s">
        <v>43</v>
      </c>
      <c r="J306" s="67" t="s">
        <v>153</v>
      </c>
      <c r="K306" s="60" t="s">
        <v>154</v>
      </c>
      <c r="L306" s="65">
        <v>46083.449305555558</v>
      </c>
      <c r="M306" s="67" t="s">
        <v>1411</v>
      </c>
      <c r="N306" s="67" t="s">
        <v>1411</v>
      </c>
      <c r="O306" s="71">
        <v>46083.666666666664</v>
      </c>
      <c r="P306" s="72">
        <v>46083.673611111109</v>
      </c>
      <c r="Q306" s="66">
        <v>46084.806944444441</v>
      </c>
      <c r="R306" s="60"/>
      <c r="S306" s="68" t="s">
        <v>1412</v>
      </c>
      <c r="T306" s="55" t="s">
        <v>478</v>
      </c>
      <c r="U306" s="60"/>
      <c r="V306" s="68" t="s">
        <v>1413</v>
      </c>
      <c r="W306" s="60"/>
      <c r="X306" s="60"/>
      <c r="Y306" s="60" t="s">
        <v>158</v>
      </c>
      <c r="Z306" s="60" t="s">
        <v>67</v>
      </c>
      <c r="AB306" s="60"/>
      <c r="AC306" s="60"/>
      <c r="AD306" s="60"/>
      <c r="AE306" s="69"/>
      <c r="AF306" s="17"/>
      <c r="AG306" s="17"/>
      <c r="AH306" s="17"/>
      <c r="AI306" s="17"/>
      <c r="AJ306" s="17"/>
      <c r="AK306" s="17"/>
      <c r="AL306" s="17"/>
      <c r="AM306" s="17"/>
      <c r="AN306" s="17"/>
      <c r="AO306" s="17"/>
      <c r="AP306" s="17"/>
      <c r="AQ306" s="17"/>
      <c r="AR306" s="17"/>
      <c r="AS306" s="17"/>
      <c r="AT306" s="17"/>
      <c r="AU306" s="17"/>
    </row>
    <row r="307" spans="1:47" ht="15" customHeight="1">
      <c r="A307" s="60">
        <f>ROW() - ROW(Table1[[#Headers],[s]])</f>
        <v>306</v>
      </c>
      <c r="B307" s="60" t="s">
        <v>1414</v>
      </c>
      <c r="C307" s="61">
        <v>46082</v>
      </c>
      <c r="D307" s="63" t="s">
        <v>1415</v>
      </c>
      <c r="E307" s="60" t="e" vm="147">
        <v>#VALUE!</v>
      </c>
      <c r="F307" s="60" t="e" vm="16">
        <v>#VALUE!</v>
      </c>
      <c r="G307" s="64" t="s">
        <v>186</v>
      </c>
      <c r="H307" s="60" t="s">
        <v>152</v>
      </c>
      <c r="I307" s="78" t="s">
        <v>43</v>
      </c>
      <c r="J307" s="67" t="s">
        <v>153</v>
      </c>
      <c r="K307" s="60" t="s">
        <v>154</v>
      </c>
      <c r="L307" s="65">
        <v>46083.501388888886</v>
      </c>
      <c r="M307" s="67" t="s">
        <v>58</v>
      </c>
      <c r="N307" s="67" t="s">
        <v>58</v>
      </c>
      <c r="O307" s="71">
        <v>46083.541666666664</v>
      </c>
      <c r="P307" s="72">
        <v>46083.548611111109</v>
      </c>
      <c r="Q307" s="66">
        <v>46083.581944444442</v>
      </c>
      <c r="R307" s="60"/>
      <c r="S307" s="68" t="s">
        <v>1416</v>
      </c>
      <c r="T307" s="55" t="s">
        <v>478</v>
      </c>
      <c r="U307" s="60"/>
      <c r="V307" s="68" t="s">
        <v>802</v>
      </c>
      <c r="W307" s="60"/>
      <c r="X307" s="60"/>
      <c r="Y307" s="60" t="s">
        <v>158</v>
      </c>
      <c r="Z307" s="60" t="s">
        <v>70</v>
      </c>
      <c r="AA307" s="60"/>
      <c r="AB307" s="60"/>
      <c r="AC307" s="60"/>
      <c r="AD307" s="60"/>
      <c r="AE307" s="69"/>
      <c r="AF307" s="17"/>
      <c r="AG307" s="17"/>
      <c r="AH307" s="17"/>
      <c r="AI307" s="17"/>
      <c r="AJ307" s="17"/>
      <c r="AK307" s="17"/>
      <c r="AL307" s="17"/>
      <c r="AM307" s="17"/>
      <c r="AN307" s="17"/>
      <c r="AO307" s="17"/>
      <c r="AP307" s="17"/>
      <c r="AQ307" s="17"/>
      <c r="AR307" s="17"/>
      <c r="AS307" s="17"/>
      <c r="AT307" s="17"/>
      <c r="AU307" s="17"/>
    </row>
    <row r="308" spans="1:47" ht="15" customHeight="1">
      <c r="A308" s="42">
        <f>ROW() - ROW(Table1[[#Headers],[s]])</f>
        <v>307</v>
      </c>
      <c r="B308" s="42" t="s">
        <v>1417</v>
      </c>
      <c r="C308" s="51">
        <v>46082</v>
      </c>
      <c r="D308" s="52" t="s">
        <v>1418</v>
      </c>
      <c r="E308" s="42" t="e" vm="99">
        <v>#VALUE!</v>
      </c>
      <c r="F308" s="42" t="e" vm="35">
        <v>#VALUE!</v>
      </c>
      <c r="G308" s="64" t="s">
        <v>186</v>
      </c>
      <c r="H308" s="60" t="s">
        <v>152</v>
      </c>
      <c r="I308" s="78" t="s">
        <v>43</v>
      </c>
      <c r="J308" s="67" t="s">
        <v>153</v>
      </c>
      <c r="K308" s="42" t="s">
        <v>154</v>
      </c>
      <c r="L308" s="44">
        <v>46083.509722222225</v>
      </c>
      <c r="M308" s="55" t="s">
        <v>155</v>
      </c>
      <c r="N308" s="55" t="s">
        <v>155</v>
      </c>
      <c r="O308" s="56">
        <v>46083.666666666664</v>
      </c>
      <c r="P308" s="57">
        <v>46083.673611111109</v>
      </c>
      <c r="Q308" s="132">
        <v>46083.773611111108</v>
      </c>
      <c r="R308" s="42"/>
      <c r="S308" s="53" t="s">
        <v>1419</v>
      </c>
      <c r="T308" s="55" t="s">
        <v>1420</v>
      </c>
      <c r="U308" s="42"/>
      <c r="V308" s="53" t="s">
        <v>1421</v>
      </c>
      <c r="W308" s="42"/>
      <c r="X308" s="42"/>
      <c r="Y308" s="42" t="s">
        <v>158</v>
      </c>
      <c r="Z308" s="42" t="s">
        <v>70</v>
      </c>
      <c r="AA308" s="42"/>
      <c r="AB308" s="42"/>
      <c r="AC308" s="42"/>
      <c r="AD308" s="42"/>
      <c r="AE308" s="54"/>
      <c r="AF308" s="17"/>
      <c r="AG308" s="17"/>
      <c r="AH308" s="17"/>
      <c r="AI308" s="17"/>
      <c r="AJ308" s="17"/>
      <c r="AK308" s="17"/>
      <c r="AL308" s="17"/>
      <c r="AM308" s="17"/>
      <c r="AN308" s="17"/>
      <c r="AO308" s="17"/>
      <c r="AP308" s="17"/>
      <c r="AQ308" s="17"/>
      <c r="AR308" s="17"/>
      <c r="AS308" s="17"/>
      <c r="AT308" s="17"/>
      <c r="AU308" s="17"/>
    </row>
    <row r="309" spans="1:47" ht="15" hidden="1" customHeight="1">
      <c r="A309" s="60">
        <f>ROW() - ROW(Table1[[#Headers],[s]])</f>
        <v>308</v>
      </c>
      <c r="B309" s="60" t="s">
        <v>1422</v>
      </c>
      <c r="C309" s="61">
        <v>46082</v>
      </c>
      <c r="D309" s="63" t="s">
        <v>1423</v>
      </c>
      <c r="E309" s="158" t="e" vm="99">
        <v>#VALUE!</v>
      </c>
      <c r="F309" s="42" t="e" vm="35">
        <v>#VALUE!</v>
      </c>
      <c r="G309" s="64" t="s">
        <v>174</v>
      </c>
      <c r="H309" s="60" t="s">
        <v>152</v>
      </c>
      <c r="I309" s="42" t="s">
        <v>175</v>
      </c>
      <c r="J309" s="67" t="s">
        <v>153</v>
      </c>
      <c r="K309" s="60" t="s">
        <v>154</v>
      </c>
      <c r="L309" s="65">
        <v>46083.565972222219</v>
      </c>
      <c r="M309" s="55" t="s">
        <v>155</v>
      </c>
      <c r="N309" s="55" t="s">
        <v>155</v>
      </c>
      <c r="O309" s="71">
        <v>46084.333333333336</v>
      </c>
      <c r="P309" s="71">
        <v>46084.354166666664</v>
      </c>
      <c r="Q309" s="71">
        <v>46084.395833333336</v>
      </c>
      <c r="R309" s="60"/>
      <c r="S309" s="68" t="s">
        <v>1424</v>
      </c>
      <c r="T309" s="55" t="s">
        <v>478</v>
      </c>
      <c r="U309" s="60"/>
      <c r="V309" s="68" t="s">
        <v>183</v>
      </c>
      <c r="W309" s="60"/>
      <c r="X309" s="60"/>
      <c r="Y309" s="60" t="s">
        <v>158</v>
      </c>
      <c r="Z309" s="60" t="s">
        <v>70</v>
      </c>
      <c r="AA309" s="60"/>
      <c r="AB309" s="60"/>
      <c r="AC309" s="60"/>
      <c r="AD309" s="60"/>
      <c r="AE309" s="69"/>
      <c r="AF309" s="17"/>
      <c r="AG309" s="17"/>
      <c r="AH309" s="17"/>
      <c r="AI309" s="17"/>
      <c r="AJ309" s="17"/>
      <c r="AK309" s="17"/>
      <c r="AL309" s="17"/>
      <c r="AM309" s="17"/>
      <c r="AN309" s="17"/>
      <c r="AO309" s="17"/>
      <c r="AP309" s="17"/>
      <c r="AQ309" s="17"/>
      <c r="AR309" s="17"/>
      <c r="AS309" s="17"/>
      <c r="AT309" s="17"/>
      <c r="AU309" s="17"/>
    </row>
    <row r="310" spans="1:47" ht="15" hidden="1" customHeight="1">
      <c r="A310" s="60">
        <f>ROW() - ROW(Table1[[#Headers],[s]])</f>
        <v>309</v>
      </c>
      <c r="B310" s="60" t="s">
        <v>1242</v>
      </c>
      <c r="C310" s="61">
        <v>46082</v>
      </c>
      <c r="D310" s="63" t="s">
        <v>1425</v>
      </c>
      <c r="E310" s="60" t="e" vm="9">
        <v>#VALUE!</v>
      </c>
      <c r="F310" s="60" t="e" vm="10">
        <v>#VALUE!</v>
      </c>
      <c r="G310" s="64" t="s">
        <v>174</v>
      </c>
      <c r="H310" s="60" t="s">
        <v>152</v>
      </c>
      <c r="I310" s="42" t="s">
        <v>175</v>
      </c>
      <c r="J310" s="67" t="s">
        <v>153</v>
      </c>
      <c r="K310" s="60" t="s">
        <v>154</v>
      </c>
      <c r="L310" s="65">
        <v>46084.634027777778</v>
      </c>
      <c r="M310" s="67" t="s">
        <v>78</v>
      </c>
      <c r="N310" s="55" t="s">
        <v>78</v>
      </c>
      <c r="O310" s="65">
        <v>46084.680555555555</v>
      </c>
      <c r="P310" s="65">
        <v>46084.708333333336</v>
      </c>
      <c r="Q310" s="65">
        <v>46084.770833333336</v>
      </c>
      <c r="R310" s="60"/>
      <c r="S310" s="68" t="s">
        <v>1426</v>
      </c>
      <c r="T310" s="55" t="s">
        <v>478</v>
      </c>
      <c r="U310" s="60"/>
      <c r="V310" s="68" t="s">
        <v>1427</v>
      </c>
      <c r="W310" s="60"/>
      <c r="X310" s="60"/>
      <c r="Y310" s="60" t="s">
        <v>158</v>
      </c>
      <c r="Z310" s="60" t="s">
        <v>70</v>
      </c>
      <c r="AA310" s="60"/>
      <c r="AB310" s="60"/>
      <c r="AC310" s="60"/>
      <c r="AD310" s="60"/>
      <c r="AE310" s="69"/>
      <c r="AF310" s="17"/>
      <c r="AG310" s="17"/>
      <c r="AH310" s="17"/>
      <c r="AI310" s="17"/>
      <c r="AJ310" s="17"/>
      <c r="AK310" s="17"/>
      <c r="AL310" s="17"/>
      <c r="AM310" s="17"/>
      <c r="AN310" s="17"/>
      <c r="AO310" s="17"/>
      <c r="AP310" s="17"/>
      <c r="AQ310" s="17"/>
      <c r="AR310" s="17"/>
      <c r="AS310" s="17"/>
      <c r="AT310" s="17"/>
      <c r="AU310" s="17"/>
    </row>
    <row r="311" spans="1:47" ht="15" hidden="1" customHeight="1">
      <c r="A311" s="60">
        <f>ROW() - ROW(Table1[[#Headers],[s]])</f>
        <v>310</v>
      </c>
      <c r="B311" s="60" t="s">
        <v>1428</v>
      </c>
      <c r="C311" s="61">
        <v>46082</v>
      </c>
      <c r="D311" s="63" t="s">
        <v>1429</v>
      </c>
      <c r="E311" s="60" t="e" vm="96">
        <v>#VALUE!</v>
      </c>
      <c r="F311" s="60" t="e" vm="25">
        <v>#VALUE!</v>
      </c>
      <c r="G311" s="64" t="s">
        <v>174</v>
      </c>
      <c r="H311" s="60" t="s">
        <v>152</v>
      </c>
      <c r="I311" s="42" t="s">
        <v>175</v>
      </c>
      <c r="J311" s="67" t="s">
        <v>153</v>
      </c>
      <c r="K311" s="60" t="s">
        <v>154</v>
      </c>
      <c r="L311" s="65">
        <v>46084.577777777777</v>
      </c>
      <c r="M311" s="67" t="s">
        <v>72</v>
      </c>
      <c r="N311" s="67" t="s">
        <v>72</v>
      </c>
      <c r="O311" s="65">
        <v>46084.607638888891</v>
      </c>
      <c r="P311" s="65">
        <v>46084.621527777781</v>
      </c>
      <c r="Q311" s="65">
        <v>46084.638888888891</v>
      </c>
      <c r="R311" s="60"/>
      <c r="S311" s="68" t="s">
        <v>1430</v>
      </c>
      <c r="T311" s="55" t="s">
        <v>478</v>
      </c>
      <c r="U311" s="60"/>
      <c r="V311" s="68" t="s">
        <v>1431</v>
      </c>
      <c r="W311" s="60"/>
      <c r="X311" s="60"/>
      <c r="Y311" s="60" t="s">
        <v>158</v>
      </c>
      <c r="Z311" s="60" t="s">
        <v>70</v>
      </c>
      <c r="AA311" s="60"/>
      <c r="AB311" s="60"/>
      <c r="AC311" s="60"/>
      <c r="AD311" s="60"/>
      <c r="AE311" s="69"/>
      <c r="AF311" s="17"/>
      <c r="AG311" s="17"/>
      <c r="AH311" s="17"/>
      <c r="AI311" s="17"/>
      <c r="AJ311" s="17"/>
      <c r="AK311" s="17"/>
      <c r="AL311" s="17"/>
      <c r="AM311" s="17"/>
      <c r="AN311" s="17"/>
      <c r="AO311" s="17"/>
      <c r="AP311" s="17"/>
      <c r="AQ311" s="17"/>
      <c r="AR311" s="17"/>
      <c r="AS311" s="17"/>
      <c r="AT311" s="17"/>
      <c r="AU311" s="17"/>
    </row>
    <row r="312" spans="1:47" ht="15" hidden="1" customHeight="1">
      <c r="A312" s="60">
        <f>ROW() - ROW(Table1[[#Headers],[s]])</f>
        <v>311</v>
      </c>
      <c r="B312" s="60" t="s">
        <v>1432</v>
      </c>
      <c r="C312" s="61">
        <v>46082</v>
      </c>
      <c r="D312" s="63" t="s">
        <v>1433</v>
      </c>
      <c r="E312" s="60" t="e" vm="91">
        <v>#VALUE!</v>
      </c>
      <c r="F312" s="60" t="e" vm="25">
        <v>#VALUE!</v>
      </c>
      <c r="G312" s="64" t="s">
        <v>174</v>
      </c>
      <c r="H312" s="60" t="s">
        <v>152</v>
      </c>
      <c r="I312" s="42" t="s">
        <v>175</v>
      </c>
      <c r="J312" s="67" t="s">
        <v>153</v>
      </c>
      <c r="K312" s="60" t="s">
        <v>154</v>
      </c>
      <c r="L312" s="65">
        <v>46084.609722222223</v>
      </c>
      <c r="M312" s="67" t="s">
        <v>72</v>
      </c>
      <c r="N312" s="67" t="s">
        <v>72</v>
      </c>
      <c r="O312" s="65">
        <v>46084.673611111109</v>
      </c>
      <c r="P312" s="65">
        <v>46084.6875</v>
      </c>
      <c r="Q312" s="65">
        <v>46084.722222222219</v>
      </c>
      <c r="R312" s="60"/>
      <c r="S312" s="68" t="s">
        <v>473</v>
      </c>
      <c r="T312" s="55" t="s">
        <v>478</v>
      </c>
      <c r="U312" s="60"/>
      <c r="V312" s="68" t="s">
        <v>1434</v>
      </c>
      <c r="W312" s="60"/>
      <c r="X312" s="60"/>
      <c r="Y312" s="60" t="s">
        <v>158</v>
      </c>
      <c r="Z312" s="60" t="s">
        <v>70</v>
      </c>
      <c r="AA312" s="60"/>
      <c r="AB312" s="60"/>
      <c r="AC312" s="60"/>
      <c r="AD312" s="60"/>
      <c r="AE312" s="69"/>
      <c r="AF312" s="17"/>
      <c r="AG312" s="17"/>
      <c r="AH312" s="17"/>
      <c r="AI312" s="17"/>
      <c r="AJ312" s="17"/>
      <c r="AK312" s="17"/>
      <c r="AL312" s="17"/>
      <c r="AM312" s="17"/>
      <c r="AN312" s="17"/>
      <c r="AO312" s="17"/>
      <c r="AP312" s="17"/>
      <c r="AQ312" s="17"/>
      <c r="AR312" s="17"/>
      <c r="AS312" s="17"/>
      <c r="AT312" s="17"/>
      <c r="AU312" s="17"/>
    </row>
    <row r="313" spans="1:47" ht="15" hidden="1" customHeight="1">
      <c r="A313" s="60">
        <f>ROW() - ROW(Table1[[#Headers],[s]])</f>
        <v>312</v>
      </c>
      <c r="B313" s="60" t="s">
        <v>1435</v>
      </c>
      <c r="C313" s="61">
        <v>46082</v>
      </c>
      <c r="D313" s="63" t="s">
        <v>1436</v>
      </c>
      <c r="E313" s="60" t="e" vm="96">
        <v>#VALUE!</v>
      </c>
      <c r="F313" s="60" t="e" vm="25">
        <v>#VALUE!</v>
      </c>
      <c r="G313" s="64" t="s">
        <v>174</v>
      </c>
      <c r="H313" s="60" t="s">
        <v>152</v>
      </c>
      <c r="I313" s="42" t="s">
        <v>175</v>
      </c>
      <c r="J313" s="67" t="s">
        <v>153</v>
      </c>
      <c r="K313" s="60" t="s">
        <v>154</v>
      </c>
      <c r="L313" s="65">
        <v>46084.684027777781</v>
      </c>
      <c r="M313" s="67" t="s">
        <v>72</v>
      </c>
      <c r="N313" s="67" t="s">
        <v>72</v>
      </c>
      <c r="O313" s="65">
        <v>46084.725694444445</v>
      </c>
      <c r="P313" s="65">
        <v>46084.746527777781</v>
      </c>
      <c r="Q313" s="65">
        <v>46084.767361111109</v>
      </c>
      <c r="R313" s="60"/>
      <c r="S313" s="68" t="s">
        <v>1437</v>
      </c>
      <c r="T313" s="55" t="s">
        <v>478</v>
      </c>
      <c r="U313" s="60"/>
      <c r="V313" s="68" t="s">
        <v>1438</v>
      </c>
      <c r="W313" s="60"/>
      <c r="X313" s="60"/>
      <c r="Y313" s="60" t="s">
        <v>158</v>
      </c>
      <c r="Z313" s="60" t="s">
        <v>70</v>
      </c>
      <c r="AA313" s="60"/>
      <c r="AB313" s="60"/>
      <c r="AC313" s="60"/>
      <c r="AD313" s="60"/>
      <c r="AE313" s="69"/>
      <c r="AF313" s="17"/>
      <c r="AG313" s="17"/>
      <c r="AH313" s="17"/>
      <c r="AI313" s="17"/>
      <c r="AJ313" s="17"/>
      <c r="AK313" s="17"/>
      <c r="AL313" s="17"/>
      <c r="AM313" s="17"/>
      <c r="AN313" s="17"/>
      <c r="AO313" s="17"/>
      <c r="AP313" s="17"/>
      <c r="AQ313" s="17"/>
      <c r="AR313" s="17"/>
      <c r="AS313" s="17"/>
      <c r="AT313" s="17"/>
      <c r="AU313" s="17"/>
    </row>
    <row r="314" spans="1:47" ht="15" hidden="1" customHeight="1">
      <c r="A314" s="60">
        <f>ROW() - ROW(Table1[[#Headers],[s]])</f>
        <v>313</v>
      </c>
      <c r="B314" s="60" t="s">
        <v>1439</v>
      </c>
      <c r="C314" s="61">
        <v>46082</v>
      </c>
      <c r="D314" s="63" t="s">
        <v>1440</v>
      </c>
      <c r="E314" s="60" t="e" vm="153">
        <v>#VALUE!</v>
      </c>
      <c r="F314" s="60" t="e" vm="23">
        <v>#VALUE!</v>
      </c>
      <c r="G314" s="64" t="s">
        <v>200</v>
      </c>
      <c r="H314" s="60" t="s">
        <v>747</v>
      </c>
      <c r="I314" s="60" t="s">
        <v>1221</v>
      </c>
      <c r="J314" s="67" t="s">
        <v>253</v>
      </c>
      <c r="K314" s="60" t="s">
        <v>154</v>
      </c>
      <c r="L314" s="65">
        <v>46084.61041666667</v>
      </c>
      <c r="M314" s="67" t="s">
        <v>58</v>
      </c>
      <c r="N314" s="67" t="s">
        <v>1441</v>
      </c>
      <c r="O314" s="71">
        <v>46085.375</v>
      </c>
      <c r="P314" s="72">
        <v>46085.375</v>
      </c>
      <c r="Q314" s="66">
        <v>46085.569444444445</v>
      </c>
      <c r="R314" s="60"/>
      <c r="S314" s="68" t="s">
        <v>1442</v>
      </c>
      <c r="T314" s="55" t="s">
        <v>1443</v>
      </c>
      <c r="U314" s="60"/>
      <c r="V314" s="68" t="s">
        <v>239</v>
      </c>
      <c r="W314" s="60"/>
      <c r="X314" s="60"/>
      <c r="Y314" s="60" t="s">
        <v>70</v>
      </c>
      <c r="Z314" s="60" t="s">
        <v>67</v>
      </c>
      <c r="AA314" s="60"/>
      <c r="AB314" s="60"/>
      <c r="AC314" s="60"/>
      <c r="AD314" s="60"/>
      <c r="AE314" s="69"/>
      <c r="AF314" s="17"/>
      <c r="AG314" s="17"/>
      <c r="AH314" s="17"/>
      <c r="AI314" s="17"/>
      <c r="AJ314" s="17"/>
      <c r="AK314" s="17"/>
      <c r="AL314" s="17"/>
      <c r="AM314" s="17"/>
      <c r="AN314" s="17"/>
      <c r="AO314" s="17"/>
      <c r="AP314" s="17"/>
      <c r="AQ314" s="17"/>
      <c r="AR314" s="17"/>
      <c r="AS314" s="17"/>
      <c r="AT314" s="17"/>
      <c r="AU314" s="17"/>
    </row>
    <row r="315" spans="1:47" ht="15" hidden="1" customHeight="1">
      <c r="A315" s="60">
        <f>ROW() - ROW(Table1[[#Headers],[s]])</f>
        <v>314</v>
      </c>
      <c r="B315" s="60" t="s">
        <v>1444</v>
      </c>
      <c r="C315" s="61">
        <v>46082</v>
      </c>
      <c r="D315" s="63" t="s">
        <v>1445</v>
      </c>
      <c r="E315" s="60" t="e" vm="121">
        <v>#VALUE!</v>
      </c>
      <c r="F315" s="60" t="e" vm="17">
        <v>#VALUE!</v>
      </c>
      <c r="G315" s="64" t="s">
        <v>200</v>
      </c>
      <c r="H315" s="60" t="s">
        <v>747</v>
      </c>
      <c r="I315" s="60" t="s">
        <v>1221</v>
      </c>
      <c r="J315" s="67" t="s">
        <v>253</v>
      </c>
      <c r="K315" s="60" t="s">
        <v>154</v>
      </c>
      <c r="L315" s="65">
        <v>46084.625694444447</v>
      </c>
      <c r="M315" s="55" t="s">
        <v>155</v>
      </c>
      <c r="N315" s="55" t="s">
        <v>155</v>
      </c>
      <c r="O315" s="65">
        <v>46084.708333333336</v>
      </c>
      <c r="P315" s="65">
        <v>46084.729166666664</v>
      </c>
      <c r="Q315" s="65">
        <v>46084.787499999999</v>
      </c>
      <c r="R315" s="60"/>
      <c r="S315" s="68" t="s">
        <v>1446</v>
      </c>
      <c r="T315" s="55" t="s">
        <v>478</v>
      </c>
      <c r="U315" s="60"/>
      <c r="V315" s="68" t="s">
        <v>183</v>
      </c>
      <c r="W315" s="60"/>
      <c r="X315" s="60"/>
      <c r="Y315" s="60" t="s">
        <v>158</v>
      </c>
      <c r="Z315" s="60" t="s">
        <v>70</v>
      </c>
      <c r="AA315" s="60"/>
      <c r="AB315" s="60"/>
      <c r="AC315" s="60"/>
      <c r="AD315" s="60"/>
      <c r="AE315" s="69"/>
      <c r="AF315" s="17"/>
      <c r="AG315" s="17"/>
      <c r="AH315" s="17"/>
      <c r="AI315" s="17"/>
      <c r="AJ315" s="17"/>
      <c r="AK315" s="17"/>
      <c r="AL315" s="17"/>
      <c r="AM315" s="17"/>
      <c r="AN315" s="17"/>
      <c r="AO315" s="17"/>
      <c r="AP315" s="17"/>
      <c r="AQ315" s="17"/>
      <c r="AR315" s="17"/>
      <c r="AS315" s="17"/>
      <c r="AT315" s="17"/>
      <c r="AU315" s="17"/>
    </row>
    <row r="316" spans="1:47" ht="15" hidden="1" customHeight="1">
      <c r="A316" s="60">
        <f>ROW() - ROW(Table1[[#Headers],[s]])</f>
        <v>315</v>
      </c>
      <c r="B316" s="60" t="s">
        <v>1447</v>
      </c>
      <c r="C316" s="61" t="s">
        <v>60</v>
      </c>
      <c r="D316" s="63" t="s">
        <v>1448</v>
      </c>
      <c r="E316" s="60" t="e" vm="77">
        <v>#VALUE!</v>
      </c>
      <c r="F316" s="60" t="e" vm="46">
        <v>#VALUE!</v>
      </c>
      <c r="G316" s="64" t="s">
        <v>36</v>
      </c>
      <c r="H316" s="60" t="s">
        <v>747</v>
      </c>
      <c r="I316" s="222" t="s">
        <v>60</v>
      </c>
      <c r="J316" s="67" t="s">
        <v>253</v>
      </c>
      <c r="K316" s="60" t="s">
        <v>154</v>
      </c>
      <c r="L316" s="65">
        <v>46084.533333333333</v>
      </c>
      <c r="M316" s="67" t="s">
        <v>1023</v>
      </c>
      <c r="N316" s="67" t="s">
        <v>1377</v>
      </c>
      <c r="O316" s="71">
        <v>46085.333333333336</v>
      </c>
      <c r="P316" s="72">
        <v>46085.333333333336</v>
      </c>
      <c r="Q316" s="66">
        <v>46085.739583333336</v>
      </c>
      <c r="R316" s="60"/>
      <c r="S316" s="68" t="s">
        <v>1449</v>
      </c>
      <c r="T316" s="55" t="s">
        <v>50</v>
      </c>
      <c r="U316" s="60"/>
      <c r="V316" s="302" t="s">
        <v>1449</v>
      </c>
      <c r="W316" s="60"/>
      <c r="X316" s="60"/>
      <c r="Y316" s="60" t="s">
        <v>179</v>
      </c>
      <c r="Z316" s="60" t="s">
        <v>179</v>
      </c>
      <c r="AA316" s="60"/>
      <c r="AB316" s="60"/>
      <c r="AC316" s="60"/>
      <c r="AD316" s="60"/>
      <c r="AE316" s="69"/>
      <c r="AF316" s="17"/>
      <c r="AG316" s="17"/>
      <c r="AH316" s="17"/>
      <c r="AI316" s="17"/>
      <c r="AJ316" s="17"/>
      <c r="AK316" s="17"/>
      <c r="AL316" s="17"/>
      <c r="AM316" s="17"/>
      <c r="AN316" s="17"/>
      <c r="AO316" s="17"/>
      <c r="AP316" s="17"/>
      <c r="AQ316" s="17"/>
      <c r="AR316" s="17"/>
      <c r="AS316" s="17"/>
      <c r="AT316" s="17"/>
      <c r="AU316" s="17"/>
    </row>
    <row r="317" spans="1:47" ht="15" hidden="1" customHeight="1">
      <c r="A317" s="60">
        <f>ROW() - ROW(Table1[[#Headers],[s]])</f>
        <v>316</v>
      </c>
      <c r="B317" s="60" t="s">
        <v>1450</v>
      </c>
      <c r="C317" s="61">
        <v>46082</v>
      </c>
      <c r="D317" s="63" t="s">
        <v>1451</v>
      </c>
      <c r="E317" s="60" t="e" vm="138">
        <v>#VALUE!</v>
      </c>
      <c r="F317" s="60" t="e" vm="5">
        <v>#VALUE!</v>
      </c>
      <c r="G317" s="64" t="s">
        <v>174</v>
      </c>
      <c r="H317" s="60" t="s">
        <v>245</v>
      </c>
      <c r="I317" s="42" t="s">
        <v>175</v>
      </c>
      <c r="J317" s="67" t="s">
        <v>253</v>
      </c>
      <c r="K317" s="60" t="s">
        <v>154</v>
      </c>
      <c r="L317" s="65">
        <v>46084.345833333333</v>
      </c>
      <c r="M317" s="67" t="s">
        <v>55</v>
      </c>
      <c r="N317" s="67" t="s">
        <v>55</v>
      </c>
      <c r="O317" s="65">
        <v>46084.40625</v>
      </c>
      <c r="P317" s="65">
        <v>46084.430555555555</v>
      </c>
      <c r="Q317" s="65">
        <v>46084.650694444441</v>
      </c>
      <c r="R317" s="60"/>
      <c r="S317" s="68" t="s">
        <v>1452</v>
      </c>
      <c r="T317" s="55" t="s">
        <v>1333</v>
      </c>
      <c r="U317" s="60"/>
      <c r="V317" s="68" t="s">
        <v>1453</v>
      </c>
      <c r="W317" s="60"/>
      <c r="X317" s="60"/>
      <c r="Y317" s="60" t="s">
        <v>158</v>
      </c>
      <c r="Z317" s="60" t="s">
        <v>279</v>
      </c>
      <c r="AB317" s="60"/>
      <c r="AC317" s="60"/>
      <c r="AD317" s="60"/>
      <c r="AE317" s="69"/>
      <c r="AF317" s="17"/>
      <c r="AG317" s="17"/>
      <c r="AH317" s="17"/>
      <c r="AI317" s="17"/>
      <c r="AJ317" s="17"/>
      <c r="AK317" s="17"/>
      <c r="AL317" s="17"/>
      <c r="AM317" s="17"/>
      <c r="AN317" s="17"/>
      <c r="AO317" s="17"/>
      <c r="AP317" s="17"/>
      <c r="AQ317" s="17"/>
      <c r="AR317" s="17"/>
      <c r="AS317" s="17"/>
      <c r="AT317" s="17"/>
      <c r="AU317" s="17"/>
    </row>
    <row r="318" spans="1:47" ht="15" hidden="1" customHeight="1">
      <c r="A318" s="60">
        <f>ROW() - ROW(Table1[[#Headers],[s]])</f>
        <v>317</v>
      </c>
      <c r="B318" s="60" t="s">
        <v>1454</v>
      </c>
      <c r="C318" s="61">
        <v>46082</v>
      </c>
      <c r="D318" s="63" t="s">
        <v>1455</v>
      </c>
      <c r="E318" s="60" t="e" vm="9">
        <v>#VALUE!</v>
      </c>
      <c r="F318" s="60" t="e" vm="10">
        <v>#VALUE!</v>
      </c>
      <c r="G318" s="64" t="s">
        <v>1057</v>
      </c>
      <c r="H318" s="60" t="s">
        <v>152</v>
      </c>
      <c r="I318" s="60" t="s">
        <v>43</v>
      </c>
      <c r="J318" s="67" t="s">
        <v>153</v>
      </c>
      <c r="K318" s="60" t="s">
        <v>154</v>
      </c>
      <c r="L318" s="65">
        <v>46085.755555555559</v>
      </c>
      <c r="M318" s="67" t="s">
        <v>78</v>
      </c>
      <c r="N318" s="55" t="s">
        <v>78</v>
      </c>
      <c r="O318" s="56">
        <v>46085.888888888891</v>
      </c>
      <c r="P318" s="56">
        <v>46085.902777777781</v>
      </c>
      <c r="Q318" s="56">
        <v>46085.913194444445</v>
      </c>
      <c r="R318" s="60"/>
      <c r="S318" s="68" t="s">
        <v>1456</v>
      </c>
      <c r="T318" s="55" t="s">
        <v>478</v>
      </c>
      <c r="U318" s="60"/>
      <c r="V318" s="68" t="s">
        <v>1457</v>
      </c>
      <c r="W318" s="60"/>
      <c r="X318" s="60"/>
      <c r="Y318" s="60" t="s">
        <v>203</v>
      </c>
      <c r="Z318" s="60" t="s">
        <v>70</v>
      </c>
      <c r="AA318" s="60"/>
      <c r="AB318" s="60"/>
      <c r="AC318" s="60"/>
      <c r="AD318" s="60"/>
      <c r="AE318" s="69"/>
      <c r="AF318" s="17"/>
      <c r="AG318" s="17"/>
      <c r="AH318" s="17"/>
      <c r="AI318" s="17"/>
      <c r="AJ318" s="17"/>
      <c r="AK318" s="17"/>
      <c r="AL318" s="17"/>
      <c r="AM318" s="17"/>
      <c r="AN318" s="17"/>
      <c r="AO318" s="17"/>
      <c r="AP318" s="17"/>
      <c r="AQ318" s="17"/>
      <c r="AR318" s="17"/>
      <c r="AS318" s="17"/>
      <c r="AT318" s="17"/>
      <c r="AU318" s="17"/>
    </row>
    <row r="319" spans="1:47" ht="15" hidden="1" customHeight="1">
      <c r="A319" s="60">
        <f>ROW() - ROW(Table1[[#Headers],[s]])</f>
        <v>318</v>
      </c>
      <c r="B319" s="60" t="s">
        <v>1458</v>
      </c>
      <c r="C319" s="61">
        <v>46082</v>
      </c>
      <c r="D319" s="63" t="s">
        <v>1459</v>
      </c>
      <c r="E319" s="60" t="e" vm="72">
        <v>#VALUE!</v>
      </c>
      <c r="F319" s="60" t="e" vm="25">
        <v>#VALUE!</v>
      </c>
      <c r="G319" s="64" t="s">
        <v>1057</v>
      </c>
      <c r="H319" s="60" t="s">
        <v>152</v>
      </c>
      <c r="I319" s="60" t="s">
        <v>43</v>
      </c>
      <c r="J319" s="67" t="s">
        <v>153</v>
      </c>
      <c r="K319" s="60" t="s">
        <v>154</v>
      </c>
      <c r="L319" s="65">
        <v>46085.684027777781</v>
      </c>
      <c r="M319" s="67" t="s">
        <v>72</v>
      </c>
      <c r="N319" s="67" t="s">
        <v>72</v>
      </c>
      <c r="O319" s="56">
        <v>46085.791666666664</v>
      </c>
      <c r="P319" s="56">
        <v>46085.791666666664</v>
      </c>
      <c r="Q319" s="56">
        <v>46085.836805555555</v>
      </c>
      <c r="R319" s="60"/>
      <c r="S319" s="68" t="s">
        <v>1460</v>
      </c>
      <c r="T319" s="55" t="s">
        <v>478</v>
      </c>
      <c r="U319" s="60"/>
      <c r="V319" s="68" t="s">
        <v>1461</v>
      </c>
      <c r="W319" s="60"/>
      <c r="X319" s="60"/>
      <c r="Y319" s="60" t="s">
        <v>203</v>
      </c>
      <c r="Z319" s="60" t="s">
        <v>70</v>
      </c>
      <c r="AA319" s="60"/>
      <c r="AB319" s="60"/>
      <c r="AC319" s="60"/>
      <c r="AD319" s="60"/>
      <c r="AE319" s="69"/>
      <c r="AF319" s="17"/>
      <c r="AG319" s="17"/>
      <c r="AH319" s="17"/>
      <c r="AI319" s="17"/>
      <c r="AJ319" s="17"/>
      <c r="AK319" s="17"/>
      <c r="AL319" s="17"/>
      <c r="AM319" s="17"/>
      <c r="AN319" s="17"/>
      <c r="AO319" s="17"/>
      <c r="AP319" s="17"/>
      <c r="AQ319" s="17"/>
      <c r="AR319" s="17"/>
      <c r="AS319" s="17"/>
      <c r="AT319" s="17"/>
      <c r="AU319" s="17"/>
    </row>
    <row r="320" spans="1:47" ht="15.75" hidden="1" customHeight="1">
      <c r="A320" s="60">
        <f>ROW() - ROW(Table1[[#Headers],[s]])</f>
        <v>319</v>
      </c>
      <c r="B320" s="74" t="s">
        <v>1462</v>
      </c>
      <c r="C320" s="51">
        <v>46082</v>
      </c>
      <c r="D320" s="52" t="s">
        <v>1463</v>
      </c>
      <c r="E320" s="42" t="e" vm="88">
        <v>#VALUE!</v>
      </c>
      <c r="F320" s="42" t="e" vm="2">
        <v>#VALUE!</v>
      </c>
      <c r="G320" s="43" t="s">
        <v>200</v>
      </c>
      <c r="H320" s="42" t="s">
        <v>747</v>
      </c>
      <c r="I320" s="160" t="s">
        <v>175</v>
      </c>
      <c r="J320" s="67" t="s">
        <v>253</v>
      </c>
      <c r="K320" s="42" t="s">
        <v>154</v>
      </c>
      <c r="L320" s="44">
        <v>46085.398611111108</v>
      </c>
      <c r="M320" s="55" t="s">
        <v>162</v>
      </c>
      <c r="N320" s="55" t="s">
        <v>162</v>
      </c>
      <c r="O320" s="44">
        <v>46085.520833333336</v>
      </c>
      <c r="P320" s="44">
        <v>46085.5625</v>
      </c>
      <c r="Q320" s="58">
        <v>46085.664583333331</v>
      </c>
      <c r="R320" s="42"/>
      <c r="S320" s="53" t="s">
        <v>1464</v>
      </c>
      <c r="T320" s="42" t="s">
        <v>478</v>
      </c>
      <c r="U320" s="42"/>
      <c r="V320" s="53" t="s">
        <v>1465</v>
      </c>
      <c r="W320" s="42"/>
      <c r="X320" s="42"/>
      <c r="Y320" s="42" t="s">
        <v>158</v>
      </c>
      <c r="Z320" s="42" t="s">
        <v>158</v>
      </c>
      <c r="AA320" s="42" t="s">
        <v>1466</v>
      </c>
      <c r="AB320" s="42"/>
      <c r="AC320" s="42"/>
      <c r="AD320" s="42"/>
      <c r="AE320" s="54"/>
    </row>
    <row r="321" spans="1:47" ht="15.75" hidden="1" customHeight="1">
      <c r="A321" s="60">
        <f>ROW() - ROW(Table1[[#Headers],[s]])</f>
        <v>320</v>
      </c>
      <c r="B321" s="119" t="s">
        <v>1467</v>
      </c>
      <c r="C321" s="61">
        <v>46082</v>
      </c>
      <c r="D321" s="63" t="s">
        <v>1468</v>
      </c>
      <c r="E321" s="60" t="e" vm="20">
        <v>#VALUE!</v>
      </c>
      <c r="F321" s="60" t="e" vm="21">
        <v>#VALUE!</v>
      </c>
      <c r="G321" s="64" t="s">
        <v>1057</v>
      </c>
      <c r="H321" s="60" t="s">
        <v>152</v>
      </c>
      <c r="I321" s="60" t="s">
        <v>43</v>
      </c>
      <c r="J321" s="67" t="s">
        <v>153</v>
      </c>
      <c r="K321" s="60" t="s">
        <v>154</v>
      </c>
      <c r="L321" s="71">
        <v>46085.647916666669</v>
      </c>
      <c r="M321" s="67" t="s">
        <v>39</v>
      </c>
      <c r="N321" s="67" t="s">
        <v>39</v>
      </c>
      <c r="O321" s="71">
        <v>46085.659722222219</v>
      </c>
      <c r="P321" s="71">
        <v>46085.673611111109</v>
      </c>
      <c r="Q321" s="71">
        <v>46085.6875</v>
      </c>
      <c r="R321" s="60"/>
      <c r="S321" s="68" t="s">
        <v>1456</v>
      </c>
      <c r="T321" s="55" t="s">
        <v>478</v>
      </c>
      <c r="U321" s="60"/>
      <c r="V321" s="68" t="s">
        <v>1457</v>
      </c>
      <c r="W321" s="60"/>
      <c r="X321" s="60"/>
      <c r="Y321" s="60" t="s">
        <v>203</v>
      </c>
      <c r="Z321" s="60" t="s">
        <v>70</v>
      </c>
      <c r="AA321" s="60"/>
      <c r="AB321" s="60"/>
      <c r="AC321" s="60"/>
      <c r="AD321" s="60"/>
      <c r="AE321" s="69"/>
      <c r="AF321" s="17"/>
      <c r="AG321" s="17"/>
      <c r="AH321" s="17"/>
      <c r="AI321" s="17"/>
      <c r="AJ321" s="17"/>
      <c r="AK321" s="17"/>
      <c r="AL321" s="17"/>
      <c r="AM321" s="17"/>
      <c r="AN321" s="17"/>
      <c r="AO321" s="17"/>
      <c r="AP321" s="17"/>
      <c r="AQ321" s="17"/>
      <c r="AR321" s="17"/>
      <c r="AS321" s="17"/>
      <c r="AT321" s="17"/>
      <c r="AU321" s="17"/>
    </row>
    <row r="322" spans="1:47" ht="15" hidden="1" customHeight="1">
      <c r="A322" s="60">
        <f>ROW() - ROW(Table1[[#Headers],[s]])</f>
        <v>321</v>
      </c>
      <c r="B322" s="60" t="s">
        <v>1469</v>
      </c>
      <c r="C322" s="61">
        <v>46082</v>
      </c>
      <c r="D322" s="89" t="s">
        <v>1470</v>
      </c>
      <c r="E322" s="60" t="s">
        <v>1471</v>
      </c>
      <c r="F322" s="60" t="e" vm="2">
        <v>#VALUE!</v>
      </c>
      <c r="G322" s="64" t="s">
        <v>200</v>
      </c>
      <c r="H322" s="60" t="s">
        <v>152</v>
      </c>
      <c r="I322" s="60" t="s">
        <v>1221</v>
      </c>
      <c r="J322" s="67" t="s">
        <v>153</v>
      </c>
      <c r="K322" s="60" t="s">
        <v>154</v>
      </c>
      <c r="L322" s="65">
        <v>46085.620138888888</v>
      </c>
      <c r="M322" s="67" t="s">
        <v>162</v>
      </c>
      <c r="N322" s="67" t="s">
        <v>162</v>
      </c>
      <c r="O322" s="71">
        <v>46085.708333333336</v>
      </c>
      <c r="P322" s="72">
        <v>46085.75</v>
      </c>
      <c r="Q322" s="66">
        <v>46085.8125</v>
      </c>
      <c r="R322" s="60"/>
      <c r="S322" s="68" t="s">
        <v>1472</v>
      </c>
      <c r="T322" s="55" t="s">
        <v>478</v>
      </c>
      <c r="U322" s="60"/>
      <c r="V322" s="68" t="s">
        <v>1473</v>
      </c>
      <c r="W322" s="60"/>
      <c r="X322" s="60"/>
      <c r="Y322" s="60" t="s">
        <v>203</v>
      </c>
      <c r="Z322" s="60" t="s">
        <v>279</v>
      </c>
      <c r="AA322" s="60"/>
      <c r="AB322" s="60"/>
      <c r="AC322" s="60"/>
      <c r="AD322" s="60"/>
      <c r="AE322" s="69"/>
      <c r="AF322" s="17"/>
      <c r="AG322" s="17"/>
      <c r="AH322" s="17"/>
      <c r="AI322" s="17"/>
      <c r="AJ322" s="17"/>
      <c r="AK322" s="17"/>
      <c r="AL322" s="17"/>
      <c r="AM322" s="17"/>
      <c r="AN322" s="17"/>
      <c r="AO322" s="17"/>
      <c r="AP322" s="17"/>
      <c r="AQ322" s="17"/>
      <c r="AR322" s="17"/>
      <c r="AS322" s="17"/>
      <c r="AT322" s="17"/>
      <c r="AU322" s="17"/>
    </row>
    <row r="323" spans="1:47" ht="15" hidden="1" customHeight="1">
      <c r="A323" s="60">
        <f>ROW() - ROW(Table1[[#Headers],[s]])</f>
        <v>322</v>
      </c>
      <c r="B323" s="60" t="s">
        <v>1474</v>
      </c>
      <c r="C323" s="61">
        <v>46082</v>
      </c>
      <c r="D323" s="63" t="s">
        <v>1475</v>
      </c>
      <c r="E323" s="60" t="e" vm="147">
        <v>#VALUE!</v>
      </c>
      <c r="F323" s="60" t="e" vm="16">
        <v>#VALUE!</v>
      </c>
      <c r="G323" s="64" t="s">
        <v>1057</v>
      </c>
      <c r="H323" s="60" t="s">
        <v>152</v>
      </c>
      <c r="I323" s="60" t="s">
        <v>43</v>
      </c>
      <c r="J323" s="67" t="s">
        <v>153</v>
      </c>
      <c r="K323" s="60" t="s">
        <v>154</v>
      </c>
      <c r="L323" s="71">
        <v>46085.667361111111</v>
      </c>
      <c r="M323" s="67" t="s">
        <v>58</v>
      </c>
      <c r="N323" s="67" t="s">
        <v>58</v>
      </c>
      <c r="O323" s="71">
        <v>46085.791666666664</v>
      </c>
      <c r="P323" s="71">
        <v>46086.451388888891</v>
      </c>
      <c r="Q323" s="71">
        <v>46086.520833333336</v>
      </c>
      <c r="R323" s="60"/>
      <c r="S323" s="68" t="s">
        <v>1476</v>
      </c>
      <c r="T323" s="55" t="s">
        <v>164</v>
      </c>
      <c r="U323" s="60"/>
      <c r="V323" s="125" t="s">
        <v>1477</v>
      </c>
      <c r="W323" s="60"/>
      <c r="X323" s="60"/>
      <c r="Y323" s="60" t="s">
        <v>158</v>
      </c>
      <c r="Z323" s="60" t="s">
        <v>70</v>
      </c>
      <c r="AA323" s="60"/>
      <c r="AB323" s="60"/>
      <c r="AC323" s="60"/>
      <c r="AD323" s="60"/>
      <c r="AE323" s="69"/>
      <c r="AF323" s="17"/>
      <c r="AG323" s="17"/>
      <c r="AH323" s="17"/>
      <c r="AI323" s="17"/>
      <c r="AJ323" s="17"/>
      <c r="AK323" s="17"/>
      <c r="AL323" s="17"/>
      <c r="AM323" s="17"/>
      <c r="AN323" s="17"/>
      <c r="AO323" s="17"/>
      <c r="AP323" s="17"/>
      <c r="AQ323" s="17"/>
      <c r="AR323" s="17"/>
      <c r="AS323" s="17"/>
      <c r="AT323" s="17"/>
      <c r="AU323" s="17"/>
    </row>
    <row r="324" spans="1:47" ht="15" hidden="1" customHeight="1">
      <c r="A324" s="60">
        <f>ROW() - ROW(Table1[[#Headers],[s]])</f>
        <v>323</v>
      </c>
      <c r="B324" s="60" t="s">
        <v>1478</v>
      </c>
      <c r="C324" s="75">
        <v>46113</v>
      </c>
      <c r="D324" s="63" t="s">
        <v>1479</v>
      </c>
      <c r="E324" s="60" t="e" vm="152">
        <v>#VALUE!</v>
      </c>
      <c r="F324" s="60" t="e" vm="2">
        <v>#VALUE!</v>
      </c>
      <c r="G324" s="64" t="s">
        <v>36</v>
      </c>
      <c r="H324" s="60" t="s">
        <v>152</v>
      </c>
      <c r="I324" s="60" t="s">
        <v>43</v>
      </c>
      <c r="J324" s="67" t="s">
        <v>153</v>
      </c>
      <c r="K324" s="60" t="s">
        <v>154</v>
      </c>
      <c r="L324" s="65">
        <v>46085.686111111114</v>
      </c>
      <c r="M324" s="67" t="s">
        <v>162</v>
      </c>
      <c r="N324" s="67" t="s">
        <v>162</v>
      </c>
      <c r="O324" s="64"/>
      <c r="P324" s="60"/>
      <c r="Q324" s="66">
        <v>46114.5</v>
      </c>
      <c r="R324" s="60"/>
      <c r="S324" s="125" t="s">
        <v>1480</v>
      </c>
      <c r="T324" s="55" t="s">
        <v>164</v>
      </c>
      <c r="U324" s="60"/>
      <c r="V324" s="68" t="s">
        <v>1481</v>
      </c>
      <c r="W324" s="60"/>
      <c r="X324" s="60"/>
      <c r="Y324" s="60" t="s">
        <v>158</v>
      </c>
      <c r="Z324" s="60" t="s">
        <v>70</v>
      </c>
      <c r="AA324" s="60"/>
      <c r="AB324" s="60"/>
      <c r="AC324" s="60"/>
      <c r="AD324" s="60"/>
      <c r="AE324" s="69"/>
      <c r="AF324" s="17"/>
      <c r="AG324" s="17"/>
      <c r="AH324" s="17"/>
      <c r="AI324" s="17"/>
      <c r="AJ324" s="17"/>
      <c r="AK324" s="17"/>
      <c r="AL324" s="17"/>
      <c r="AM324" s="17"/>
      <c r="AN324" s="17"/>
      <c r="AO324" s="17"/>
      <c r="AP324" s="17"/>
      <c r="AQ324" s="17"/>
      <c r="AR324" s="17"/>
      <c r="AS324" s="17"/>
      <c r="AT324" s="17"/>
      <c r="AU324" s="17"/>
    </row>
    <row r="325" spans="1:47" ht="15" hidden="1" customHeight="1">
      <c r="A325" s="60">
        <f>ROW() - ROW(Table1[[#Headers],[s]])</f>
        <v>324</v>
      </c>
      <c r="B325" s="60" t="s">
        <v>1482</v>
      </c>
      <c r="C325" s="75">
        <v>46082</v>
      </c>
      <c r="D325" s="59" t="s">
        <v>1483</v>
      </c>
      <c r="E325" s="60" t="e" vm="99">
        <v>#VALUE!</v>
      </c>
      <c r="F325" s="60" t="e" vm="35">
        <v>#VALUE!</v>
      </c>
      <c r="G325" s="64" t="s">
        <v>174</v>
      </c>
      <c r="H325" s="60" t="s">
        <v>152</v>
      </c>
      <c r="I325" s="42" t="s">
        <v>175</v>
      </c>
      <c r="J325" s="67" t="s">
        <v>153</v>
      </c>
      <c r="K325" s="60" t="s">
        <v>154</v>
      </c>
      <c r="L325" s="65">
        <v>46085.763888888891</v>
      </c>
      <c r="M325" s="169" t="s">
        <v>1484</v>
      </c>
      <c r="N325" s="169" t="s">
        <v>1484</v>
      </c>
      <c r="O325" s="71">
        <v>46086.333333333336</v>
      </c>
      <c r="P325" s="71">
        <v>46086.354166666664</v>
      </c>
      <c r="Q325" s="71">
        <v>46086.416666666664</v>
      </c>
      <c r="R325" s="60"/>
      <c r="S325" s="68" t="s">
        <v>1485</v>
      </c>
      <c r="T325" s="67" t="s">
        <v>1486</v>
      </c>
      <c r="U325" s="60"/>
      <c r="V325" s="68" t="s">
        <v>1487</v>
      </c>
      <c r="W325" s="60"/>
      <c r="X325" s="60"/>
      <c r="Y325" s="60" t="s">
        <v>158</v>
      </c>
      <c r="Z325" s="60" t="s">
        <v>70</v>
      </c>
      <c r="AA325" s="60"/>
      <c r="AB325" s="60"/>
      <c r="AC325" s="60"/>
      <c r="AD325" s="60"/>
      <c r="AE325" s="69"/>
      <c r="AF325" s="17"/>
      <c r="AG325" s="17"/>
      <c r="AH325" s="17"/>
      <c r="AI325" s="17"/>
      <c r="AJ325" s="17"/>
      <c r="AK325" s="17"/>
      <c r="AL325" s="17"/>
      <c r="AM325" s="17"/>
      <c r="AN325" s="17"/>
      <c r="AO325" s="17"/>
      <c r="AP325" s="17"/>
      <c r="AQ325" s="17"/>
      <c r="AR325" s="17"/>
      <c r="AS325" s="17"/>
      <c r="AT325" s="17"/>
      <c r="AU325" s="17"/>
    </row>
    <row r="326" spans="1:47" ht="15" hidden="1" customHeight="1">
      <c r="A326" s="60">
        <f>ROW() - ROW(Table1[[#Headers],[s]])</f>
        <v>325</v>
      </c>
      <c r="B326" s="60" t="s">
        <v>1488</v>
      </c>
      <c r="C326" s="61">
        <v>46082</v>
      </c>
      <c r="D326" s="63" t="s">
        <v>1489</v>
      </c>
      <c r="E326" s="60" t="s">
        <v>756</v>
      </c>
      <c r="F326" s="60" t="e" vm="2">
        <v>#VALUE!</v>
      </c>
      <c r="G326" s="64" t="s">
        <v>174</v>
      </c>
      <c r="H326" s="60" t="s">
        <v>747</v>
      </c>
      <c r="I326" s="42"/>
      <c r="J326" s="67" t="s">
        <v>253</v>
      </c>
      <c r="K326" s="60" t="s">
        <v>154</v>
      </c>
      <c r="L326" s="65">
        <v>46085.865972222222</v>
      </c>
      <c r="M326" s="67" t="s">
        <v>162</v>
      </c>
      <c r="N326" s="67" t="s">
        <v>162</v>
      </c>
      <c r="O326" s="71">
        <v>46086.333333333336</v>
      </c>
      <c r="P326" s="71">
        <v>46086.354166666664</v>
      </c>
      <c r="Q326" s="66">
        <v>46086.507638888892</v>
      </c>
      <c r="R326" s="60"/>
      <c r="S326" s="68" t="s">
        <v>1490</v>
      </c>
      <c r="T326" s="67" t="s">
        <v>1491</v>
      </c>
      <c r="U326" s="60"/>
      <c r="V326" s="68" t="s">
        <v>1492</v>
      </c>
      <c r="W326" s="60"/>
      <c r="X326" s="60"/>
      <c r="Y326" s="60" t="s">
        <v>70</v>
      </c>
      <c r="Z326" s="42" t="s">
        <v>67</v>
      </c>
      <c r="AA326" s="60" t="s">
        <v>1493</v>
      </c>
      <c r="AB326" s="60"/>
      <c r="AC326" s="60"/>
      <c r="AD326" s="60"/>
      <c r="AE326" s="69"/>
      <c r="AF326" s="17"/>
      <c r="AG326" s="17"/>
      <c r="AH326" s="17"/>
      <c r="AI326" s="17"/>
      <c r="AJ326" s="17"/>
      <c r="AK326" s="17"/>
      <c r="AL326" s="17"/>
      <c r="AM326" s="17"/>
      <c r="AN326" s="17"/>
      <c r="AO326" s="17"/>
      <c r="AP326" s="17"/>
      <c r="AQ326" s="17"/>
      <c r="AR326" s="17"/>
      <c r="AS326" s="17"/>
      <c r="AT326" s="17"/>
      <c r="AU326" s="17"/>
    </row>
    <row r="327" spans="1:47" ht="15" hidden="1" customHeight="1">
      <c r="A327" s="60">
        <f>ROW() - ROW(Table1[[#Headers],[s]])</f>
        <v>326</v>
      </c>
      <c r="B327" s="60" t="s">
        <v>1494</v>
      </c>
      <c r="C327" s="75">
        <v>46082</v>
      </c>
      <c r="D327" s="63" t="s">
        <v>1495</v>
      </c>
      <c r="E327" s="60" t="e" vm="154">
        <v>#VALUE!</v>
      </c>
      <c r="F327" s="60" t="e" vm="7">
        <v>#VALUE!</v>
      </c>
      <c r="G327" s="64" t="s">
        <v>174</v>
      </c>
      <c r="H327" s="60" t="s">
        <v>747</v>
      </c>
      <c r="I327" s="42" t="s">
        <v>175</v>
      </c>
      <c r="J327" s="67" t="s">
        <v>253</v>
      </c>
      <c r="K327" s="60" t="s">
        <v>154</v>
      </c>
      <c r="L327" s="65">
        <v>46086.291666666664</v>
      </c>
      <c r="M327" s="67" t="s">
        <v>68</v>
      </c>
      <c r="N327" s="67" t="s">
        <v>68</v>
      </c>
      <c r="O327" s="71">
        <v>46086.333333333336</v>
      </c>
      <c r="P327" s="71">
        <v>46086.375</v>
      </c>
      <c r="Q327" s="66">
        <v>46086.602083333331</v>
      </c>
      <c r="R327" s="60"/>
      <c r="S327" s="68" t="s">
        <v>473</v>
      </c>
      <c r="T327" s="67" t="s">
        <v>266</v>
      </c>
      <c r="U327" s="60"/>
      <c r="V327" s="68" t="s">
        <v>1496</v>
      </c>
      <c r="W327" s="60"/>
      <c r="X327" s="60"/>
      <c r="Y327" s="60" t="s">
        <v>158</v>
      </c>
      <c r="Z327" s="60" t="s">
        <v>67</v>
      </c>
      <c r="AA327" s="60"/>
      <c r="AB327" s="60"/>
      <c r="AC327" s="60"/>
      <c r="AE327" s="69"/>
      <c r="AF327" s="17"/>
      <c r="AG327" s="17"/>
      <c r="AH327" s="17"/>
      <c r="AI327" s="17"/>
      <c r="AJ327" s="17"/>
      <c r="AK327" s="17"/>
      <c r="AL327" s="17"/>
      <c r="AM327" s="17"/>
      <c r="AN327" s="17"/>
      <c r="AO327" s="17"/>
      <c r="AP327" s="17"/>
      <c r="AQ327" s="17"/>
      <c r="AR327" s="17"/>
      <c r="AS327" s="17"/>
      <c r="AT327" s="17"/>
      <c r="AU327" s="17"/>
    </row>
    <row r="328" spans="1:47" ht="15" hidden="1" customHeight="1">
      <c r="A328" s="60">
        <f>ROW() - ROW(Table1[[#Headers],[s]])</f>
        <v>327</v>
      </c>
      <c r="B328" s="60" t="s">
        <v>1497</v>
      </c>
      <c r="C328" s="75" t="s">
        <v>60</v>
      </c>
      <c r="D328" s="63" t="s">
        <v>1498</v>
      </c>
      <c r="E328" s="60" t="e" vm="58">
        <v>#VALUE!</v>
      </c>
      <c r="F328" s="60" t="e" vm="25">
        <v>#VALUE!</v>
      </c>
      <c r="G328" s="64" t="s">
        <v>174</v>
      </c>
      <c r="H328" s="60" t="s">
        <v>747</v>
      </c>
      <c r="I328" s="75" t="s">
        <v>60</v>
      </c>
      <c r="J328" s="67" t="s">
        <v>253</v>
      </c>
      <c r="K328" s="42" t="s">
        <v>154</v>
      </c>
      <c r="L328" s="65">
        <v>46086.450694444444</v>
      </c>
      <c r="M328" s="67" t="s">
        <v>1499</v>
      </c>
      <c r="N328" s="67" t="s">
        <v>1499</v>
      </c>
      <c r="O328" s="64"/>
      <c r="P328" s="60"/>
      <c r="Q328" s="110"/>
      <c r="R328" s="60"/>
      <c r="S328" s="68" t="s">
        <v>1500</v>
      </c>
      <c r="T328" s="67" t="s">
        <v>50</v>
      </c>
      <c r="U328" s="60"/>
      <c r="V328" s="68" t="s">
        <v>1500</v>
      </c>
      <c r="W328" s="60"/>
      <c r="X328" s="60"/>
      <c r="Y328" s="60" t="s">
        <v>179</v>
      </c>
      <c r="Z328" s="60" t="s">
        <v>179</v>
      </c>
      <c r="AA328" s="60"/>
      <c r="AB328" s="60"/>
      <c r="AC328" s="60"/>
      <c r="AD328" s="60"/>
      <c r="AE328" s="69"/>
      <c r="AF328" s="17"/>
      <c r="AG328" s="17"/>
      <c r="AH328" s="17"/>
      <c r="AI328" s="17"/>
      <c r="AJ328" s="17"/>
      <c r="AK328" s="17"/>
      <c r="AL328" s="17"/>
      <c r="AM328" s="17"/>
      <c r="AN328" s="17"/>
      <c r="AO328" s="17"/>
      <c r="AP328" s="17"/>
      <c r="AQ328" s="17"/>
      <c r="AR328" s="17"/>
      <c r="AS328" s="17"/>
      <c r="AT328" s="17"/>
      <c r="AU328" s="17"/>
    </row>
    <row r="329" spans="1:47" ht="15" hidden="1" customHeight="1">
      <c r="A329" s="60">
        <f>ROW() - ROW(Table1[[#Headers],[s]])</f>
        <v>328</v>
      </c>
      <c r="B329" s="60" t="s">
        <v>1501</v>
      </c>
      <c r="C329" s="75">
        <v>46082</v>
      </c>
      <c r="D329" s="63" t="s">
        <v>1502</v>
      </c>
      <c r="E329" s="60" t="e" vm="58">
        <v>#VALUE!</v>
      </c>
      <c r="F329" s="60" t="e" vm="25">
        <v>#VALUE!</v>
      </c>
      <c r="G329" s="64" t="s">
        <v>174</v>
      </c>
      <c r="H329" s="60" t="s">
        <v>747</v>
      </c>
      <c r="I329" s="42" t="s">
        <v>175</v>
      </c>
      <c r="J329" s="67" t="s">
        <v>253</v>
      </c>
      <c r="K329" s="60" t="s">
        <v>154</v>
      </c>
      <c r="L329" s="65">
        <v>46086.453472222223</v>
      </c>
      <c r="M329" s="67" t="s">
        <v>1499</v>
      </c>
      <c r="N329" s="67" t="s">
        <v>1499</v>
      </c>
      <c r="O329" s="65">
        <v>46086.510416666664</v>
      </c>
      <c r="P329" s="65">
        <v>46086.524305555555</v>
      </c>
      <c r="Q329" s="66">
        <v>46086.626388888886</v>
      </c>
      <c r="R329" s="60"/>
      <c r="S329" s="68" t="s">
        <v>1503</v>
      </c>
      <c r="T329" s="67" t="s">
        <v>266</v>
      </c>
      <c r="U329" s="60"/>
      <c r="V329" s="68" t="s">
        <v>1504</v>
      </c>
      <c r="W329" s="60"/>
      <c r="X329" s="60"/>
      <c r="Y329" s="60" t="s">
        <v>158</v>
      </c>
      <c r="Z329" s="60" t="s">
        <v>70</v>
      </c>
      <c r="AA329" s="60"/>
      <c r="AB329" s="60"/>
      <c r="AC329" s="60"/>
      <c r="AD329" s="60"/>
      <c r="AE329" s="69"/>
      <c r="AF329" s="17"/>
      <c r="AG329" s="17"/>
      <c r="AH329" s="17"/>
      <c r="AI329" s="17"/>
      <c r="AJ329" s="17"/>
      <c r="AK329" s="17"/>
      <c r="AL329" s="17"/>
      <c r="AM329" s="17"/>
      <c r="AN329" s="17"/>
      <c r="AO329" s="17"/>
      <c r="AP329" s="17"/>
      <c r="AQ329" s="17"/>
      <c r="AR329" s="17"/>
      <c r="AS329" s="17"/>
      <c r="AT329" s="17"/>
      <c r="AU329" s="17"/>
    </row>
    <row r="330" spans="1:47" ht="15" hidden="1" customHeight="1">
      <c r="A330" s="60">
        <f>ROW() - ROW(Table1[[#Headers],[s]])</f>
        <v>329</v>
      </c>
      <c r="B330" s="60" t="s">
        <v>1505</v>
      </c>
      <c r="C330" s="61" t="s">
        <v>60</v>
      </c>
      <c r="D330" s="63" t="s">
        <v>1506</v>
      </c>
      <c r="E330" s="60" t="e" vm="58">
        <v>#VALUE!</v>
      </c>
      <c r="F330" s="60" t="e" vm="25">
        <v>#VALUE!</v>
      </c>
      <c r="G330" s="64" t="s">
        <v>174</v>
      </c>
      <c r="H330" s="60" t="s">
        <v>152</v>
      </c>
      <c r="I330" s="75" t="s">
        <v>60</v>
      </c>
      <c r="J330" s="67" t="s">
        <v>268</v>
      </c>
      <c r="K330" s="42" t="s">
        <v>154</v>
      </c>
      <c r="L330" s="65">
        <v>46086.459027777775</v>
      </c>
      <c r="M330" s="67" t="s">
        <v>1499</v>
      </c>
      <c r="N330" s="67" t="s">
        <v>1499</v>
      </c>
      <c r="O330" s="64"/>
      <c r="P330" s="60"/>
      <c r="Q330" s="110"/>
      <c r="R330" s="60"/>
      <c r="S330" s="68" t="s">
        <v>1500</v>
      </c>
      <c r="T330" s="67" t="s">
        <v>266</v>
      </c>
      <c r="U330" s="60"/>
      <c r="V330" s="68"/>
      <c r="W330" s="60"/>
      <c r="X330" s="60"/>
      <c r="Y330" s="60" t="s">
        <v>179</v>
      </c>
      <c r="Z330" s="60" t="s">
        <v>179</v>
      </c>
      <c r="AA330" s="60"/>
      <c r="AB330" s="60"/>
      <c r="AC330" s="60"/>
      <c r="AD330" s="60"/>
      <c r="AE330" s="69"/>
      <c r="AF330" s="17"/>
      <c r="AG330" s="17"/>
      <c r="AH330" s="17"/>
      <c r="AI330" s="17"/>
      <c r="AJ330" s="17"/>
      <c r="AK330" s="17"/>
      <c r="AL330" s="17"/>
      <c r="AM330" s="17"/>
      <c r="AN330" s="17"/>
      <c r="AO330" s="17"/>
      <c r="AP330" s="17"/>
      <c r="AQ330" s="17"/>
      <c r="AR330" s="17"/>
      <c r="AS330" s="17"/>
      <c r="AT330" s="17"/>
      <c r="AU330" s="17"/>
    </row>
    <row r="331" spans="1:47" ht="15" hidden="1" customHeight="1">
      <c r="A331" s="60">
        <f>ROW() - ROW(Table1[[#Headers],[s]])</f>
        <v>330</v>
      </c>
      <c r="B331" s="60" t="s">
        <v>1507</v>
      </c>
      <c r="C331" s="61">
        <v>46082</v>
      </c>
      <c r="D331" s="63" t="s">
        <v>1508</v>
      </c>
      <c r="E331" s="60" t="s">
        <v>316</v>
      </c>
      <c r="F331" s="60" t="e" vm="37">
        <v>#VALUE!</v>
      </c>
      <c r="G331" s="64" t="s">
        <v>174</v>
      </c>
      <c r="H331" s="60" t="s">
        <v>747</v>
      </c>
      <c r="I331" s="42" t="s">
        <v>175</v>
      </c>
      <c r="J331" s="67" t="s">
        <v>253</v>
      </c>
      <c r="K331" s="60" t="s">
        <v>154</v>
      </c>
      <c r="L331" s="65">
        <v>46086.466666666667</v>
      </c>
      <c r="M331" s="67" t="s">
        <v>59</v>
      </c>
      <c r="N331" s="67" t="s">
        <v>59</v>
      </c>
      <c r="O331" s="65">
        <v>46086.548611111109</v>
      </c>
      <c r="P331" s="65">
        <v>46086.565972222219</v>
      </c>
      <c r="Q331" s="65">
        <v>46086.621527777781</v>
      </c>
      <c r="R331" s="60"/>
      <c r="S331" s="68" t="s">
        <v>1509</v>
      </c>
      <c r="T331" s="67" t="s">
        <v>266</v>
      </c>
      <c r="U331" s="60"/>
      <c r="V331" s="68" t="s">
        <v>1379</v>
      </c>
      <c r="W331" s="60"/>
      <c r="X331" s="60"/>
      <c r="Y331" s="60" t="s">
        <v>158</v>
      </c>
      <c r="Z331" s="60" t="s">
        <v>67</v>
      </c>
      <c r="AA331" s="60"/>
      <c r="AB331" s="60"/>
      <c r="AC331" s="60"/>
      <c r="AD331" s="60"/>
      <c r="AE331" s="69"/>
      <c r="AF331" s="17"/>
      <c r="AG331" s="17"/>
      <c r="AH331" s="17"/>
      <c r="AI331" s="17"/>
      <c r="AJ331" s="17"/>
      <c r="AK331" s="17"/>
      <c r="AL331" s="17"/>
      <c r="AM331" s="17"/>
      <c r="AN331" s="17"/>
      <c r="AO331" s="17"/>
      <c r="AP331" s="17"/>
      <c r="AQ331" s="17"/>
      <c r="AR331" s="17"/>
      <c r="AS331" s="17"/>
      <c r="AT331" s="17"/>
      <c r="AU331" s="17"/>
    </row>
    <row r="332" spans="1:47" ht="15" hidden="1" customHeight="1">
      <c r="A332" s="60">
        <f>ROW() - ROW(Table1[[#Headers],[s]])</f>
        <v>331</v>
      </c>
      <c r="B332" s="60" t="s">
        <v>1510</v>
      </c>
      <c r="C332" s="61">
        <v>46082</v>
      </c>
      <c r="D332" s="89" t="s">
        <v>1511</v>
      </c>
      <c r="E332" s="60" t="e" vm="99">
        <v>#VALUE!</v>
      </c>
      <c r="F332" s="60" t="e" vm="35">
        <v>#VALUE!</v>
      </c>
      <c r="G332" s="64" t="s">
        <v>174</v>
      </c>
      <c r="H332" s="60" t="s">
        <v>152</v>
      </c>
      <c r="I332" s="42" t="s">
        <v>175</v>
      </c>
      <c r="J332" s="67" t="s">
        <v>153</v>
      </c>
      <c r="K332" s="60" t="s">
        <v>154</v>
      </c>
      <c r="L332" s="65">
        <v>46086.518055555556</v>
      </c>
      <c r="M332" s="169" t="s">
        <v>1484</v>
      </c>
      <c r="N332" s="169" t="s">
        <v>1484</v>
      </c>
      <c r="O332" s="65">
        <v>46086.590277777781</v>
      </c>
      <c r="P332" s="65">
        <v>46086.611111111109</v>
      </c>
      <c r="Q332" s="65">
        <v>46086.65625</v>
      </c>
      <c r="R332" s="60"/>
      <c r="S332" s="68" t="s">
        <v>1512</v>
      </c>
      <c r="T332" s="67" t="s">
        <v>164</v>
      </c>
      <c r="U332" s="60"/>
      <c r="V332" s="68" t="s">
        <v>1513</v>
      </c>
      <c r="W332" s="60"/>
      <c r="X332" s="60"/>
      <c r="Y332" s="60" t="s">
        <v>158</v>
      </c>
      <c r="Z332" s="60" t="s">
        <v>70</v>
      </c>
      <c r="AA332" s="60"/>
      <c r="AB332" s="60"/>
      <c r="AC332" s="60"/>
      <c r="AD332" s="60"/>
      <c r="AE332" s="69"/>
      <c r="AF332" s="17"/>
      <c r="AG332" s="17"/>
      <c r="AH332" s="17"/>
      <c r="AI332" s="17"/>
      <c r="AJ332" s="17"/>
      <c r="AK332" s="17"/>
      <c r="AL332" s="17"/>
      <c r="AM332" s="17"/>
      <c r="AN332" s="17"/>
      <c r="AO332" s="17"/>
      <c r="AP332" s="17"/>
      <c r="AQ332" s="17"/>
      <c r="AR332" s="17"/>
      <c r="AS332" s="17"/>
      <c r="AT332" s="17"/>
      <c r="AU332" s="17"/>
    </row>
    <row r="333" spans="1:47" ht="15" hidden="1" customHeight="1">
      <c r="A333" s="60">
        <f>ROW() - ROW(Table1[[#Headers],[s]])</f>
        <v>332</v>
      </c>
      <c r="B333" s="60" t="s">
        <v>1514</v>
      </c>
      <c r="C333" s="61" t="s">
        <v>60</v>
      </c>
      <c r="D333" s="63" t="s">
        <v>1515</v>
      </c>
      <c r="E333" s="60" t="e" vm="27">
        <v>#VALUE!</v>
      </c>
      <c r="F333" s="60" t="e" vm="10">
        <v>#VALUE!</v>
      </c>
      <c r="G333" s="64" t="s">
        <v>36</v>
      </c>
      <c r="H333" s="60" t="s">
        <v>152</v>
      </c>
      <c r="I333" s="61" t="s">
        <v>60</v>
      </c>
      <c r="J333" s="67" t="s">
        <v>153</v>
      </c>
      <c r="K333" s="42" t="s">
        <v>154</v>
      </c>
      <c r="L333" s="65">
        <v>46086.837500000001</v>
      </c>
      <c r="M333" s="67" t="s">
        <v>78</v>
      </c>
      <c r="N333" s="55" t="s">
        <v>78</v>
      </c>
      <c r="O333" s="64"/>
      <c r="P333" s="60"/>
      <c r="Q333" s="110"/>
      <c r="R333" s="60"/>
      <c r="S333" s="68" t="s">
        <v>1516</v>
      </c>
      <c r="T333" s="67" t="s">
        <v>178</v>
      </c>
      <c r="U333" s="60"/>
      <c r="V333" s="68" t="s">
        <v>1516</v>
      </c>
      <c r="W333" s="60"/>
      <c r="X333" s="60"/>
      <c r="Y333" s="60" t="s">
        <v>179</v>
      </c>
      <c r="Z333" s="60" t="s">
        <v>179</v>
      </c>
      <c r="AA333" s="60"/>
      <c r="AB333" s="60"/>
      <c r="AC333" s="60"/>
      <c r="AD333" s="60"/>
      <c r="AE333" s="69"/>
      <c r="AF333" s="17"/>
      <c r="AG333" s="17"/>
      <c r="AH333" s="17"/>
      <c r="AI333" s="17"/>
      <c r="AJ333" s="17"/>
      <c r="AK333" s="17"/>
      <c r="AL333" s="17"/>
      <c r="AM333" s="17"/>
      <c r="AN333" s="17"/>
      <c r="AO333" s="17"/>
      <c r="AP333" s="17"/>
      <c r="AQ333" s="17"/>
      <c r="AR333" s="17"/>
      <c r="AS333" s="17"/>
      <c r="AT333" s="17"/>
      <c r="AU333" s="17"/>
    </row>
    <row r="334" spans="1:47" ht="15" hidden="1" customHeight="1">
      <c r="A334" s="60">
        <f>ROW() - ROW(Table1[[#Headers],[s]])</f>
        <v>333</v>
      </c>
      <c r="B334" s="60" t="s">
        <v>1517</v>
      </c>
      <c r="C334" s="61">
        <v>46082</v>
      </c>
      <c r="D334" s="63" t="s">
        <v>1518</v>
      </c>
      <c r="E334" s="60" t="e" vm="9">
        <v>#VALUE!</v>
      </c>
      <c r="F334" s="60" t="e" vm="10">
        <v>#VALUE!</v>
      </c>
      <c r="G334" s="64" t="s">
        <v>174</v>
      </c>
      <c r="H334" s="60" t="s">
        <v>152</v>
      </c>
      <c r="I334" s="42" t="s">
        <v>175</v>
      </c>
      <c r="J334" s="67" t="s">
        <v>153</v>
      </c>
      <c r="K334" s="60" t="s">
        <v>154</v>
      </c>
      <c r="L334" s="65">
        <v>46086.75277777778</v>
      </c>
      <c r="M334" s="67" t="s">
        <v>78</v>
      </c>
      <c r="N334" s="55" t="s">
        <v>78</v>
      </c>
      <c r="O334" s="65">
        <v>46086.833333333336</v>
      </c>
      <c r="P334" s="65">
        <v>46086.847222222219</v>
      </c>
      <c r="Q334" s="65">
        <v>46086.885416666664</v>
      </c>
      <c r="R334" s="60"/>
      <c r="S334" s="68" t="s">
        <v>1519</v>
      </c>
      <c r="T334" s="67" t="s">
        <v>178</v>
      </c>
      <c r="U334" s="60"/>
      <c r="V334" s="68" t="s">
        <v>1520</v>
      </c>
      <c r="W334" s="60"/>
      <c r="X334" s="60"/>
      <c r="Y334" s="60" t="s">
        <v>158</v>
      </c>
      <c r="Z334" s="280" t="s">
        <v>70</v>
      </c>
      <c r="AA334" s="60"/>
      <c r="AB334" s="60"/>
      <c r="AC334" s="60"/>
      <c r="AD334" s="60"/>
      <c r="AE334" s="69"/>
      <c r="AF334" s="17"/>
      <c r="AG334" s="17"/>
      <c r="AH334" s="17"/>
      <c r="AI334" s="17"/>
      <c r="AJ334" s="17"/>
      <c r="AK334" s="17"/>
      <c r="AL334" s="17"/>
      <c r="AM334" s="17"/>
      <c r="AN334" s="17"/>
      <c r="AO334" s="17"/>
      <c r="AP334" s="17"/>
      <c r="AQ334" s="17"/>
      <c r="AR334" s="17"/>
      <c r="AS334" s="17"/>
      <c r="AT334" s="17"/>
      <c r="AU334" s="17"/>
    </row>
    <row r="335" spans="1:47" ht="15" hidden="1" customHeight="1">
      <c r="A335" s="60">
        <f>ROW() - ROW(Table1[[#Headers],[s]])</f>
        <v>334</v>
      </c>
      <c r="B335" s="60" t="s">
        <v>1521</v>
      </c>
      <c r="C335" s="61">
        <v>46082</v>
      </c>
      <c r="D335" s="63" t="s">
        <v>1522</v>
      </c>
      <c r="E335" s="60" t="e" vm="155">
        <v>#VALUE!</v>
      </c>
      <c r="F335" s="60" t="e" vm="21">
        <v>#VALUE!</v>
      </c>
      <c r="G335" s="64" t="s">
        <v>36</v>
      </c>
      <c r="H335" s="60" t="s">
        <v>152</v>
      </c>
      <c r="I335" s="60" t="s">
        <v>43</v>
      </c>
      <c r="J335" s="67" t="s">
        <v>153</v>
      </c>
      <c r="K335" s="60" t="s">
        <v>154</v>
      </c>
      <c r="L335" s="65">
        <v>46086.738888888889</v>
      </c>
      <c r="M335" s="67" t="s">
        <v>39</v>
      </c>
      <c r="N335" s="67" t="s">
        <v>39</v>
      </c>
      <c r="O335" s="64"/>
      <c r="P335" s="60"/>
      <c r="Q335" s="66">
        <v>46087.486111111109</v>
      </c>
      <c r="R335" s="60"/>
      <c r="S335" s="68" t="s">
        <v>1523</v>
      </c>
      <c r="T335" s="67" t="s">
        <v>164</v>
      </c>
      <c r="U335" s="60"/>
      <c r="V335" s="68" t="s">
        <v>1524</v>
      </c>
      <c r="W335" s="60"/>
      <c r="X335" s="60"/>
      <c r="Y335" s="60" t="s">
        <v>158</v>
      </c>
      <c r="Z335" s="60" t="s">
        <v>70</v>
      </c>
      <c r="AA335" s="60"/>
      <c r="AB335" s="60"/>
      <c r="AC335" s="60"/>
      <c r="AD335" s="60"/>
      <c r="AE335" s="69"/>
      <c r="AF335" s="17"/>
      <c r="AG335" s="17"/>
      <c r="AH335" s="17"/>
      <c r="AI335" s="17"/>
      <c r="AJ335" s="17"/>
      <c r="AK335" s="17"/>
      <c r="AL335" s="17"/>
      <c r="AM335" s="17"/>
      <c r="AN335" s="17"/>
      <c r="AO335" s="17"/>
      <c r="AP335" s="17"/>
      <c r="AQ335" s="17"/>
      <c r="AR335" s="17"/>
      <c r="AS335" s="17"/>
      <c r="AT335" s="17"/>
      <c r="AU335" s="17"/>
    </row>
    <row r="336" spans="1:47" ht="15" hidden="1" customHeight="1">
      <c r="A336" s="60">
        <f>ROW() - ROW(Table1[[#Headers],[s]])</f>
        <v>335</v>
      </c>
      <c r="B336" s="60" t="s">
        <v>1525</v>
      </c>
      <c r="C336" s="61">
        <v>46082</v>
      </c>
      <c r="D336" s="63" t="s">
        <v>1526</v>
      </c>
      <c r="E336" s="60" t="e" vm="79">
        <v>#VALUE!</v>
      </c>
      <c r="F336" s="60" t="e" vm="25">
        <v>#VALUE!</v>
      </c>
      <c r="G336" s="64" t="s">
        <v>174</v>
      </c>
      <c r="H336" s="60" t="s">
        <v>747</v>
      </c>
      <c r="I336" s="42" t="s">
        <v>175</v>
      </c>
      <c r="J336" s="67" t="s">
        <v>253</v>
      </c>
      <c r="K336" s="60" t="s">
        <v>154</v>
      </c>
      <c r="L336" s="65">
        <v>46086.536111111112</v>
      </c>
      <c r="M336" s="67" t="s">
        <v>53</v>
      </c>
      <c r="N336" s="67" t="s">
        <v>53</v>
      </c>
      <c r="O336" s="65">
        <v>46086.5625</v>
      </c>
      <c r="P336" s="65">
        <v>46086.583333333336</v>
      </c>
      <c r="Q336" s="65">
        <v>46086.772916666669</v>
      </c>
      <c r="R336" s="60"/>
      <c r="S336" s="68" t="s">
        <v>1527</v>
      </c>
      <c r="T336" s="67" t="s">
        <v>164</v>
      </c>
      <c r="U336" s="60"/>
      <c r="V336" s="68" t="s">
        <v>1528</v>
      </c>
      <c r="W336" s="60"/>
      <c r="X336" s="60"/>
      <c r="Y336" s="60" t="s">
        <v>158</v>
      </c>
      <c r="Z336" s="60" t="s">
        <v>70</v>
      </c>
      <c r="AA336" s="60"/>
      <c r="AB336" s="60"/>
      <c r="AC336" s="60"/>
      <c r="AD336" s="60"/>
      <c r="AE336" s="69"/>
      <c r="AF336" s="17"/>
      <c r="AG336" s="17"/>
      <c r="AH336" s="17"/>
      <c r="AI336" s="17"/>
      <c r="AJ336" s="17"/>
      <c r="AK336" s="17"/>
      <c r="AL336" s="17"/>
      <c r="AM336" s="17"/>
      <c r="AN336" s="17"/>
      <c r="AO336" s="17"/>
      <c r="AP336" s="17"/>
      <c r="AQ336" s="17"/>
      <c r="AR336" s="17"/>
      <c r="AS336" s="17"/>
      <c r="AT336" s="17"/>
      <c r="AU336" s="17"/>
    </row>
    <row r="337" spans="1:47" ht="15" hidden="1" customHeight="1">
      <c r="A337" s="60">
        <f>ROW() - ROW(Table1[[#Headers],[s]])</f>
        <v>336</v>
      </c>
      <c r="B337" s="60" t="s">
        <v>1529</v>
      </c>
      <c r="C337" s="61">
        <v>46082</v>
      </c>
      <c r="D337" s="63" t="s">
        <v>1530</v>
      </c>
      <c r="E337" s="60" t="e" vm="15">
        <v>#VALUE!</v>
      </c>
      <c r="F337" s="60" t="e" vm="16">
        <v>#VALUE!</v>
      </c>
      <c r="G337" s="64" t="s">
        <v>174</v>
      </c>
      <c r="H337" s="60" t="s">
        <v>245</v>
      </c>
      <c r="I337" s="42" t="s">
        <v>175</v>
      </c>
      <c r="J337" s="67" t="s">
        <v>287</v>
      </c>
      <c r="K337" s="60" t="s">
        <v>1531</v>
      </c>
      <c r="L337" s="65">
        <v>46086.564583333333</v>
      </c>
      <c r="M337" s="67" t="s">
        <v>58</v>
      </c>
      <c r="N337" s="67" t="s">
        <v>58</v>
      </c>
      <c r="O337" s="65">
        <v>46086.59375</v>
      </c>
      <c r="P337" s="65">
        <v>46086.614583333336</v>
      </c>
      <c r="Q337" s="65">
        <v>46086.772916666669</v>
      </c>
      <c r="R337" s="60"/>
      <c r="S337" s="68" t="s">
        <v>1532</v>
      </c>
      <c r="T337" s="67" t="s">
        <v>164</v>
      </c>
      <c r="U337" s="60"/>
      <c r="V337" s="68" t="s">
        <v>1533</v>
      </c>
      <c r="W337" s="60"/>
      <c r="X337" s="60"/>
      <c r="Y337" s="60" t="s">
        <v>158</v>
      </c>
      <c r="Z337" s="60" t="s">
        <v>67</v>
      </c>
      <c r="AA337" s="60"/>
      <c r="AB337" s="60"/>
      <c r="AC337" s="60"/>
      <c r="AE337" s="69"/>
      <c r="AF337" s="17"/>
      <c r="AG337" s="17"/>
      <c r="AH337" s="17"/>
      <c r="AI337" s="17"/>
      <c r="AJ337" s="17"/>
      <c r="AK337" s="17"/>
      <c r="AL337" s="17"/>
      <c r="AM337" s="17"/>
      <c r="AN337" s="17"/>
      <c r="AO337" s="17"/>
      <c r="AP337" s="17"/>
      <c r="AQ337" s="17"/>
      <c r="AR337" s="17"/>
      <c r="AS337" s="17"/>
      <c r="AT337" s="17"/>
      <c r="AU337" s="17"/>
    </row>
    <row r="338" spans="1:47" ht="15" hidden="1" customHeight="1">
      <c r="A338" s="60">
        <f>ROW() - ROW(Table1[[#Headers],[s]])</f>
        <v>337</v>
      </c>
      <c r="B338" s="60" t="s">
        <v>1534</v>
      </c>
      <c r="C338" s="61">
        <v>46082</v>
      </c>
      <c r="D338" s="63" t="s">
        <v>1535</v>
      </c>
      <c r="E338" s="60" t="e" vm="112">
        <v>#VALUE!</v>
      </c>
      <c r="F338" s="60" t="e" vm="39">
        <v>#VALUE!</v>
      </c>
      <c r="G338" s="64" t="s">
        <v>174</v>
      </c>
      <c r="H338" s="60" t="s">
        <v>747</v>
      </c>
      <c r="I338" s="42" t="s">
        <v>175</v>
      </c>
      <c r="J338" s="67" t="s">
        <v>253</v>
      </c>
      <c r="K338" s="60" t="s">
        <v>154</v>
      </c>
      <c r="L338" s="65">
        <v>46086.554861111108</v>
      </c>
      <c r="M338" s="67" t="s">
        <v>1536</v>
      </c>
      <c r="N338" s="67" t="s">
        <v>1536</v>
      </c>
      <c r="O338" s="65">
        <v>46086.597222222219</v>
      </c>
      <c r="P338" s="65">
        <v>46086.604166666664</v>
      </c>
      <c r="Q338" s="65">
        <v>46086.690972222219</v>
      </c>
      <c r="R338" s="60"/>
      <c r="S338" s="68" t="s">
        <v>1537</v>
      </c>
      <c r="T338" s="67" t="s">
        <v>164</v>
      </c>
      <c r="U338" s="60"/>
      <c r="V338" s="68" t="s">
        <v>1538</v>
      </c>
      <c r="W338" s="60"/>
      <c r="X338" s="60"/>
      <c r="Y338" s="60" t="s">
        <v>158</v>
      </c>
      <c r="Z338" s="279" t="s">
        <v>70</v>
      </c>
      <c r="AA338" s="60"/>
      <c r="AB338" s="60"/>
      <c r="AC338" s="60"/>
      <c r="AD338" s="60"/>
      <c r="AE338" s="69"/>
      <c r="AF338" s="17"/>
      <c r="AG338" s="17"/>
      <c r="AH338" s="17"/>
      <c r="AI338" s="17"/>
      <c r="AJ338" s="17"/>
      <c r="AK338" s="17"/>
      <c r="AL338" s="17"/>
      <c r="AM338" s="17"/>
      <c r="AN338" s="17"/>
      <c r="AO338" s="17"/>
      <c r="AP338" s="17"/>
      <c r="AQ338" s="17"/>
      <c r="AR338" s="17"/>
      <c r="AS338" s="17"/>
      <c r="AT338" s="17"/>
      <c r="AU338" s="17"/>
    </row>
    <row r="339" spans="1:47" ht="15" hidden="1" customHeight="1">
      <c r="A339" s="60">
        <f>ROW() - ROW(Table1[[#Headers],[s]])</f>
        <v>338</v>
      </c>
      <c r="B339" s="60" t="s">
        <v>1539</v>
      </c>
      <c r="C339" s="61">
        <v>46082</v>
      </c>
      <c r="D339" s="63" t="s">
        <v>1540</v>
      </c>
      <c r="E339" s="60" t="e" vm="27">
        <v>#VALUE!</v>
      </c>
      <c r="F339" s="60" t="e" vm="10">
        <v>#VALUE!</v>
      </c>
      <c r="G339" s="64" t="s">
        <v>36</v>
      </c>
      <c r="H339" s="60" t="s">
        <v>152</v>
      </c>
      <c r="I339" s="60" t="s">
        <v>43</v>
      </c>
      <c r="J339" s="67" t="s">
        <v>153</v>
      </c>
      <c r="K339" s="60" t="s">
        <v>154</v>
      </c>
      <c r="L339" s="65">
        <v>46087.010416666664</v>
      </c>
      <c r="M339" s="67" t="s">
        <v>78</v>
      </c>
      <c r="N339" s="55" t="s">
        <v>78</v>
      </c>
      <c r="O339" s="64"/>
      <c r="P339" s="60"/>
      <c r="Q339" s="66">
        <v>46087.572916666664</v>
      </c>
      <c r="R339" s="60"/>
      <c r="S339" s="68" t="s">
        <v>1541</v>
      </c>
      <c r="T339" s="67" t="s">
        <v>266</v>
      </c>
      <c r="U339" s="60"/>
      <c r="V339" s="68" t="s">
        <v>1542</v>
      </c>
      <c r="W339" s="60"/>
      <c r="X339" s="60"/>
      <c r="Y339" s="60" t="s">
        <v>70</v>
      </c>
      <c r="Z339" s="60" t="s">
        <v>279</v>
      </c>
      <c r="AA339" s="60" t="s">
        <v>1543</v>
      </c>
      <c r="AB339" s="60"/>
      <c r="AC339" s="60"/>
      <c r="AD339" s="60"/>
      <c r="AE339" s="69"/>
      <c r="AF339" s="17"/>
      <c r="AG339" s="17"/>
      <c r="AH339" s="17"/>
      <c r="AI339" s="17"/>
      <c r="AJ339" s="17"/>
      <c r="AK339" s="17"/>
      <c r="AL339" s="17"/>
      <c r="AM339" s="17"/>
      <c r="AN339" s="17"/>
      <c r="AO339" s="17"/>
      <c r="AP339" s="17"/>
      <c r="AQ339" s="17"/>
      <c r="AR339" s="17"/>
      <c r="AS339" s="17"/>
      <c r="AT339" s="17"/>
      <c r="AU339" s="17"/>
    </row>
    <row r="340" spans="1:47" ht="15" hidden="1" customHeight="1">
      <c r="A340" s="60">
        <f>ROW() - ROW(Table1[[#Headers],[s]])</f>
        <v>339</v>
      </c>
      <c r="B340" s="60" t="s">
        <v>1544</v>
      </c>
      <c r="C340" s="61">
        <v>46082</v>
      </c>
      <c r="D340" s="63" t="s">
        <v>1545</v>
      </c>
      <c r="E340" s="60" t="e" vm="24">
        <v>#VALUE!</v>
      </c>
      <c r="F340" s="60" t="e" vm="25">
        <v>#VALUE!</v>
      </c>
      <c r="G340" s="64" t="s">
        <v>36</v>
      </c>
      <c r="H340" s="60" t="s">
        <v>152</v>
      </c>
      <c r="I340" s="60" t="s">
        <v>43</v>
      </c>
      <c r="J340" s="67" t="s">
        <v>153</v>
      </c>
      <c r="K340" s="60" t="s">
        <v>154</v>
      </c>
      <c r="L340" s="65">
        <v>46087.431944444441</v>
      </c>
      <c r="M340" s="67" t="s">
        <v>72</v>
      </c>
      <c r="N340" s="67" t="s">
        <v>72</v>
      </c>
      <c r="O340" s="64"/>
      <c r="P340" s="60"/>
      <c r="Q340" s="66">
        <v>46087.517361111109</v>
      </c>
      <c r="R340" s="60"/>
      <c r="S340" s="68" t="s">
        <v>1546</v>
      </c>
      <c r="T340" s="55" t="s">
        <v>178</v>
      </c>
      <c r="U340" s="60"/>
      <c r="V340" s="68" t="s">
        <v>1547</v>
      </c>
      <c r="W340" s="60"/>
      <c r="X340" s="60"/>
      <c r="Y340" s="60" t="s">
        <v>158</v>
      </c>
      <c r="Z340" s="60" t="s">
        <v>70</v>
      </c>
      <c r="AA340" s="60"/>
      <c r="AB340" s="60"/>
      <c r="AC340" s="60"/>
      <c r="AD340" s="60"/>
      <c r="AE340" s="69"/>
      <c r="AF340" s="17"/>
      <c r="AG340" s="17"/>
      <c r="AH340" s="17"/>
      <c r="AI340" s="17"/>
      <c r="AJ340" s="17"/>
      <c r="AK340" s="17"/>
      <c r="AL340" s="17"/>
      <c r="AM340" s="17"/>
      <c r="AN340" s="17"/>
      <c r="AO340" s="17"/>
      <c r="AP340" s="17"/>
      <c r="AQ340" s="17"/>
      <c r="AR340" s="17"/>
      <c r="AS340" s="17"/>
      <c r="AT340" s="17"/>
      <c r="AU340" s="17"/>
    </row>
    <row r="341" spans="1:47" ht="15" hidden="1" customHeight="1">
      <c r="A341" s="60">
        <f>ROW() - ROW(Table1[[#Headers],[s]])</f>
        <v>340</v>
      </c>
      <c r="B341" s="42" t="s">
        <v>1548</v>
      </c>
      <c r="C341" s="51">
        <v>46082</v>
      </c>
      <c r="D341" s="52" t="s">
        <v>1549</v>
      </c>
      <c r="E341" s="60" t="e" vm="24">
        <v>#VALUE!</v>
      </c>
      <c r="F341" s="60" t="e" vm="25">
        <v>#VALUE!</v>
      </c>
      <c r="G341" s="64" t="s">
        <v>36</v>
      </c>
      <c r="H341" s="60" t="s">
        <v>152</v>
      </c>
      <c r="I341" s="60" t="s">
        <v>43</v>
      </c>
      <c r="J341" s="67" t="s">
        <v>153</v>
      </c>
      <c r="K341" s="60" t="s">
        <v>154</v>
      </c>
      <c r="L341" s="44">
        <v>46087.43472222222</v>
      </c>
      <c r="M341" s="55" t="s">
        <v>72</v>
      </c>
      <c r="N341" s="55" t="s">
        <v>72</v>
      </c>
      <c r="O341" s="44"/>
      <c r="P341" s="44"/>
      <c r="Q341" s="58">
        <v>46087.541666666664</v>
      </c>
      <c r="R341" s="42"/>
      <c r="S341" s="53" t="s">
        <v>1550</v>
      </c>
      <c r="T341" s="67" t="s">
        <v>164</v>
      </c>
      <c r="U341" s="42"/>
      <c r="V341" s="53" t="s">
        <v>1551</v>
      </c>
      <c r="W341" s="42"/>
      <c r="X341" s="42"/>
      <c r="Y341" s="42" t="s">
        <v>203</v>
      </c>
      <c r="Z341" s="42" t="s">
        <v>70</v>
      </c>
      <c r="AA341" s="42"/>
      <c r="AB341" s="42"/>
      <c r="AC341" s="42"/>
      <c r="AD341" s="42"/>
      <c r="AE341" s="54"/>
      <c r="AF341" s="17"/>
      <c r="AG341" s="17"/>
      <c r="AH341" s="17"/>
      <c r="AI341" s="17"/>
      <c r="AJ341" s="17"/>
      <c r="AK341" s="17"/>
      <c r="AL341" s="17"/>
      <c r="AM341" s="17"/>
      <c r="AN341" s="17"/>
      <c r="AO341" s="17"/>
      <c r="AP341" s="17"/>
      <c r="AQ341" s="17"/>
      <c r="AR341" s="17"/>
      <c r="AS341" s="17"/>
      <c r="AT341" s="17"/>
      <c r="AU341" s="17"/>
    </row>
    <row r="342" spans="1:47" ht="15" hidden="1" customHeight="1">
      <c r="A342" s="60">
        <f>ROW() - ROW(Table1[[#Headers],[s]])</f>
        <v>341</v>
      </c>
      <c r="B342" s="60" t="s">
        <v>1552</v>
      </c>
      <c r="C342" s="61">
        <v>46082</v>
      </c>
      <c r="D342" s="63" t="s">
        <v>1553</v>
      </c>
      <c r="E342" s="60" t="e" vm="24">
        <v>#VALUE!</v>
      </c>
      <c r="F342" s="60" t="e" vm="25">
        <v>#VALUE!</v>
      </c>
      <c r="G342" s="64" t="s">
        <v>36</v>
      </c>
      <c r="H342" s="60" t="s">
        <v>152</v>
      </c>
      <c r="I342" s="60" t="s">
        <v>43</v>
      </c>
      <c r="J342" s="67" t="s">
        <v>153</v>
      </c>
      <c r="K342" s="60" t="s">
        <v>154</v>
      </c>
      <c r="L342" s="65">
        <v>46087.470138888886</v>
      </c>
      <c r="M342" s="55" t="s">
        <v>72</v>
      </c>
      <c r="N342" s="55" t="s">
        <v>72</v>
      </c>
      <c r="O342" s="64"/>
      <c r="P342" s="60"/>
      <c r="Q342" s="66">
        <v>46087.569444444445</v>
      </c>
      <c r="R342" s="60"/>
      <c r="S342" s="68" t="s">
        <v>1554</v>
      </c>
      <c r="T342" s="55" t="s">
        <v>178</v>
      </c>
      <c r="U342" s="60"/>
      <c r="V342" s="68" t="s">
        <v>1555</v>
      </c>
      <c r="W342" s="60"/>
      <c r="X342" s="60"/>
      <c r="Y342" s="60" t="s">
        <v>158</v>
      </c>
      <c r="Z342" s="280" t="s">
        <v>70</v>
      </c>
      <c r="AA342" s="60"/>
      <c r="AB342" s="60"/>
      <c r="AC342" s="60"/>
      <c r="AD342" s="60"/>
      <c r="AE342" s="69"/>
      <c r="AF342" s="17"/>
      <c r="AG342" s="17"/>
      <c r="AH342" s="17"/>
      <c r="AI342" s="17"/>
      <c r="AJ342" s="17"/>
      <c r="AK342" s="17"/>
      <c r="AL342" s="17"/>
      <c r="AM342" s="17"/>
      <c r="AN342" s="17"/>
      <c r="AO342" s="17"/>
      <c r="AP342" s="17"/>
      <c r="AQ342" s="17"/>
      <c r="AR342" s="17"/>
      <c r="AS342" s="17"/>
      <c r="AT342" s="17"/>
      <c r="AU342" s="17"/>
    </row>
    <row r="343" spans="1:47" ht="15" hidden="1" customHeight="1">
      <c r="A343" s="60">
        <f>ROW() - ROW(Table1[[#Headers],[s]])</f>
        <v>342</v>
      </c>
      <c r="B343" s="60" t="s">
        <v>1556</v>
      </c>
      <c r="C343" s="61">
        <v>46082</v>
      </c>
      <c r="D343" s="63" t="s">
        <v>1557</v>
      </c>
      <c r="E343" s="60" t="s">
        <v>898</v>
      </c>
      <c r="F343" s="60" t="e" vm="25">
        <v>#VALUE!</v>
      </c>
      <c r="G343" s="64" t="s">
        <v>36</v>
      </c>
      <c r="H343" s="60" t="s">
        <v>152</v>
      </c>
      <c r="I343" s="60" t="s">
        <v>43</v>
      </c>
      <c r="J343" s="67" t="s">
        <v>153</v>
      </c>
      <c r="K343" s="60" t="s">
        <v>154</v>
      </c>
      <c r="L343" s="65">
        <v>46087.572916666664</v>
      </c>
      <c r="M343" s="67" t="s">
        <v>72</v>
      </c>
      <c r="N343" s="67" t="s">
        <v>72</v>
      </c>
      <c r="O343" s="64"/>
      <c r="P343" s="60"/>
      <c r="Q343" s="66">
        <v>46087.666666666664</v>
      </c>
      <c r="R343" s="60"/>
      <c r="S343" s="68" t="s">
        <v>1558</v>
      </c>
      <c r="T343" s="67" t="s">
        <v>164</v>
      </c>
      <c r="U343" s="60"/>
      <c r="V343" s="68" t="s">
        <v>1559</v>
      </c>
      <c r="W343" s="60"/>
      <c r="X343" s="60"/>
      <c r="Y343" s="60" t="s">
        <v>203</v>
      </c>
      <c r="Z343" s="60" t="s">
        <v>70</v>
      </c>
      <c r="AA343" s="60"/>
      <c r="AB343" s="60"/>
      <c r="AC343" s="60"/>
      <c r="AD343" s="60"/>
      <c r="AE343" s="69"/>
      <c r="AF343" s="17"/>
      <c r="AG343" s="17"/>
      <c r="AH343" s="17"/>
      <c r="AI343" s="17"/>
      <c r="AJ343" s="17"/>
      <c r="AK343" s="17"/>
      <c r="AL343" s="17"/>
      <c r="AM343" s="17"/>
      <c r="AN343" s="17"/>
      <c r="AO343" s="17"/>
      <c r="AP343" s="17"/>
      <c r="AQ343" s="17"/>
      <c r="AR343" s="17"/>
      <c r="AS343" s="17"/>
      <c r="AT343" s="17"/>
      <c r="AU343" s="17"/>
    </row>
    <row r="344" spans="1:47" ht="15.75" hidden="1" customHeight="1">
      <c r="A344" s="60">
        <f>ROW() - ROW(Table1[[#Headers],[s]])</f>
        <v>343</v>
      </c>
      <c r="B344" s="74" t="s">
        <v>1560</v>
      </c>
      <c r="C344" s="51">
        <v>46082</v>
      </c>
      <c r="D344" s="52" t="s">
        <v>1561</v>
      </c>
      <c r="E344" s="60" t="e" vm="24">
        <v>#VALUE!</v>
      </c>
      <c r="F344" s="60" t="e" vm="25">
        <v>#VALUE!</v>
      </c>
      <c r="G344" s="64" t="s">
        <v>36</v>
      </c>
      <c r="H344" s="60" t="s">
        <v>152</v>
      </c>
      <c r="I344" s="60" t="s">
        <v>43</v>
      </c>
      <c r="J344" s="67" t="s">
        <v>153</v>
      </c>
      <c r="K344" s="60" t="s">
        <v>154</v>
      </c>
      <c r="L344" s="44">
        <v>46087.584027777775</v>
      </c>
      <c r="M344" s="55" t="s">
        <v>72</v>
      </c>
      <c r="N344" s="55" t="s">
        <v>72</v>
      </c>
      <c r="O344" s="44"/>
      <c r="P344" s="44"/>
      <c r="Q344" s="58">
        <v>46087.739583333336</v>
      </c>
      <c r="R344" s="42"/>
      <c r="S344" s="53" t="s">
        <v>1562</v>
      </c>
      <c r="T344" s="67" t="s">
        <v>164</v>
      </c>
      <c r="U344" s="42"/>
      <c r="V344" s="53" t="s">
        <v>1563</v>
      </c>
      <c r="W344" s="42"/>
      <c r="X344" s="42"/>
      <c r="Y344" s="42" t="s">
        <v>158</v>
      </c>
      <c r="Z344" s="42" t="s">
        <v>70</v>
      </c>
      <c r="AA344" s="42"/>
      <c r="AB344" s="42"/>
      <c r="AC344" s="42"/>
      <c r="AD344" s="42"/>
      <c r="AE344" s="54"/>
      <c r="AF344" s="17"/>
      <c r="AG344" s="17"/>
      <c r="AH344" s="17"/>
      <c r="AI344" s="17"/>
      <c r="AJ344" s="17"/>
      <c r="AK344" s="17"/>
      <c r="AL344" s="17"/>
      <c r="AM344" s="17"/>
      <c r="AN344" s="17"/>
      <c r="AO344" s="17"/>
      <c r="AP344" s="17"/>
      <c r="AQ344" s="17"/>
      <c r="AR344" s="17"/>
      <c r="AS344" s="17"/>
      <c r="AT344" s="17"/>
      <c r="AU344" s="17"/>
    </row>
    <row r="345" spans="1:47" ht="15" hidden="1" customHeight="1">
      <c r="A345" s="60">
        <f>ROW() - ROW(Table1[[#Headers],[s]])</f>
        <v>344</v>
      </c>
      <c r="B345" s="60" t="s">
        <v>1564</v>
      </c>
      <c r="C345" s="61">
        <v>46082</v>
      </c>
      <c r="D345" s="63" t="s">
        <v>1565</v>
      </c>
      <c r="E345" s="60" t="e" vm="156">
        <v>#VALUE!</v>
      </c>
      <c r="F345" s="60" t="e" vm="1">
        <v>#VALUE!</v>
      </c>
      <c r="G345" s="64" t="s">
        <v>36</v>
      </c>
      <c r="H345" s="60" t="s">
        <v>152</v>
      </c>
      <c r="I345" s="159" t="s">
        <v>43</v>
      </c>
      <c r="J345" s="67" t="s">
        <v>153</v>
      </c>
      <c r="K345" s="60" t="s">
        <v>154</v>
      </c>
      <c r="L345" s="65">
        <v>46087.577777777777</v>
      </c>
      <c r="M345" s="67" t="s">
        <v>1062</v>
      </c>
      <c r="N345" s="67" t="s">
        <v>1062</v>
      </c>
      <c r="O345" s="64"/>
      <c r="P345" s="60"/>
      <c r="Q345" s="66">
        <v>46087.8125</v>
      </c>
      <c r="R345" s="60"/>
      <c r="S345" s="68" t="s">
        <v>1566</v>
      </c>
      <c r="T345" s="67" t="s">
        <v>516</v>
      </c>
      <c r="U345" s="60"/>
      <c r="V345" s="68" t="s">
        <v>1567</v>
      </c>
      <c r="W345" s="60"/>
      <c r="X345" s="60"/>
      <c r="Y345" s="60" t="s">
        <v>158</v>
      </c>
      <c r="Z345" s="60" t="s">
        <v>70</v>
      </c>
      <c r="AA345" s="60"/>
      <c r="AB345" s="60"/>
      <c r="AC345" s="60"/>
      <c r="AD345" s="60"/>
      <c r="AE345" s="69"/>
      <c r="AF345" s="17"/>
      <c r="AG345" s="17"/>
      <c r="AH345" s="17"/>
      <c r="AI345" s="17"/>
      <c r="AJ345" s="17"/>
      <c r="AK345" s="17"/>
      <c r="AL345" s="17"/>
      <c r="AM345" s="17"/>
      <c r="AN345" s="17"/>
      <c r="AO345" s="17"/>
      <c r="AP345" s="17"/>
      <c r="AQ345" s="17"/>
      <c r="AR345" s="17"/>
      <c r="AS345" s="17"/>
      <c r="AT345" s="17"/>
      <c r="AU345" s="17"/>
    </row>
    <row r="346" spans="1:47" ht="15" hidden="1" customHeight="1">
      <c r="A346" s="60">
        <f>ROW() - ROW(Table1[[#Headers],[s]])</f>
        <v>345</v>
      </c>
      <c r="B346" s="42" t="s">
        <v>1568</v>
      </c>
      <c r="C346" s="51">
        <v>46082</v>
      </c>
      <c r="D346" s="52" t="s">
        <v>1569</v>
      </c>
      <c r="E346" s="42" t="e" vm="20">
        <v>#VALUE!</v>
      </c>
      <c r="F346" s="42" t="e" vm="21">
        <v>#VALUE!</v>
      </c>
      <c r="G346" s="43" t="s">
        <v>200</v>
      </c>
      <c r="H346" s="42" t="s">
        <v>152</v>
      </c>
      <c r="I346" s="160" t="s">
        <v>1221</v>
      </c>
      <c r="J346" s="55" t="s">
        <v>153</v>
      </c>
      <c r="K346" s="42" t="s">
        <v>154</v>
      </c>
      <c r="L346" s="44">
        <v>46087.647916666669</v>
      </c>
      <c r="M346" s="55" t="s">
        <v>39</v>
      </c>
      <c r="N346" s="55" t="s">
        <v>39</v>
      </c>
      <c r="O346" s="44">
        <v>46088.416666666664</v>
      </c>
      <c r="P346" s="44">
        <v>46088.5</v>
      </c>
      <c r="Q346" s="58">
        <v>46088.583333333336</v>
      </c>
      <c r="R346" s="42"/>
      <c r="S346" s="53" t="s">
        <v>1570</v>
      </c>
      <c r="T346" s="42" t="s">
        <v>164</v>
      </c>
      <c r="U346" s="42"/>
      <c r="V346" s="53" t="s">
        <v>239</v>
      </c>
      <c r="W346" s="42"/>
      <c r="X346" s="42"/>
      <c r="Y346" s="42" t="s">
        <v>203</v>
      </c>
      <c r="Z346" s="42" t="s">
        <v>67</v>
      </c>
      <c r="AA346" s="42"/>
      <c r="AB346" s="42"/>
      <c r="AC346" s="42"/>
      <c r="AD346" s="42"/>
      <c r="AE346" s="54"/>
    </row>
    <row r="347" spans="1:47" ht="15.75" hidden="1" customHeight="1">
      <c r="A347" s="60">
        <f>ROW() - ROW(Table1[[#Headers],[s]])</f>
        <v>346</v>
      </c>
      <c r="B347" s="74" t="s">
        <v>1571</v>
      </c>
      <c r="C347" s="51">
        <v>46082</v>
      </c>
      <c r="D347" s="52" t="s">
        <v>1572</v>
      </c>
      <c r="E347" s="42" t="e" vm="70">
        <v>#VALUE!</v>
      </c>
      <c r="F347" s="42" t="e" vm="37">
        <v>#VALUE!</v>
      </c>
      <c r="G347" s="43" t="s">
        <v>36</v>
      </c>
      <c r="H347" s="42" t="s">
        <v>152</v>
      </c>
      <c r="I347" s="160" t="s">
        <v>43</v>
      </c>
      <c r="J347" s="55" t="s">
        <v>153</v>
      </c>
      <c r="K347" s="42" t="s">
        <v>154</v>
      </c>
      <c r="L347" s="44">
        <v>46087.671527777777</v>
      </c>
      <c r="M347" s="55" t="s">
        <v>1023</v>
      </c>
      <c r="N347" s="55" t="s">
        <v>1023</v>
      </c>
      <c r="O347" s="44"/>
      <c r="P347" s="44"/>
      <c r="Q347" s="58">
        <v>46088.03125</v>
      </c>
      <c r="R347" s="42"/>
      <c r="S347" s="53" t="s">
        <v>1573</v>
      </c>
      <c r="T347" s="67" t="s">
        <v>164</v>
      </c>
      <c r="U347" s="42"/>
      <c r="V347" s="53" t="s">
        <v>1574</v>
      </c>
      <c r="W347" s="42"/>
      <c r="X347" s="42"/>
      <c r="Y347" s="42" t="s">
        <v>203</v>
      </c>
      <c r="Z347" s="42" t="s">
        <v>70</v>
      </c>
      <c r="AA347" s="42"/>
      <c r="AB347" s="42"/>
      <c r="AC347" s="42"/>
      <c r="AD347" s="42"/>
      <c r="AE347" s="54"/>
    </row>
    <row r="348" spans="1:47" ht="15" hidden="1" customHeight="1">
      <c r="A348" s="60">
        <f>ROW() - ROW(Table1[[#Headers],[s]])</f>
        <v>347</v>
      </c>
      <c r="B348" s="42" t="s">
        <v>1575</v>
      </c>
      <c r="C348" s="51">
        <v>46082</v>
      </c>
      <c r="D348" s="52" t="s">
        <v>1576</v>
      </c>
      <c r="E348" s="42" t="e" vm="9">
        <v>#VALUE!</v>
      </c>
      <c r="F348" s="42" t="e" vm="10">
        <v>#VALUE!</v>
      </c>
      <c r="G348" s="43" t="s">
        <v>36</v>
      </c>
      <c r="H348" s="42" t="s">
        <v>152</v>
      </c>
      <c r="I348" s="160" t="s">
        <v>43</v>
      </c>
      <c r="J348" s="55" t="s">
        <v>153</v>
      </c>
      <c r="K348" s="42" t="s">
        <v>154</v>
      </c>
      <c r="L348" s="44">
        <v>46087.710416666669</v>
      </c>
      <c r="M348" s="55" t="s">
        <v>78</v>
      </c>
      <c r="N348" s="55" t="s">
        <v>78</v>
      </c>
      <c r="O348" s="44"/>
      <c r="P348" s="44"/>
      <c r="Q348" s="58">
        <v>46087.756944444445</v>
      </c>
      <c r="R348" s="42"/>
      <c r="S348" s="68" t="s">
        <v>373</v>
      </c>
      <c r="T348" s="67" t="s">
        <v>164</v>
      </c>
      <c r="U348" s="42"/>
      <c r="V348" s="53" t="s">
        <v>1577</v>
      </c>
      <c r="W348" s="42"/>
      <c r="X348" s="42"/>
      <c r="Y348" s="42" t="s">
        <v>203</v>
      </c>
      <c r="Z348" s="42" t="s">
        <v>70</v>
      </c>
      <c r="AA348" s="42"/>
      <c r="AB348" s="42"/>
      <c r="AC348" s="42"/>
      <c r="AD348" s="42"/>
      <c r="AE348" s="54"/>
    </row>
    <row r="349" spans="1:47" ht="15.75" hidden="1" customHeight="1">
      <c r="A349" s="60">
        <f>ROW() - ROW(Table1[[#Headers],[s]])</f>
        <v>348</v>
      </c>
      <c r="B349" s="74" t="s">
        <v>1578</v>
      </c>
      <c r="C349" s="161" t="s">
        <v>60</v>
      </c>
      <c r="D349" s="52" t="s">
        <v>1579</v>
      </c>
      <c r="E349" s="42" t="e" vm="20">
        <v>#VALUE!</v>
      </c>
      <c r="F349" s="42" t="e" vm="21">
        <v>#VALUE!</v>
      </c>
      <c r="G349" s="43" t="s">
        <v>200</v>
      </c>
      <c r="H349" s="42" t="s">
        <v>152</v>
      </c>
      <c r="I349" s="94" t="s">
        <v>60</v>
      </c>
      <c r="J349" s="55" t="s">
        <v>153</v>
      </c>
      <c r="K349" s="42" t="s">
        <v>154</v>
      </c>
      <c r="L349" s="44">
        <v>46087.711111111108</v>
      </c>
      <c r="M349" s="55" t="s">
        <v>39</v>
      </c>
      <c r="N349" s="55"/>
      <c r="O349" s="44"/>
      <c r="P349" s="56"/>
      <c r="Q349" s="132"/>
      <c r="R349" s="42"/>
      <c r="S349" s="290" t="s">
        <v>1580</v>
      </c>
      <c r="T349" s="67" t="s">
        <v>164</v>
      </c>
      <c r="U349" s="42"/>
      <c r="V349" s="290" t="s">
        <v>1580</v>
      </c>
      <c r="W349" s="42"/>
      <c r="X349" s="42"/>
      <c r="Y349" s="42" t="s">
        <v>179</v>
      </c>
      <c r="Z349" s="42" t="s">
        <v>70</v>
      </c>
      <c r="AA349" s="42"/>
      <c r="AB349" s="42"/>
      <c r="AC349" s="42"/>
      <c r="AD349" s="42"/>
      <c r="AE349" s="54"/>
    </row>
    <row r="350" spans="1:47" ht="15.75" hidden="1" customHeight="1">
      <c r="A350" s="60">
        <f>ROW() - ROW(Table1[[#Headers],[s]])</f>
        <v>349</v>
      </c>
      <c r="B350" s="74" t="s">
        <v>1581</v>
      </c>
      <c r="C350" s="51">
        <v>46082</v>
      </c>
      <c r="D350" s="52" t="s">
        <v>1582</v>
      </c>
      <c r="E350" s="42" t="e" vm="157">
        <v>#VALUE!</v>
      </c>
      <c r="F350" s="42" t="e" vm="37">
        <v>#VALUE!</v>
      </c>
      <c r="G350" s="43" t="s">
        <v>36</v>
      </c>
      <c r="H350" s="42" t="s">
        <v>245</v>
      </c>
      <c r="I350" s="160" t="s">
        <v>43</v>
      </c>
      <c r="J350" s="67" t="s">
        <v>287</v>
      </c>
      <c r="K350" s="42" t="s">
        <v>154</v>
      </c>
      <c r="L350" s="44">
        <v>46087.720138888886</v>
      </c>
      <c r="M350" s="55" t="s">
        <v>1583</v>
      </c>
      <c r="N350" s="55" t="s">
        <v>1583</v>
      </c>
      <c r="O350" s="44"/>
      <c r="P350" s="44"/>
      <c r="Q350" s="58">
        <v>46087.8</v>
      </c>
      <c r="R350" s="42"/>
      <c r="S350" s="53" t="s">
        <v>1584</v>
      </c>
      <c r="T350" s="42" t="s">
        <v>164</v>
      </c>
      <c r="U350" s="42"/>
      <c r="V350" s="53" t="s">
        <v>1585</v>
      </c>
      <c r="W350" s="42"/>
      <c r="X350" s="42"/>
      <c r="Y350" s="42" t="s">
        <v>158</v>
      </c>
      <c r="Z350" s="42" t="s">
        <v>67</v>
      </c>
      <c r="AA350" s="42"/>
      <c r="AB350" s="42"/>
      <c r="AC350" s="42"/>
      <c r="AD350" s="42" t="s">
        <v>985</v>
      </c>
      <c r="AE350" s="54"/>
    </row>
    <row r="351" spans="1:47" ht="15.75" hidden="1" customHeight="1">
      <c r="A351" s="60">
        <f>ROW() - ROW(Table1[[#Headers],[s]])</f>
        <v>350</v>
      </c>
      <c r="B351" s="74" t="s">
        <v>1586</v>
      </c>
      <c r="C351" s="51">
        <v>46082</v>
      </c>
      <c r="D351" s="52" t="s">
        <v>1587</v>
      </c>
      <c r="E351" s="42" t="e" vm="127">
        <v>#VALUE!</v>
      </c>
      <c r="F351" s="42" t="e" vm="21">
        <v>#VALUE!</v>
      </c>
      <c r="G351" s="43" t="s">
        <v>200</v>
      </c>
      <c r="H351" s="42" t="s">
        <v>152</v>
      </c>
      <c r="I351" s="160" t="s">
        <v>1221</v>
      </c>
      <c r="J351" s="55" t="s">
        <v>153</v>
      </c>
      <c r="K351" s="42" t="s">
        <v>154</v>
      </c>
      <c r="L351" s="44">
        <v>46088.03125</v>
      </c>
      <c r="M351" s="55" t="s">
        <v>39</v>
      </c>
      <c r="N351" s="55" t="s">
        <v>39</v>
      </c>
      <c r="O351" s="44">
        <v>46088.25</v>
      </c>
      <c r="P351" s="44">
        <v>46088.375</v>
      </c>
      <c r="Q351" s="58">
        <v>46088.791666666664</v>
      </c>
      <c r="R351" s="42"/>
      <c r="S351" s="53" t="s">
        <v>1588</v>
      </c>
      <c r="T351" s="42" t="s">
        <v>516</v>
      </c>
      <c r="U351" s="42"/>
      <c r="V351" s="53" t="s">
        <v>1589</v>
      </c>
      <c r="W351" s="42"/>
      <c r="X351" s="42"/>
      <c r="Y351" s="42" t="s">
        <v>203</v>
      </c>
      <c r="Z351" s="42" t="s">
        <v>67</v>
      </c>
      <c r="AB351" s="42"/>
      <c r="AC351" s="42"/>
      <c r="AD351" s="42"/>
      <c r="AE351" s="54"/>
    </row>
    <row r="352" spans="1:47" ht="15.75" hidden="1" customHeight="1">
      <c r="A352" s="60">
        <f>ROW() - ROW(Table1[[#Headers],[s]])</f>
        <v>351</v>
      </c>
      <c r="B352" s="74" t="s">
        <v>1590</v>
      </c>
      <c r="C352" s="51">
        <v>46082</v>
      </c>
      <c r="D352" s="52" t="s">
        <v>1591</v>
      </c>
      <c r="E352" s="42" t="e" vm="95">
        <v>#VALUE!</v>
      </c>
      <c r="F352" s="42" t="e" vm="30">
        <v>#VALUE!</v>
      </c>
      <c r="G352" s="43" t="s">
        <v>200</v>
      </c>
      <c r="H352" s="42" t="s">
        <v>152</v>
      </c>
      <c r="I352" s="42" t="s">
        <v>1221</v>
      </c>
      <c r="J352" s="55" t="s">
        <v>153</v>
      </c>
      <c r="K352" s="42" t="s">
        <v>154</v>
      </c>
      <c r="L352" s="44">
        <v>46088.428472222222</v>
      </c>
      <c r="M352" s="55" t="s">
        <v>1592</v>
      </c>
      <c r="N352" s="55" t="s">
        <v>1592</v>
      </c>
      <c r="O352" s="44">
        <v>46088.5</v>
      </c>
      <c r="P352" s="44">
        <v>46088.541666666664</v>
      </c>
      <c r="Q352" s="58">
        <v>46088.708333333336</v>
      </c>
      <c r="R352" s="42"/>
      <c r="S352" s="53" t="s">
        <v>1593</v>
      </c>
      <c r="T352" s="55" t="s">
        <v>516</v>
      </c>
      <c r="U352" s="42"/>
      <c r="V352" s="53" t="s">
        <v>1594</v>
      </c>
      <c r="W352" s="42"/>
      <c r="X352" s="42"/>
      <c r="Y352" s="42" t="s">
        <v>203</v>
      </c>
      <c r="Z352" s="60" t="s">
        <v>67</v>
      </c>
      <c r="AA352" s="42"/>
      <c r="AB352" s="42"/>
      <c r="AC352" s="42"/>
      <c r="AD352" s="42"/>
      <c r="AE352" s="54"/>
    </row>
    <row r="353" spans="1:31" ht="15" hidden="1" customHeight="1">
      <c r="A353" s="60">
        <f>ROW() - ROW(Table1[[#Headers],[s]])</f>
        <v>352</v>
      </c>
      <c r="B353" s="42" t="s">
        <v>1595</v>
      </c>
      <c r="C353" s="51">
        <v>46082</v>
      </c>
      <c r="D353" s="52" t="s">
        <v>1596</v>
      </c>
      <c r="E353" s="42" t="e" vm="82">
        <v>#VALUE!</v>
      </c>
      <c r="F353" s="42" t="e" vm="5">
        <v>#VALUE!</v>
      </c>
      <c r="G353" s="43" t="s">
        <v>200</v>
      </c>
      <c r="H353" s="42" t="s">
        <v>152</v>
      </c>
      <c r="I353" s="42" t="s">
        <v>1221</v>
      </c>
      <c r="J353" s="55" t="s">
        <v>153</v>
      </c>
      <c r="K353" s="42" t="s">
        <v>154</v>
      </c>
      <c r="L353" s="44">
        <v>46088.736805555556</v>
      </c>
      <c r="M353" s="55" t="s">
        <v>55</v>
      </c>
      <c r="N353" s="55" t="s">
        <v>55</v>
      </c>
      <c r="O353" s="56">
        <v>46088.958333333336</v>
      </c>
      <c r="P353" s="56">
        <v>46089.020833333336</v>
      </c>
      <c r="Q353" s="132">
        <v>46089.041666666664</v>
      </c>
      <c r="R353" s="42"/>
      <c r="S353" s="164" t="s">
        <v>1597</v>
      </c>
      <c r="T353" s="55" t="s">
        <v>179</v>
      </c>
      <c r="U353" s="42"/>
      <c r="V353" s="164" t="s">
        <v>374</v>
      </c>
      <c r="W353" s="42"/>
      <c r="X353" s="42"/>
      <c r="Y353" s="42" t="s">
        <v>203</v>
      </c>
      <c r="Z353" s="42" t="s">
        <v>70</v>
      </c>
      <c r="AA353" s="42"/>
      <c r="AB353" s="42"/>
      <c r="AC353" s="42"/>
      <c r="AD353" s="42"/>
      <c r="AE353" s="54"/>
    </row>
    <row r="354" spans="1:31" ht="15" hidden="1" customHeight="1">
      <c r="A354" s="60">
        <f>ROW() - ROW(Table1[[#Headers],[s]])</f>
        <v>353</v>
      </c>
      <c r="B354" s="42" t="s">
        <v>1407</v>
      </c>
      <c r="C354" s="51">
        <v>46082</v>
      </c>
      <c r="D354" s="59" t="s">
        <v>1598</v>
      </c>
      <c r="E354" s="42" t="e" vm="152">
        <v>#VALUE!</v>
      </c>
      <c r="F354" s="42" t="e" vm="2">
        <v>#VALUE!</v>
      </c>
      <c r="G354" s="43" t="s">
        <v>174</v>
      </c>
      <c r="H354" s="42" t="s">
        <v>152</v>
      </c>
      <c r="I354" s="42" t="s">
        <v>175</v>
      </c>
      <c r="J354" s="55" t="s">
        <v>153</v>
      </c>
      <c r="K354" s="42" t="s">
        <v>154</v>
      </c>
      <c r="L354" s="44">
        <v>46088.739583333336</v>
      </c>
      <c r="M354" s="55" t="s">
        <v>162</v>
      </c>
      <c r="N354" s="55" t="s">
        <v>162</v>
      </c>
      <c r="O354" s="56">
        <v>46090.333333333336</v>
      </c>
      <c r="P354" s="56">
        <v>46090.354166666664</v>
      </c>
      <c r="Q354" s="56">
        <v>46090.364583333336</v>
      </c>
      <c r="R354" s="42"/>
      <c r="S354" s="53" t="s">
        <v>1599</v>
      </c>
      <c r="T354" s="67" t="s">
        <v>164</v>
      </c>
      <c r="U354" s="42"/>
      <c r="V354" s="53" t="s">
        <v>1600</v>
      </c>
      <c r="W354" s="42"/>
      <c r="X354" s="42"/>
      <c r="Y354" s="42" t="s">
        <v>158</v>
      </c>
      <c r="Z354" s="280" t="s">
        <v>70</v>
      </c>
      <c r="AA354" s="42"/>
      <c r="AB354" s="42"/>
      <c r="AC354" s="42"/>
      <c r="AD354" s="42"/>
      <c r="AE354" s="54"/>
    </row>
    <row r="355" spans="1:31" ht="15" hidden="1" customHeight="1">
      <c r="A355" s="60">
        <f>ROW() - ROW(Table1[[#Headers],[s]])</f>
        <v>354</v>
      </c>
      <c r="B355" s="42" t="s">
        <v>1601</v>
      </c>
      <c r="C355" s="51">
        <v>46082</v>
      </c>
      <c r="D355" s="52" t="s">
        <v>1602</v>
      </c>
      <c r="E355" s="42" t="e" vm="58">
        <v>#VALUE!</v>
      </c>
      <c r="F355" s="42" t="e" vm="25">
        <v>#VALUE!</v>
      </c>
      <c r="G355" s="43" t="s">
        <v>200</v>
      </c>
      <c r="H355" s="42" t="s">
        <v>152</v>
      </c>
      <c r="I355" s="42" t="s">
        <v>1221</v>
      </c>
      <c r="J355" s="55" t="s">
        <v>153</v>
      </c>
      <c r="K355" s="42" t="s">
        <v>154</v>
      </c>
      <c r="L355" s="44">
        <v>46088.749305555553</v>
      </c>
      <c r="M355" s="55" t="s">
        <v>53</v>
      </c>
      <c r="N355" s="55" t="s">
        <v>53</v>
      </c>
      <c r="O355" s="56">
        <v>46089.458333333336</v>
      </c>
      <c r="P355" s="56">
        <v>46089.458333333336</v>
      </c>
      <c r="Q355" s="132">
        <v>46089.479166666664</v>
      </c>
      <c r="R355" s="42"/>
      <c r="S355" s="53" t="s">
        <v>1603</v>
      </c>
      <c r="T355" s="55" t="s">
        <v>179</v>
      </c>
      <c r="U355" s="42"/>
      <c r="V355" s="164" t="s">
        <v>1604</v>
      </c>
      <c r="W355" s="42"/>
      <c r="X355" s="42"/>
      <c r="Y355" s="42" t="s">
        <v>203</v>
      </c>
      <c r="Z355" s="42" t="s">
        <v>70</v>
      </c>
      <c r="AA355" s="42"/>
      <c r="AB355" s="42"/>
      <c r="AC355" s="42"/>
      <c r="AD355" s="42"/>
      <c r="AE355" s="54"/>
    </row>
    <row r="356" spans="1:31" ht="15" hidden="1" customHeight="1">
      <c r="A356" s="60">
        <f>ROW() - ROW(Table1[[#Headers],[s]])</f>
        <v>355</v>
      </c>
      <c r="B356" s="42" t="s">
        <v>1605</v>
      </c>
      <c r="C356" s="163">
        <v>46082</v>
      </c>
      <c r="D356" s="52" t="s">
        <v>1606</v>
      </c>
      <c r="E356" s="42" t="e" vm="158">
        <v>#VALUE!</v>
      </c>
      <c r="F356" s="42" t="e" vm="30">
        <v>#VALUE!</v>
      </c>
      <c r="G356" s="43" t="s">
        <v>174</v>
      </c>
      <c r="H356" s="42" t="s">
        <v>152</v>
      </c>
      <c r="I356" s="42" t="s">
        <v>175</v>
      </c>
      <c r="J356" s="55" t="s">
        <v>153</v>
      </c>
      <c r="K356" s="42" t="s">
        <v>154</v>
      </c>
      <c r="L356" s="44">
        <v>46089.524305555555</v>
      </c>
      <c r="M356" s="55" t="s">
        <v>82</v>
      </c>
      <c r="N356" s="55" t="s">
        <v>82</v>
      </c>
      <c r="O356" s="56">
        <v>46090.333333333336</v>
      </c>
      <c r="P356" s="56">
        <v>46090.354166666664</v>
      </c>
      <c r="Q356" s="56">
        <v>46090.381944444445</v>
      </c>
      <c r="R356" s="42"/>
      <c r="S356" s="53" t="s">
        <v>1607</v>
      </c>
      <c r="T356" s="67" t="s">
        <v>1608</v>
      </c>
      <c r="U356" s="42"/>
      <c r="V356" s="164" t="s">
        <v>1609</v>
      </c>
      <c r="W356" s="42"/>
      <c r="X356" s="42"/>
      <c r="Y356" s="42" t="s">
        <v>158</v>
      </c>
      <c r="Z356" s="60" t="s">
        <v>70</v>
      </c>
      <c r="AA356" s="42"/>
      <c r="AB356" s="42"/>
      <c r="AC356" s="42"/>
      <c r="AD356" s="60"/>
      <c r="AE356" s="54"/>
    </row>
    <row r="357" spans="1:31" ht="15" hidden="1" customHeight="1">
      <c r="A357" s="60">
        <f>ROW() - ROW(Table1[[#Headers],[s]])</f>
        <v>356</v>
      </c>
      <c r="B357" s="42" t="s">
        <v>1610</v>
      </c>
      <c r="C357" s="163">
        <v>46082</v>
      </c>
      <c r="D357" s="52" t="s">
        <v>1611</v>
      </c>
      <c r="E357" s="42" t="e" vm="79">
        <v>#VALUE!</v>
      </c>
      <c r="F357" s="42" t="e" vm="25">
        <v>#VALUE!</v>
      </c>
      <c r="G357" s="43" t="s">
        <v>200</v>
      </c>
      <c r="H357" s="42" t="s">
        <v>747</v>
      </c>
      <c r="I357" s="42" t="s">
        <v>1221</v>
      </c>
      <c r="J357" s="55" t="s">
        <v>253</v>
      </c>
      <c r="K357" s="42" t="s">
        <v>154</v>
      </c>
      <c r="L357" s="44">
        <v>46089.540277777778</v>
      </c>
      <c r="M357" s="55" t="s">
        <v>53</v>
      </c>
      <c r="N357" s="55" t="s">
        <v>53</v>
      </c>
      <c r="O357" s="56">
        <v>46089.583333333336</v>
      </c>
      <c r="P357" s="56">
        <v>46089.604166666664</v>
      </c>
      <c r="Q357" s="132">
        <v>46089.635416666664</v>
      </c>
      <c r="R357" s="42"/>
      <c r="S357" s="53" t="s">
        <v>1213</v>
      </c>
      <c r="T357" s="55" t="s">
        <v>478</v>
      </c>
      <c r="U357" s="42"/>
      <c r="V357" s="53" t="s">
        <v>837</v>
      </c>
      <c r="W357" s="42"/>
      <c r="X357" s="42"/>
      <c r="Y357" s="42" t="s">
        <v>203</v>
      </c>
      <c r="Z357" s="42" t="s">
        <v>70</v>
      </c>
      <c r="AA357" s="42"/>
      <c r="AB357" s="42"/>
      <c r="AC357" s="42"/>
      <c r="AD357" s="42"/>
      <c r="AE357" s="54"/>
    </row>
    <row r="358" spans="1:31" ht="15" hidden="1" customHeight="1">
      <c r="A358" s="60">
        <f>ROW() - ROW(Table1[[#Headers],[s]])</f>
        <v>357</v>
      </c>
      <c r="B358" s="42" t="s">
        <v>1612</v>
      </c>
      <c r="C358" s="163">
        <v>46082</v>
      </c>
      <c r="D358" s="52" t="s">
        <v>1613</v>
      </c>
      <c r="E358" s="42" t="e" vm="138">
        <v>#VALUE!</v>
      </c>
      <c r="F358" s="42" t="e" vm="5">
        <v>#VALUE!</v>
      </c>
      <c r="G358" s="43" t="s">
        <v>174</v>
      </c>
      <c r="H358" s="42" t="s">
        <v>747</v>
      </c>
      <c r="I358" s="42" t="s">
        <v>175</v>
      </c>
      <c r="J358" s="55" t="s">
        <v>253</v>
      </c>
      <c r="K358" s="42" t="s">
        <v>154</v>
      </c>
      <c r="L358" s="44">
        <v>46089.905555555553</v>
      </c>
      <c r="M358" s="55" t="s">
        <v>55</v>
      </c>
      <c r="N358" s="55" t="s">
        <v>55</v>
      </c>
      <c r="O358" s="56">
        <v>46090.958333333336</v>
      </c>
      <c r="P358" s="56">
        <v>46090.979166666664</v>
      </c>
      <c r="Q358" s="132">
        <v>46090.602083333331</v>
      </c>
      <c r="R358" s="42"/>
      <c r="S358" s="53" t="s">
        <v>1614</v>
      </c>
      <c r="T358" s="55" t="s">
        <v>1118</v>
      </c>
      <c r="U358" s="42"/>
      <c r="V358" s="53" t="s">
        <v>1615</v>
      </c>
      <c r="W358" s="42"/>
      <c r="X358" s="42"/>
      <c r="Y358" s="42" t="s">
        <v>70</v>
      </c>
      <c r="Z358" s="60" t="s">
        <v>67</v>
      </c>
      <c r="AA358" s="42"/>
      <c r="AB358" s="42"/>
      <c r="AC358" s="42"/>
      <c r="AD358" s="42"/>
      <c r="AE358" s="54"/>
    </row>
    <row r="359" spans="1:31" ht="15" hidden="1" customHeight="1">
      <c r="A359" s="60">
        <f>ROW() - ROW(Table1[[#Headers],[s]])</f>
        <v>358</v>
      </c>
      <c r="B359" s="165" t="s">
        <v>1616</v>
      </c>
      <c r="C359" s="163">
        <v>46082</v>
      </c>
      <c r="D359" s="73" t="s">
        <v>1617</v>
      </c>
      <c r="E359" s="42" t="e" vm="159">
        <v>#VALUE!</v>
      </c>
      <c r="F359" s="42" t="e" vm="5">
        <v>#VALUE!</v>
      </c>
      <c r="G359" s="43" t="s">
        <v>174</v>
      </c>
      <c r="H359" s="42" t="s">
        <v>747</v>
      </c>
      <c r="I359" s="42" t="s">
        <v>175</v>
      </c>
      <c r="J359" s="55" t="s">
        <v>253</v>
      </c>
      <c r="K359" s="42" t="s">
        <v>154</v>
      </c>
      <c r="L359" s="71">
        <v>46090.529861111114</v>
      </c>
      <c r="M359" s="55" t="s">
        <v>55</v>
      </c>
      <c r="N359" s="55" t="s">
        <v>55</v>
      </c>
      <c r="O359" s="71">
        <v>46090.5625</v>
      </c>
      <c r="P359" s="71">
        <v>46090.59375</v>
      </c>
      <c r="Q359" s="132">
        <v>46090.82916666667</v>
      </c>
      <c r="R359" s="42"/>
      <c r="S359" s="164" t="s">
        <v>1618</v>
      </c>
      <c r="T359" s="55" t="s">
        <v>478</v>
      </c>
      <c r="U359" s="42"/>
      <c r="V359" s="53" t="s">
        <v>1619</v>
      </c>
      <c r="W359" s="42"/>
      <c r="X359" s="42"/>
      <c r="Y359" s="42" t="s">
        <v>158</v>
      </c>
      <c r="Z359" s="60" t="s">
        <v>67</v>
      </c>
      <c r="AA359" s="42"/>
      <c r="AB359" s="42"/>
      <c r="AC359" s="42"/>
      <c r="AD359" s="42"/>
      <c r="AE359" s="54"/>
    </row>
    <row r="360" spans="1:31" ht="15" hidden="1" customHeight="1">
      <c r="A360" s="60">
        <f>ROW() - ROW(Table1[[#Headers],[s]])</f>
        <v>359</v>
      </c>
      <c r="B360" s="42" t="s">
        <v>1620</v>
      </c>
      <c r="C360" s="163">
        <v>46082</v>
      </c>
      <c r="D360" s="52" t="s">
        <v>1621</v>
      </c>
      <c r="E360" s="42" t="e" vm="9">
        <v>#VALUE!</v>
      </c>
      <c r="F360" s="42" t="e" vm="10">
        <v>#VALUE!</v>
      </c>
      <c r="G360" s="43" t="s">
        <v>174</v>
      </c>
      <c r="H360" s="42" t="s">
        <v>747</v>
      </c>
      <c r="I360" s="42" t="s">
        <v>175</v>
      </c>
      <c r="J360" s="55" t="s">
        <v>253</v>
      </c>
      <c r="K360" s="42" t="s">
        <v>154</v>
      </c>
      <c r="L360" s="71">
        <v>46090.590277777781</v>
      </c>
      <c r="M360" s="55" t="s">
        <v>78</v>
      </c>
      <c r="N360" s="55" t="s">
        <v>78</v>
      </c>
      <c r="O360" s="71">
        <v>46090.666666666664</v>
      </c>
      <c r="P360" s="71">
        <v>46090.670138888891</v>
      </c>
      <c r="Q360" s="71">
        <v>46090.795138888891</v>
      </c>
      <c r="R360" s="42"/>
      <c r="S360" s="53" t="s">
        <v>1622</v>
      </c>
      <c r="T360" s="55" t="s">
        <v>478</v>
      </c>
      <c r="U360" s="42"/>
      <c r="V360" s="53" t="s">
        <v>1623</v>
      </c>
      <c r="W360" s="42"/>
      <c r="X360" s="42"/>
      <c r="Y360" s="42" t="s">
        <v>158</v>
      </c>
      <c r="Z360" s="42" t="s">
        <v>70</v>
      </c>
      <c r="AA360" s="42"/>
      <c r="AB360" s="42"/>
      <c r="AC360" s="42"/>
      <c r="AD360" s="42"/>
      <c r="AE360" s="54"/>
    </row>
    <row r="361" spans="1:31" ht="15" hidden="1" customHeight="1">
      <c r="A361" s="60">
        <f>ROW() - ROW(Table1[[#Headers],[s]])</f>
        <v>360</v>
      </c>
      <c r="B361" s="42" t="s">
        <v>1624</v>
      </c>
      <c r="C361" s="51">
        <v>46082</v>
      </c>
      <c r="D361" s="52" t="s">
        <v>1625</v>
      </c>
      <c r="E361" s="42" t="e" vm="9">
        <v>#VALUE!</v>
      </c>
      <c r="F361" s="42" t="e" vm="10">
        <v>#VALUE!</v>
      </c>
      <c r="G361" s="43" t="s">
        <v>174</v>
      </c>
      <c r="H361" s="42" t="s">
        <v>152</v>
      </c>
      <c r="I361" s="42" t="s">
        <v>175</v>
      </c>
      <c r="J361" s="55" t="s">
        <v>153</v>
      </c>
      <c r="K361" s="42" t="s">
        <v>154</v>
      </c>
      <c r="L361" s="71">
        <v>46090.380555555559</v>
      </c>
      <c r="M361" s="55" t="s">
        <v>78</v>
      </c>
      <c r="N361" s="55" t="s">
        <v>78</v>
      </c>
      <c r="O361" s="71">
        <v>46090.479166666664</v>
      </c>
      <c r="P361" s="71">
        <v>46090.503472222219</v>
      </c>
      <c r="Q361" s="71">
        <v>46090.572916666664</v>
      </c>
      <c r="R361" s="42"/>
      <c r="S361" s="53" t="s">
        <v>1626</v>
      </c>
      <c r="T361" s="55" t="s">
        <v>478</v>
      </c>
      <c r="U361" s="42"/>
      <c r="V361" s="53" t="s">
        <v>1078</v>
      </c>
      <c r="W361" s="42"/>
      <c r="X361" s="42"/>
      <c r="Y361" s="42" t="s">
        <v>158</v>
      </c>
      <c r="Z361" s="42" t="s">
        <v>70</v>
      </c>
      <c r="AA361" s="42"/>
      <c r="AB361" s="42"/>
      <c r="AC361" s="42"/>
      <c r="AD361" s="42"/>
      <c r="AE361" s="54"/>
    </row>
    <row r="362" spans="1:31" ht="15" hidden="1" customHeight="1">
      <c r="A362" s="60">
        <f>ROW() - ROW(Table1[[#Headers],[s]])</f>
        <v>361</v>
      </c>
      <c r="B362" s="42" t="s">
        <v>1627</v>
      </c>
      <c r="C362" s="51">
        <v>46082</v>
      </c>
      <c r="D362" s="52" t="s">
        <v>1628</v>
      </c>
      <c r="E362" s="60" t="e" vm="94">
        <v>#VALUE!</v>
      </c>
      <c r="F362" s="60" t="e" vm="17">
        <v>#VALUE!</v>
      </c>
      <c r="G362" s="43" t="s">
        <v>174</v>
      </c>
      <c r="H362" s="42" t="s">
        <v>152</v>
      </c>
      <c r="I362" s="42" t="s">
        <v>175</v>
      </c>
      <c r="J362" s="55" t="s">
        <v>153</v>
      </c>
      <c r="K362" s="42" t="s">
        <v>154</v>
      </c>
      <c r="L362" s="71">
        <v>46090.465277777781</v>
      </c>
      <c r="M362" s="55" t="s">
        <v>68</v>
      </c>
      <c r="N362" s="55" t="s">
        <v>68</v>
      </c>
      <c r="O362" s="71">
        <v>46090.53125</v>
      </c>
      <c r="P362" s="71">
        <v>46090.548611111109</v>
      </c>
      <c r="Q362" s="71">
        <v>46090.590277777781</v>
      </c>
      <c r="R362" s="42"/>
      <c r="S362" s="53" t="s">
        <v>1629</v>
      </c>
      <c r="T362" s="55" t="s">
        <v>478</v>
      </c>
      <c r="U362" s="42"/>
      <c r="V362" s="53" t="s">
        <v>183</v>
      </c>
      <c r="W362" s="42"/>
      <c r="X362" s="42"/>
      <c r="Y362" s="42" t="s">
        <v>158</v>
      </c>
      <c r="Z362" s="42" t="s">
        <v>70</v>
      </c>
      <c r="AA362" s="42"/>
      <c r="AB362" s="42"/>
      <c r="AC362" s="42"/>
      <c r="AD362" s="42"/>
      <c r="AE362" s="54"/>
    </row>
    <row r="363" spans="1:31" ht="15" hidden="1" customHeight="1">
      <c r="A363" s="60">
        <f>ROW() - ROW(Table1[[#Headers],[s]])</f>
        <v>362</v>
      </c>
      <c r="B363" s="165" t="s">
        <v>1630</v>
      </c>
      <c r="C363" s="51">
        <v>46082</v>
      </c>
      <c r="D363" s="52" t="s">
        <v>1631</v>
      </c>
      <c r="E363" s="42" t="e" vm="58">
        <v>#VALUE!</v>
      </c>
      <c r="F363" s="42" t="e" vm="25">
        <v>#VALUE!</v>
      </c>
      <c r="G363" s="43" t="s">
        <v>174</v>
      </c>
      <c r="H363" s="42" t="s">
        <v>152</v>
      </c>
      <c r="I363" s="42" t="s">
        <v>175</v>
      </c>
      <c r="J363" s="55" t="s">
        <v>153</v>
      </c>
      <c r="K363" s="42" t="s">
        <v>154</v>
      </c>
      <c r="L363" s="71">
        <v>46090.586111111108</v>
      </c>
      <c r="M363" s="55" t="s">
        <v>72</v>
      </c>
      <c r="N363" s="55" t="s">
        <v>72</v>
      </c>
      <c r="O363" s="71">
        <v>46090.614583333336</v>
      </c>
      <c r="P363" s="71">
        <v>46090.635416666664</v>
      </c>
      <c r="Q363" s="71">
        <v>46090.677083333336</v>
      </c>
      <c r="R363" s="42"/>
      <c r="S363" s="53" t="s">
        <v>1632</v>
      </c>
      <c r="T363" s="55" t="s">
        <v>478</v>
      </c>
      <c r="U363" s="42"/>
      <c r="V363" s="53" t="s">
        <v>1633</v>
      </c>
      <c r="W363" s="42"/>
      <c r="X363" s="42"/>
      <c r="Y363" s="42" t="s">
        <v>158</v>
      </c>
      <c r="Z363" s="42" t="s">
        <v>70</v>
      </c>
      <c r="AA363" s="42"/>
      <c r="AB363" s="42"/>
      <c r="AC363" s="42"/>
      <c r="AD363" s="42"/>
      <c r="AE363" s="54"/>
    </row>
    <row r="364" spans="1:31" ht="15" hidden="1" customHeight="1">
      <c r="A364" s="60">
        <f>ROW() - ROW(Table1[[#Headers],[s]])</f>
        <v>363</v>
      </c>
      <c r="B364" s="42" t="s">
        <v>955</v>
      </c>
      <c r="C364" s="51">
        <v>46082</v>
      </c>
      <c r="D364" s="52" t="s">
        <v>1634</v>
      </c>
      <c r="E364" s="42" t="e" vm="120">
        <v>#VALUE!</v>
      </c>
      <c r="F364" s="42" t="e" vm="12">
        <v>#VALUE!</v>
      </c>
      <c r="G364" s="43" t="s">
        <v>200</v>
      </c>
      <c r="H364" s="42" t="s">
        <v>152</v>
      </c>
      <c r="I364" s="42" t="s">
        <v>1221</v>
      </c>
      <c r="J364" s="55" t="s">
        <v>153</v>
      </c>
      <c r="K364" s="42" t="s">
        <v>154</v>
      </c>
      <c r="L364" s="44">
        <v>46091.39166666667</v>
      </c>
      <c r="M364" s="55" t="s">
        <v>72</v>
      </c>
      <c r="N364" s="55" t="s">
        <v>72</v>
      </c>
      <c r="O364" s="44">
        <v>46091.541666666664</v>
      </c>
      <c r="P364" s="44">
        <v>46091.541666666664</v>
      </c>
      <c r="Q364" s="58">
        <v>46091.583333333336</v>
      </c>
      <c r="R364" s="42"/>
      <c r="S364" s="53" t="s">
        <v>1635</v>
      </c>
      <c r="T364" s="55" t="s">
        <v>478</v>
      </c>
      <c r="U364" s="42"/>
      <c r="V364" s="53" t="s">
        <v>1636</v>
      </c>
      <c r="W364" s="42"/>
      <c r="X364" s="42"/>
      <c r="Y364" s="42" t="s">
        <v>158</v>
      </c>
      <c r="Z364" s="42" t="s">
        <v>70</v>
      </c>
      <c r="AA364" s="42"/>
      <c r="AB364" s="42"/>
      <c r="AC364" s="42"/>
      <c r="AD364" s="42"/>
      <c r="AE364" s="54"/>
    </row>
    <row r="365" spans="1:31" ht="15" hidden="1" customHeight="1">
      <c r="A365" s="60">
        <f>ROW() - ROW(Table1[[#Headers],[s]])</f>
        <v>364</v>
      </c>
      <c r="B365" s="42" t="s">
        <v>1605</v>
      </c>
      <c r="C365" s="51">
        <v>46082</v>
      </c>
      <c r="D365" s="52" t="s">
        <v>1637</v>
      </c>
      <c r="E365" s="42" t="e" vm="158">
        <v>#VALUE!</v>
      </c>
      <c r="F365" s="42" t="e" vm="30">
        <v>#VALUE!</v>
      </c>
      <c r="G365" s="43" t="s">
        <v>200</v>
      </c>
      <c r="H365" s="42" t="s">
        <v>152</v>
      </c>
      <c r="I365" s="42" t="s">
        <v>1221</v>
      </c>
      <c r="J365" s="55" t="s">
        <v>153</v>
      </c>
      <c r="K365" s="42" t="s">
        <v>154</v>
      </c>
      <c r="L365" s="44">
        <v>46091.642361111109</v>
      </c>
      <c r="M365" s="55" t="s">
        <v>1638</v>
      </c>
      <c r="N365" s="55" t="s">
        <v>1638</v>
      </c>
      <c r="O365" s="56">
        <v>46091.75</v>
      </c>
      <c r="P365" s="56">
        <v>46091.770833333336</v>
      </c>
      <c r="Q365" s="132">
        <v>46091.791666666664</v>
      </c>
      <c r="R365" s="42"/>
      <c r="S365" s="53" t="s">
        <v>1639</v>
      </c>
      <c r="T365" s="55" t="s">
        <v>478</v>
      </c>
      <c r="U365" s="42"/>
      <c r="V365" s="53" t="s">
        <v>1640</v>
      </c>
      <c r="W365" s="42"/>
      <c r="X365" s="42"/>
      <c r="Y365" s="42" t="s">
        <v>158</v>
      </c>
      <c r="Z365" s="280" t="s">
        <v>70</v>
      </c>
      <c r="AA365" s="42"/>
      <c r="AB365" s="42"/>
      <c r="AC365" s="42"/>
      <c r="AD365" s="42"/>
      <c r="AE365" s="54"/>
    </row>
    <row r="366" spans="1:31" ht="15" hidden="1" customHeight="1">
      <c r="A366" s="60">
        <f>ROW() - ROW(Table1[[#Headers],[s]])</f>
        <v>365</v>
      </c>
      <c r="B366" s="42" t="s">
        <v>1641</v>
      </c>
      <c r="C366" s="51">
        <v>46082</v>
      </c>
      <c r="D366" s="52" t="s">
        <v>1642</v>
      </c>
      <c r="E366" s="42" t="e" vm="159">
        <v>#VALUE!</v>
      </c>
      <c r="F366" s="42" t="e" vm="49">
        <v>#VALUE!</v>
      </c>
      <c r="G366" s="43" t="s">
        <v>200</v>
      </c>
      <c r="H366" s="42" t="s">
        <v>245</v>
      </c>
      <c r="I366" s="42" t="s">
        <v>1221</v>
      </c>
      <c r="J366" s="55" t="s">
        <v>253</v>
      </c>
      <c r="K366" s="42" t="s">
        <v>154</v>
      </c>
      <c r="L366" s="44">
        <v>46091.4375</v>
      </c>
      <c r="M366" s="55" t="s">
        <v>1643</v>
      </c>
      <c r="N366" s="55" t="s">
        <v>1643</v>
      </c>
      <c r="O366" s="44">
        <v>46091.541666666664</v>
      </c>
      <c r="P366" s="44">
        <v>46091.541666666664</v>
      </c>
      <c r="Q366" s="58">
        <v>46091.616666666669</v>
      </c>
      <c r="R366" s="42"/>
      <c r="S366" s="53" t="s">
        <v>1644</v>
      </c>
      <c r="T366" s="55" t="s">
        <v>478</v>
      </c>
      <c r="U366" s="42"/>
      <c r="V366" s="53" t="s">
        <v>1645</v>
      </c>
      <c r="W366" s="42"/>
      <c r="X366" s="42"/>
      <c r="Y366" s="42" t="s">
        <v>203</v>
      </c>
      <c r="Z366" s="42" t="s">
        <v>70</v>
      </c>
      <c r="AA366" s="42"/>
      <c r="AB366" s="42"/>
      <c r="AC366" s="42"/>
      <c r="AD366" s="42"/>
      <c r="AE366" s="54"/>
    </row>
    <row r="367" spans="1:31" ht="15" hidden="1" customHeight="1">
      <c r="A367" s="60">
        <f>ROW() - ROW(Table1[[#Headers],[s]])</f>
        <v>366</v>
      </c>
      <c r="B367" s="42" t="s">
        <v>1646</v>
      </c>
      <c r="C367" s="51" t="s">
        <v>60</v>
      </c>
      <c r="D367" s="52" t="s">
        <v>1647</v>
      </c>
      <c r="E367" s="42" t="e" vm="60">
        <v>#VALUE!</v>
      </c>
      <c r="F367" s="42" t="e" vm="26">
        <v>#VALUE!</v>
      </c>
      <c r="G367" s="43" t="s">
        <v>200</v>
      </c>
      <c r="H367" s="42" t="s">
        <v>245</v>
      </c>
      <c r="I367" s="42"/>
      <c r="J367" s="55" t="s">
        <v>253</v>
      </c>
      <c r="K367" s="60" t="s">
        <v>736</v>
      </c>
      <c r="L367" s="44"/>
      <c r="M367" s="55"/>
      <c r="N367" s="55"/>
      <c r="O367" s="56"/>
      <c r="P367" s="56"/>
      <c r="Q367" s="132">
        <v>46091.648611111108</v>
      </c>
      <c r="R367" s="42"/>
      <c r="S367" s="53" t="s">
        <v>1648</v>
      </c>
      <c r="T367" s="55" t="s">
        <v>179</v>
      </c>
      <c r="U367" s="42"/>
      <c r="V367" s="53"/>
      <c r="W367" s="42"/>
      <c r="X367" s="42"/>
      <c r="Y367" s="42" t="s">
        <v>179</v>
      </c>
      <c r="Z367" s="42" t="s">
        <v>158</v>
      </c>
      <c r="AA367" s="42"/>
      <c r="AB367" s="42"/>
      <c r="AC367" s="42"/>
      <c r="AD367" s="42"/>
      <c r="AE367" s="54"/>
    </row>
    <row r="368" spans="1:31" ht="15" hidden="1" customHeight="1">
      <c r="A368" s="60">
        <f>ROW() - ROW(Table1[[#Headers],[s]])</f>
        <v>367</v>
      </c>
      <c r="B368" s="42" t="s">
        <v>1649</v>
      </c>
      <c r="C368" s="51">
        <v>46082</v>
      </c>
      <c r="D368" s="52" t="s">
        <v>1650</v>
      </c>
      <c r="E368" s="42" t="e" vm="77">
        <v>#VALUE!</v>
      </c>
      <c r="F368" s="42" t="e" vm="46">
        <v>#VALUE!</v>
      </c>
      <c r="G368" s="43" t="s">
        <v>1057</v>
      </c>
      <c r="H368" s="42" t="s">
        <v>152</v>
      </c>
      <c r="I368" s="60" t="s">
        <v>43</v>
      </c>
      <c r="J368" s="55" t="s">
        <v>153</v>
      </c>
      <c r="K368" s="42" t="s">
        <v>154</v>
      </c>
      <c r="L368" s="71">
        <v>46091.504166666666</v>
      </c>
      <c r="M368" s="55" t="s">
        <v>1023</v>
      </c>
      <c r="N368" s="55" t="s">
        <v>1023</v>
      </c>
      <c r="O368" s="71">
        <v>46091.604166666664</v>
      </c>
      <c r="P368" s="71">
        <v>46091.625</v>
      </c>
      <c r="Q368" s="71">
        <v>46091.659722222219</v>
      </c>
      <c r="R368" s="60"/>
      <c r="S368" s="68" t="s">
        <v>1651</v>
      </c>
      <c r="T368" s="55" t="s">
        <v>478</v>
      </c>
      <c r="U368" s="60"/>
      <c r="V368" s="68" t="s">
        <v>1652</v>
      </c>
      <c r="W368" s="42"/>
      <c r="X368" s="42"/>
      <c r="Y368" s="42" t="s">
        <v>158</v>
      </c>
      <c r="Z368" s="42" t="s">
        <v>70</v>
      </c>
      <c r="AA368" s="42"/>
      <c r="AB368" s="42"/>
      <c r="AC368" s="42"/>
      <c r="AD368" s="42"/>
      <c r="AE368" s="54"/>
    </row>
    <row r="369" spans="1:31" ht="15" hidden="1" customHeight="1">
      <c r="A369" s="60">
        <f>ROW() - ROW(Table1[[#Headers],[s]])</f>
        <v>368</v>
      </c>
      <c r="B369" s="42" t="s">
        <v>1653</v>
      </c>
      <c r="C369" s="51">
        <v>46082</v>
      </c>
      <c r="D369" s="52" t="s">
        <v>1654</v>
      </c>
      <c r="E369" s="42" t="e" vm="14">
        <v>#VALUE!</v>
      </c>
      <c r="F369" s="42" t="e" vm="1">
        <v>#VALUE!</v>
      </c>
      <c r="G369" s="43" t="s">
        <v>1057</v>
      </c>
      <c r="H369" s="42" t="s">
        <v>152</v>
      </c>
      <c r="I369" s="60" t="s">
        <v>43</v>
      </c>
      <c r="J369" s="55" t="s">
        <v>153</v>
      </c>
      <c r="K369" s="42" t="s">
        <v>154</v>
      </c>
      <c r="L369" s="71">
        <v>46091.648611111108</v>
      </c>
      <c r="M369" s="67" t="s">
        <v>1062</v>
      </c>
      <c r="N369" s="67" t="s">
        <v>1062</v>
      </c>
      <c r="O369" s="71">
        <v>46091.648611111108</v>
      </c>
      <c r="P369" s="71">
        <v>46091.708333333336</v>
      </c>
      <c r="Q369" s="71">
        <v>46091.75</v>
      </c>
      <c r="R369" s="42"/>
      <c r="S369" s="53" t="s">
        <v>1655</v>
      </c>
      <c r="T369" s="55" t="s">
        <v>478</v>
      </c>
      <c r="U369" s="42"/>
      <c r="V369" s="53" t="s">
        <v>1656</v>
      </c>
      <c r="W369" s="42"/>
      <c r="X369" s="42"/>
      <c r="Y369" s="42" t="s">
        <v>158</v>
      </c>
      <c r="Z369" s="42" t="s">
        <v>70</v>
      </c>
      <c r="AA369" s="42"/>
      <c r="AB369" s="42"/>
      <c r="AC369" s="42"/>
      <c r="AD369" s="42"/>
      <c r="AE369" s="54"/>
    </row>
    <row r="370" spans="1:31" ht="15" hidden="1" customHeight="1">
      <c r="A370" s="60">
        <f>ROW() - ROW(Table1[[#Headers],[s]])</f>
        <v>369</v>
      </c>
      <c r="B370" s="42" t="s">
        <v>1657</v>
      </c>
      <c r="C370" s="51">
        <v>46082</v>
      </c>
      <c r="D370" s="52" t="s">
        <v>1658</v>
      </c>
      <c r="E370" s="42" t="e" vm="96">
        <v>#VALUE!</v>
      </c>
      <c r="F370" s="42" t="e" vm="25">
        <v>#VALUE!</v>
      </c>
      <c r="G370" s="43" t="s">
        <v>174</v>
      </c>
      <c r="H370" s="42" t="s">
        <v>152</v>
      </c>
      <c r="I370" s="42" t="s">
        <v>175</v>
      </c>
      <c r="J370" s="55" t="s">
        <v>153</v>
      </c>
      <c r="K370" s="42" t="s">
        <v>154</v>
      </c>
      <c r="L370" s="44">
        <v>46091.419444444444</v>
      </c>
      <c r="M370" s="55" t="s">
        <v>72</v>
      </c>
      <c r="N370" s="55" t="s">
        <v>72</v>
      </c>
      <c r="O370" s="44">
        <v>46092.333333333336</v>
      </c>
      <c r="P370" s="44">
        <v>46091.419444444444</v>
      </c>
      <c r="Q370" s="44">
        <v>46091.419444444444</v>
      </c>
      <c r="R370" s="44"/>
      <c r="S370" s="53" t="s">
        <v>1659</v>
      </c>
      <c r="T370" s="55" t="s">
        <v>478</v>
      </c>
      <c r="U370" s="42"/>
      <c r="V370" s="53" t="s">
        <v>1633</v>
      </c>
      <c r="W370" s="42"/>
      <c r="X370" s="42"/>
      <c r="Y370" s="42" t="s">
        <v>70</v>
      </c>
      <c r="Z370" s="42" t="s">
        <v>70</v>
      </c>
      <c r="AA370" s="42"/>
      <c r="AB370" s="42"/>
      <c r="AC370" s="42"/>
      <c r="AD370" s="42"/>
      <c r="AE370" s="54"/>
    </row>
    <row r="371" spans="1:31" ht="15.75" hidden="1" customHeight="1">
      <c r="A371" s="60">
        <f>ROW() - ROW(Table1[[#Headers],[s]])</f>
        <v>370</v>
      </c>
      <c r="B371" s="74" t="s">
        <v>1660</v>
      </c>
      <c r="C371" s="161" t="s">
        <v>60</v>
      </c>
      <c r="D371" s="52" t="s">
        <v>1661</v>
      </c>
      <c r="E371" s="42" t="e" vm="83">
        <v>#VALUE!</v>
      </c>
      <c r="F371" s="42" t="e" vm="37">
        <v>#VALUE!</v>
      </c>
      <c r="G371" s="43" t="s">
        <v>174</v>
      </c>
      <c r="H371" s="42" t="s">
        <v>152</v>
      </c>
      <c r="I371" s="42" t="s">
        <v>175</v>
      </c>
      <c r="J371" s="55" t="s">
        <v>153</v>
      </c>
      <c r="K371" s="42" t="s">
        <v>154</v>
      </c>
      <c r="L371" s="44">
        <v>46092.430555555555</v>
      </c>
      <c r="M371" s="55" t="s">
        <v>1662</v>
      </c>
      <c r="N371" s="55" t="s">
        <v>1662</v>
      </c>
      <c r="O371" s="44">
        <v>46092.520833333336</v>
      </c>
      <c r="P371" s="44">
        <v>46092.53125</v>
      </c>
      <c r="Q371" s="44">
        <v>46092.597222222219</v>
      </c>
      <c r="R371" s="42"/>
      <c r="S371" s="42" t="s">
        <v>1663</v>
      </c>
      <c r="T371" s="55" t="s">
        <v>178</v>
      </c>
      <c r="U371" s="42"/>
      <c r="V371" s="290" t="s">
        <v>1664</v>
      </c>
      <c r="W371" s="42"/>
      <c r="X371" s="42"/>
      <c r="Y371" s="42" t="s">
        <v>158</v>
      </c>
      <c r="Z371" s="42" t="s">
        <v>70</v>
      </c>
      <c r="AA371" s="42"/>
      <c r="AB371" s="42"/>
      <c r="AC371" s="42"/>
      <c r="AD371" s="42"/>
      <c r="AE371" s="54"/>
    </row>
    <row r="372" spans="1:31" ht="15" hidden="1" customHeight="1">
      <c r="A372" s="60">
        <f>ROW() - ROW(Table1[[#Headers],[s]])</f>
        <v>371</v>
      </c>
      <c r="B372" s="42" t="s">
        <v>1665</v>
      </c>
      <c r="C372" s="51">
        <v>46082</v>
      </c>
      <c r="D372" s="52" t="s">
        <v>1666</v>
      </c>
      <c r="E372" s="42" t="e" vm="9">
        <v>#VALUE!</v>
      </c>
      <c r="F372" s="42" t="e" vm="10">
        <v>#VALUE!</v>
      </c>
      <c r="G372" s="43" t="s">
        <v>36</v>
      </c>
      <c r="H372" s="42" t="s">
        <v>152</v>
      </c>
      <c r="I372" s="42" t="s">
        <v>43</v>
      </c>
      <c r="J372" s="55" t="s">
        <v>153</v>
      </c>
      <c r="K372" s="42" t="s">
        <v>154</v>
      </c>
      <c r="L372" s="44">
        <v>46092.719444444447</v>
      </c>
      <c r="M372" s="55" t="s">
        <v>78</v>
      </c>
      <c r="N372" s="55" t="s">
        <v>78</v>
      </c>
      <c r="O372" s="56"/>
      <c r="P372" s="56"/>
      <c r="Q372" s="132">
        <v>46093.458333333336</v>
      </c>
      <c r="R372" s="42"/>
      <c r="S372" s="53" t="s">
        <v>1667</v>
      </c>
      <c r="T372" s="55" t="s">
        <v>178</v>
      </c>
      <c r="U372" s="42"/>
      <c r="V372" s="53" t="s">
        <v>1668</v>
      </c>
      <c r="W372" s="42"/>
      <c r="X372" s="42"/>
      <c r="Y372" s="42" t="s">
        <v>158</v>
      </c>
      <c r="Z372" s="42" t="s">
        <v>70</v>
      </c>
      <c r="AA372" s="42"/>
      <c r="AB372" s="42"/>
      <c r="AC372" s="42"/>
      <c r="AD372" s="42"/>
      <c r="AE372" s="54"/>
    </row>
    <row r="373" spans="1:31" ht="15.75" hidden="1" customHeight="1">
      <c r="A373" s="60">
        <f>ROW() - ROW(Table1[[#Headers],[s]])</f>
        <v>372</v>
      </c>
      <c r="B373" s="74" t="s">
        <v>1669</v>
      </c>
      <c r="C373" s="51">
        <v>46082</v>
      </c>
      <c r="D373" s="52" t="s">
        <v>1670</v>
      </c>
      <c r="E373" s="42" t="e" vm="83">
        <v>#VALUE!</v>
      </c>
      <c r="F373" s="42" t="e" vm="37">
        <v>#VALUE!</v>
      </c>
      <c r="G373" s="43" t="s">
        <v>174</v>
      </c>
      <c r="H373" s="42" t="s">
        <v>152</v>
      </c>
      <c r="I373" s="42"/>
      <c r="J373" s="55" t="s">
        <v>153</v>
      </c>
      <c r="K373" s="42" t="s">
        <v>154</v>
      </c>
      <c r="L373" s="44">
        <v>46092.587500000001</v>
      </c>
      <c r="M373" s="55" t="s">
        <v>1662</v>
      </c>
      <c r="N373" s="55" t="s">
        <v>1662</v>
      </c>
      <c r="O373" s="56"/>
      <c r="P373" s="56"/>
      <c r="Q373" s="132"/>
      <c r="R373" s="42"/>
      <c r="S373" s="53" t="s">
        <v>1671</v>
      </c>
      <c r="T373" s="55" t="s">
        <v>178</v>
      </c>
      <c r="U373" s="42"/>
      <c r="V373" s="290" t="s">
        <v>1664</v>
      </c>
      <c r="W373" s="42"/>
      <c r="X373" s="42"/>
      <c r="Y373" s="42" t="s">
        <v>179</v>
      </c>
      <c r="Z373" s="42" t="s">
        <v>179</v>
      </c>
      <c r="AA373" s="42"/>
      <c r="AB373" s="42"/>
      <c r="AC373" s="42"/>
      <c r="AD373" s="42"/>
      <c r="AE373" s="54"/>
    </row>
    <row r="374" spans="1:31" ht="15" hidden="1" customHeight="1">
      <c r="A374" s="60">
        <f>ROW() - ROW(Table1[[#Headers],[s]])</f>
        <v>373</v>
      </c>
      <c r="B374" s="42" t="s">
        <v>1672</v>
      </c>
      <c r="C374" s="51">
        <v>46082</v>
      </c>
      <c r="D374" s="52" t="s">
        <v>1673</v>
      </c>
      <c r="E374" s="42" t="e" vm="138">
        <v>#VALUE!</v>
      </c>
      <c r="F374" s="42" t="e" vm="5">
        <v>#VALUE!</v>
      </c>
      <c r="G374" s="43" t="s">
        <v>174</v>
      </c>
      <c r="H374" s="42" t="s">
        <v>747</v>
      </c>
      <c r="I374" s="42" t="s">
        <v>175</v>
      </c>
      <c r="J374" s="55" t="s">
        <v>253</v>
      </c>
      <c r="K374" s="42" t="s">
        <v>154</v>
      </c>
      <c r="L374" s="44">
        <v>46092.505555555559</v>
      </c>
      <c r="M374" s="55" t="s">
        <v>55</v>
      </c>
      <c r="N374" s="55" t="s">
        <v>55</v>
      </c>
      <c r="O374" s="44">
        <v>46092.555555555555</v>
      </c>
      <c r="P374" s="44">
        <v>46092.59375</v>
      </c>
      <c r="Q374" s="44">
        <v>46092.693055555559</v>
      </c>
      <c r="R374" s="42"/>
      <c r="S374" s="53" t="s">
        <v>1674</v>
      </c>
      <c r="T374" s="42" t="s">
        <v>1675</v>
      </c>
      <c r="U374" s="42"/>
      <c r="V374" s="53" t="s">
        <v>1676</v>
      </c>
      <c r="W374" s="42"/>
      <c r="X374" s="42"/>
      <c r="Y374" s="42" t="s">
        <v>158</v>
      </c>
      <c r="Z374" s="42" t="s">
        <v>70</v>
      </c>
      <c r="AA374" s="42"/>
      <c r="AB374" s="42"/>
      <c r="AC374" s="42"/>
      <c r="AD374" s="42"/>
      <c r="AE374" s="54"/>
    </row>
    <row r="375" spans="1:31" ht="15" hidden="1" customHeight="1">
      <c r="A375" s="60">
        <f>ROW() - ROW(Table1[[#Headers],[s]])</f>
        <v>374</v>
      </c>
      <c r="B375" s="42" t="s">
        <v>1677</v>
      </c>
      <c r="C375" s="51">
        <v>46082</v>
      </c>
      <c r="D375" s="52" t="s">
        <v>1678</v>
      </c>
      <c r="E375" s="42" t="e" vm="53">
        <v>#VALUE!</v>
      </c>
      <c r="F375" s="42" t="e" vm="12">
        <v>#VALUE!</v>
      </c>
      <c r="G375" s="43" t="s">
        <v>174</v>
      </c>
      <c r="H375" s="42" t="s">
        <v>747</v>
      </c>
      <c r="I375" s="42" t="s">
        <v>175</v>
      </c>
      <c r="J375" s="55" t="s">
        <v>253</v>
      </c>
      <c r="K375" s="42" t="s">
        <v>154</v>
      </c>
      <c r="L375" s="44">
        <v>46092.522222222222</v>
      </c>
      <c r="M375" s="55" t="s">
        <v>1679</v>
      </c>
      <c r="N375" s="55" t="s">
        <v>1679</v>
      </c>
      <c r="O375" s="44">
        <v>46092.548611111109</v>
      </c>
      <c r="P375" s="44">
        <v>46092.552083333336</v>
      </c>
      <c r="Q375" s="44">
        <v>46092.62777777778</v>
      </c>
      <c r="R375" s="42"/>
      <c r="S375" s="53" t="s">
        <v>1680</v>
      </c>
      <c r="T375" s="55" t="s">
        <v>478</v>
      </c>
      <c r="U375" s="42"/>
      <c r="V375" s="53" t="s">
        <v>1681</v>
      </c>
      <c r="W375" s="42"/>
      <c r="X375" s="42"/>
      <c r="Y375" s="42" t="s">
        <v>158</v>
      </c>
      <c r="Z375" s="42" t="s">
        <v>67</v>
      </c>
      <c r="AB375" s="42"/>
      <c r="AC375" s="42"/>
      <c r="AD375" s="42"/>
      <c r="AE375" s="54"/>
    </row>
    <row r="376" spans="1:31" ht="15" hidden="1" customHeight="1">
      <c r="A376" s="60">
        <f>ROW() - ROW(Table1[[#Headers],[s]])</f>
        <v>375</v>
      </c>
      <c r="B376" s="42"/>
      <c r="C376" s="51">
        <v>46082</v>
      </c>
      <c r="D376" s="52" t="s">
        <v>1682</v>
      </c>
      <c r="E376" s="42"/>
      <c r="F376" s="42"/>
      <c r="G376" s="43" t="s">
        <v>584</v>
      </c>
      <c r="H376" s="42"/>
      <c r="I376" s="42"/>
      <c r="J376" s="55"/>
      <c r="K376" s="42"/>
      <c r="L376" s="44"/>
      <c r="M376" s="55"/>
      <c r="N376" s="55"/>
      <c r="O376" s="44"/>
      <c r="P376" s="44"/>
      <c r="Q376" s="58"/>
      <c r="R376" s="42"/>
      <c r="S376" s="53"/>
      <c r="T376" s="55"/>
      <c r="U376" s="42"/>
      <c r="V376" s="53"/>
      <c r="W376" s="42"/>
      <c r="X376" s="42"/>
      <c r="Y376" s="42"/>
      <c r="Z376" s="280"/>
      <c r="AA376" s="42"/>
      <c r="AB376" s="42"/>
      <c r="AC376" s="42"/>
      <c r="AD376" s="42"/>
      <c r="AE376" s="54"/>
    </row>
    <row r="377" spans="1:31" ht="15" hidden="1" customHeight="1">
      <c r="A377" s="60">
        <f>ROW() - ROW(Table1[[#Headers],[s]])</f>
        <v>376</v>
      </c>
      <c r="B377" s="42" t="s">
        <v>1683</v>
      </c>
      <c r="C377" s="51">
        <v>46082</v>
      </c>
      <c r="D377" s="52" t="s">
        <v>1684</v>
      </c>
      <c r="E377" s="42" t="e" vm="160">
        <v>#VALUE!</v>
      </c>
      <c r="F377" s="42" t="e" vm="49">
        <v>#VALUE!</v>
      </c>
      <c r="G377" s="43" t="s">
        <v>36</v>
      </c>
      <c r="H377" s="42" t="s">
        <v>245</v>
      </c>
      <c r="I377" s="160" t="s">
        <v>43</v>
      </c>
      <c r="J377" s="55" t="s">
        <v>253</v>
      </c>
      <c r="K377" s="42" t="s">
        <v>154</v>
      </c>
      <c r="L377" s="44">
        <v>46093.384722222225</v>
      </c>
      <c r="M377" s="55" t="s">
        <v>1685</v>
      </c>
      <c r="N377" s="330" t="s">
        <v>1685</v>
      </c>
      <c r="O377" s="44"/>
      <c r="P377" s="44"/>
      <c r="Q377" s="58">
        <v>46093.4375</v>
      </c>
      <c r="R377" s="42"/>
      <c r="S377" s="53" t="s">
        <v>1686</v>
      </c>
      <c r="T377" s="42" t="s">
        <v>1687</v>
      </c>
      <c r="U377" s="42"/>
      <c r="V377" s="53" t="s">
        <v>1585</v>
      </c>
      <c r="W377" s="42"/>
      <c r="X377" s="42"/>
      <c r="Y377" s="42" t="s">
        <v>158</v>
      </c>
      <c r="Z377" s="42" t="s">
        <v>70</v>
      </c>
      <c r="AA377" s="42"/>
      <c r="AB377" s="42"/>
      <c r="AC377" s="42"/>
      <c r="AD377" s="42"/>
      <c r="AE377" s="54"/>
    </row>
    <row r="378" spans="1:31" ht="15" hidden="1" customHeight="1">
      <c r="A378" s="60">
        <f>ROW() - ROW(Table1[[#Headers],[s]])</f>
        <v>377</v>
      </c>
      <c r="B378" s="42" t="s">
        <v>1688</v>
      </c>
      <c r="C378" s="51">
        <v>46082</v>
      </c>
      <c r="D378" s="52" t="s">
        <v>1689</v>
      </c>
      <c r="E378" s="42" t="e" vm="161">
        <v>#VALUE!</v>
      </c>
      <c r="F378" s="42" t="e" vm="39">
        <v>#VALUE!</v>
      </c>
      <c r="G378" s="43" t="s">
        <v>36</v>
      </c>
      <c r="H378" s="42" t="s">
        <v>152</v>
      </c>
      <c r="I378" s="160" t="s">
        <v>43</v>
      </c>
      <c r="J378" s="55" t="s">
        <v>153</v>
      </c>
      <c r="K378" s="42" t="s">
        <v>154</v>
      </c>
      <c r="L378" s="44">
        <v>46093.45</v>
      </c>
      <c r="M378" s="55" t="s">
        <v>81</v>
      </c>
      <c r="N378" s="55" t="s">
        <v>81</v>
      </c>
      <c r="O378" s="44"/>
      <c r="P378" s="44"/>
      <c r="Q378" s="58">
        <v>46093.5625</v>
      </c>
      <c r="R378" s="42"/>
      <c r="S378" s="53" t="s">
        <v>1690</v>
      </c>
      <c r="T378" s="55" t="s">
        <v>478</v>
      </c>
      <c r="U378" s="42"/>
      <c r="V378" s="164" t="s">
        <v>1691</v>
      </c>
      <c r="W378" s="42"/>
      <c r="X378" s="42"/>
      <c r="Y378" s="42" t="s">
        <v>203</v>
      </c>
      <c r="Z378" s="42" t="s">
        <v>70</v>
      </c>
      <c r="AA378" s="42"/>
      <c r="AB378" s="42"/>
      <c r="AC378" s="42"/>
      <c r="AD378" s="42"/>
      <c r="AE378" s="54"/>
    </row>
    <row r="379" spans="1:31" ht="15" hidden="1" customHeight="1">
      <c r="A379" s="60">
        <f>ROW() - ROW(Table1[[#Headers],[s]])</f>
        <v>378</v>
      </c>
      <c r="B379" s="42" t="s">
        <v>1692</v>
      </c>
      <c r="C379" s="51">
        <v>46082</v>
      </c>
      <c r="D379" s="52" t="s">
        <v>1693</v>
      </c>
      <c r="E379" s="42" t="e" vm="9">
        <v>#VALUE!</v>
      </c>
      <c r="F379" s="42" t="e" vm="10">
        <v>#VALUE!</v>
      </c>
      <c r="G379" s="43" t="s">
        <v>36</v>
      </c>
      <c r="H379" s="42" t="s">
        <v>152</v>
      </c>
      <c r="I379" s="160" t="s">
        <v>43</v>
      </c>
      <c r="J379" s="55" t="s">
        <v>153</v>
      </c>
      <c r="K379" s="42" t="s">
        <v>154</v>
      </c>
      <c r="L379" s="44">
        <v>46093.451388888891</v>
      </c>
      <c r="M379" s="55" t="s">
        <v>78</v>
      </c>
      <c r="N379" s="55" t="s">
        <v>78</v>
      </c>
      <c r="O379" s="56"/>
      <c r="P379" s="56"/>
      <c r="Q379" s="132">
        <v>46093.75</v>
      </c>
      <c r="R379" s="42"/>
      <c r="S379" s="53" t="s">
        <v>1694</v>
      </c>
      <c r="T379" s="55" t="s">
        <v>478</v>
      </c>
      <c r="U379" s="42"/>
      <c r="V379" s="53" t="s">
        <v>1695</v>
      </c>
      <c r="W379" s="42"/>
      <c r="X379" s="42"/>
      <c r="Y379" s="42" t="s">
        <v>158</v>
      </c>
      <c r="Z379" s="280" t="s">
        <v>70</v>
      </c>
      <c r="AA379" s="42"/>
      <c r="AB379" s="42"/>
      <c r="AC379" s="42"/>
      <c r="AD379" s="42"/>
      <c r="AE379" s="54"/>
    </row>
    <row r="380" spans="1:31" ht="15.75" hidden="1" customHeight="1">
      <c r="A380" s="60">
        <f>ROW() - ROW(Table1[[#Headers],[s]])</f>
        <v>379</v>
      </c>
      <c r="B380" s="74" t="s">
        <v>1696</v>
      </c>
      <c r="C380" s="51">
        <v>46082</v>
      </c>
      <c r="D380" s="52" t="s">
        <v>1697</v>
      </c>
      <c r="E380" s="42" t="e" vm="3">
        <v>#VALUE!</v>
      </c>
      <c r="F380" s="42" t="e" vm="2">
        <v>#VALUE!</v>
      </c>
      <c r="G380" s="43" t="s">
        <v>36</v>
      </c>
      <c r="H380" s="42" t="s">
        <v>152</v>
      </c>
      <c r="I380" s="160" t="s">
        <v>43</v>
      </c>
      <c r="J380" s="55" t="s">
        <v>153</v>
      </c>
      <c r="K380" s="42" t="s">
        <v>154</v>
      </c>
      <c r="L380" s="44">
        <v>46093.490277777775</v>
      </c>
      <c r="M380" s="55" t="s">
        <v>162</v>
      </c>
      <c r="N380" s="55" t="s">
        <v>162</v>
      </c>
      <c r="O380" s="44"/>
      <c r="P380" s="44"/>
      <c r="Q380" s="58">
        <v>46093.791666666664</v>
      </c>
      <c r="R380" s="42"/>
      <c r="S380" s="53" t="s">
        <v>1698</v>
      </c>
      <c r="T380" s="55" t="s">
        <v>478</v>
      </c>
      <c r="U380" s="42"/>
      <c r="V380" s="53" t="s">
        <v>1699</v>
      </c>
      <c r="W380" s="42"/>
      <c r="X380" s="42"/>
      <c r="Y380" s="42" t="s">
        <v>158</v>
      </c>
      <c r="Z380" s="42" t="s">
        <v>67</v>
      </c>
      <c r="AB380" s="42"/>
      <c r="AC380" s="42"/>
      <c r="AD380" s="42" t="s">
        <v>1700</v>
      </c>
      <c r="AE380" s="54"/>
    </row>
    <row r="381" spans="1:31" ht="15.75" hidden="1" customHeight="1">
      <c r="A381" s="60">
        <f>ROW() - ROW(Table1[[#Headers],[s]])</f>
        <v>380</v>
      </c>
      <c r="B381" s="74" t="s">
        <v>1701</v>
      </c>
      <c r="C381" s="51">
        <v>46082</v>
      </c>
      <c r="D381" s="166" t="s">
        <v>1702</v>
      </c>
      <c r="E381" s="42" t="e" vm="99">
        <v>#VALUE!</v>
      </c>
      <c r="F381" s="42" t="e" vm="35">
        <v>#VALUE!</v>
      </c>
      <c r="G381" s="43" t="s">
        <v>36</v>
      </c>
      <c r="H381" s="42" t="s">
        <v>152</v>
      </c>
      <c r="I381" s="160" t="s">
        <v>43</v>
      </c>
      <c r="J381" s="55" t="s">
        <v>153</v>
      </c>
      <c r="K381" s="42" t="s">
        <v>154</v>
      </c>
      <c r="L381" s="44">
        <v>46093.529166666667</v>
      </c>
      <c r="M381" s="55" t="s">
        <v>44</v>
      </c>
      <c r="N381" s="55" t="s">
        <v>44</v>
      </c>
      <c r="O381" s="44"/>
      <c r="P381" s="44"/>
      <c r="Q381" s="58">
        <v>46093.659722222219</v>
      </c>
      <c r="R381" s="42"/>
      <c r="S381" s="53" t="s">
        <v>1703</v>
      </c>
      <c r="T381" s="42" t="s">
        <v>1704</v>
      </c>
      <c r="U381" s="42"/>
      <c r="V381" s="53" t="s">
        <v>1705</v>
      </c>
      <c r="W381" s="42"/>
      <c r="X381" s="42"/>
      <c r="Y381" s="42" t="s">
        <v>158</v>
      </c>
      <c r="Z381" s="42" t="s">
        <v>70</v>
      </c>
      <c r="AA381" s="42"/>
      <c r="AB381" s="42"/>
      <c r="AC381" s="42"/>
      <c r="AD381" s="42"/>
      <c r="AE381" s="54"/>
    </row>
    <row r="382" spans="1:31" ht="15" hidden="1" customHeight="1">
      <c r="A382" s="60">
        <f>ROW() - ROW(Table1[[#Headers],[s]])</f>
        <v>381</v>
      </c>
      <c r="B382" s="42" t="s">
        <v>1510</v>
      </c>
      <c r="C382" s="51" t="s">
        <v>60</v>
      </c>
      <c r="D382" s="52" t="s">
        <v>1706</v>
      </c>
      <c r="E382" s="42" t="e" vm="99">
        <v>#VALUE!</v>
      </c>
      <c r="F382" s="42" t="e" vm="35">
        <v>#VALUE!</v>
      </c>
      <c r="G382" s="43" t="s">
        <v>36</v>
      </c>
      <c r="H382" s="42" t="s">
        <v>152</v>
      </c>
      <c r="I382" s="61" t="s">
        <v>60</v>
      </c>
      <c r="J382" s="55" t="s">
        <v>153</v>
      </c>
      <c r="K382" s="42" t="s">
        <v>154</v>
      </c>
      <c r="L382" s="44">
        <v>46093.591666666667</v>
      </c>
      <c r="M382" s="55" t="s">
        <v>44</v>
      </c>
      <c r="N382" s="55" t="s">
        <v>44</v>
      </c>
      <c r="O382" s="56"/>
      <c r="P382" s="56"/>
      <c r="Q382" s="58">
        <v>46093.659722222219</v>
      </c>
      <c r="R382" s="42"/>
      <c r="S382" s="53" t="s">
        <v>1707</v>
      </c>
      <c r="T382" s="42" t="s">
        <v>50</v>
      </c>
      <c r="U382" s="42"/>
      <c r="V382" s="53" t="s">
        <v>1707</v>
      </c>
      <c r="W382" s="42"/>
      <c r="X382" s="42"/>
      <c r="Y382" s="42" t="s">
        <v>179</v>
      </c>
      <c r="Z382" s="279" t="s">
        <v>179</v>
      </c>
      <c r="AA382" s="42"/>
      <c r="AB382" s="42"/>
      <c r="AC382" s="42"/>
      <c r="AD382" s="42"/>
      <c r="AE382" s="54"/>
    </row>
    <row r="383" spans="1:31" ht="15" hidden="1" customHeight="1">
      <c r="A383" s="60">
        <f>ROW() - ROW(Table1[[#Headers],[s]])</f>
        <v>382</v>
      </c>
      <c r="B383" s="42" t="s">
        <v>1708</v>
      </c>
      <c r="C383" s="51" t="s">
        <v>60</v>
      </c>
      <c r="D383" s="52" t="s">
        <v>1709</v>
      </c>
      <c r="E383" s="42" t="e" vm="99">
        <v>#VALUE!</v>
      </c>
      <c r="F383" s="42" t="e" vm="35">
        <v>#VALUE!</v>
      </c>
      <c r="G383" s="43" t="s">
        <v>36</v>
      </c>
      <c r="H383" s="42" t="s">
        <v>152</v>
      </c>
      <c r="I383" s="61" t="s">
        <v>60</v>
      </c>
      <c r="J383" s="55" t="s">
        <v>153</v>
      </c>
      <c r="K383" s="42" t="s">
        <v>154</v>
      </c>
      <c r="L383" s="44">
        <v>46093.635416666664</v>
      </c>
      <c r="M383" s="55" t="s">
        <v>44</v>
      </c>
      <c r="N383" s="55" t="s">
        <v>44</v>
      </c>
      <c r="O383" s="56"/>
      <c r="P383" s="56"/>
      <c r="Q383" s="58">
        <v>46093.659722222219</v>
      </c>
      <c r="R383" s="42"/>
      <c r="S383" s="53" t="s">
        <v>1707</v>
      </c>
      <c r="T383" s="55" t="s">
        <v>50</v>
      </c>
      <c r="U383" s="42"/>
      <c r="V383" s="53" t="s">
        <v>1707</v>
      </c>
      <c r="W383" s="42"/>
      <c r="X383" s="42"/>
      <c r="Y383" s="42" t="s">
        <v>179</v>
      </c>
      <c r="Z383" s="279" t="s">
        <v>179</v>
      </c>
      <c r="AA383" s="42"/>
      <c r="AB383" s="42"/>
      <c r="AC383" s="42"/>
      <c r="AD383" s="42"/>
      <c r="AE383" s="54"/>
    </row>
    <row r="384" spans="1:31" ht="15" hidden="1" customHeight="1">
      <c r="A384" s="60">
        <f>ROW() - ROW(Table1[[#Headers],[s]])</f>
        <v>383</v>
      </c>
      <c r="B384" s="42" t="s">
        <v>1710</v>
      </c>
      <c r="C384" s="51">
        <v>46082</v>
      </c>
      <c r="D384" s="52" t="s">
        <v>1711</v>
      </c>
      <c r="E384" s="42" t="e" vm="162">
        <v>#VALUE!</v>
      </c>
      <c r="F384" s="42" t="e" vm="22">
        <v>#VALUE!</v>
      </c>
      <c r="G384" s="43" t="s">
        <v>36</v>
      </c>
      <c r="H384" s="42" t="s">
        <v>152</v>
      </c>
      <c r="I384" s="42" t="s">
        <v>43</v>
      </c>
      <c r="J384" s="55" t="s">
        <v>153</v>
      </c>
      <c r="K384" s="42" t="s">
        <v>154</v>
      </c>
      <c r="L384" s="44">
        <v>46093.635416666664</v>
      </c>
      <c r="M384" s="55" t="s">
        <v>53</v>
      </c>
      <c r="N384" s="55" t="s">
        <v>53</v>
      </c>
      <c r="O384" s="56"/>
      <c r="P384" s="56"/>
      <c r="Q384" s="132">
        <v>46093.770138888889</v>
      </c>
      <c r="R384" s="42"/>
      <c r="S384" s="53" t="s">
        <v>1712</v>
      </c>
      <c r="T384" s="55" t="s">
        <v>178</v>
      </c>
      <c r="U384" s="42"/>
      <c r="V384" s="53" t="s">
        <v>1713</v>
      </c>
      <c r="W384" s="42"/>
      <c r="X384" s="42"/>
      <c r="Y384" s="42" t="s">
        <v>158</v>
      </c>
      <c r="Z384" s="42" t="s">
        <v>67</v>
      </c>
      <c r="AB384" s="42"/>
      <c r="AC384" s="42"/>
      <c r="AD384" s="42" t="s">
        <v>1059</v>
      </c>
      <c r="AE384" s="54"/>
    </row>
    <row r="385" spans="1:31" ht="15" hidden="1" customHeight="1">
      <c r="A385" s="60">
        <f>ROW() - ROW(Table1[[#Headers],[s]])</f>
        <v>384</v>
      </c>
      <c r="B385" s="42" t="s">
        <v>1714</v>
      </c>
      <c r="C385" s="163">
        <v>46082</v>
      </c>
      <c r="D385" s="52" t="s">
        <v>1715</v>
      </c>
      <c r="E385" s="42" t="e" vm="72">
        <v>#VALUE!</v>
      </c>
      <c r="F385" s="42" t="e" vm="25">
        <v>#VALUE!</v>
      </c>
      <c r="G385" s="43" t="s">
        <v>36</v>
      </c>
      <c r="H385" s="42" t="s">
        <v>152</v>
      </c>
      <c r="I385" s="42" t="s">
        <v>43</v>
      </c>
      <c r="J385" s="55" t="s">
        <v>261</v>
      </c>
      <c r="K385" s="42" t="s">
        <v>154</v>
      </c>
      <c r="L385" s="44">
        <v>46093.671527777777</v>
      </c>
      <c r="M385" s="55" t="s">
        <v>1716</v>
      </c>
      <c r="N385" s="55" t="s">
        <v>1716</v>
      </c>
      <c r="O385" s="56"/>
      <c r="P385" s="56"/>
      <c r="Q385" s="132">
        <v>46093.979166666664</v>
      </c>
      <c r="R385" s="42"/>
      <c r="S385" s="53" t="s">
        <v>1717</v>
      </c>
      <c r="T385" s="164" t="s">
        <v>164</v>
      </c>
      <c r="U385" s="42"/>
      <c r="V385" s="53" t="s">
        <v>1718</v>
      </c>
      <c r="W385" s="42"/>
      <c r="X385" s="42"/>
      <c r="Y385" s="42" t="s">
        <v>158</v>
      </c>
      <c r="Z385" s="60" t="s">
        <v>67</v>
      </c>
      <c r="AA385" s="42"/>
      <c r="AB385" s="42"/>
      <c r="AC385" s="42"/>
      <c r="AD385" s="42"/>
      <c r="AE385" s="54"/>
    </row>
    <row r="386" spans="1:31" ht="15" hidden="1" customHeight="1">
      <c r="A386" s="60">
        <f>ROW() - ROW(Table1[[#Headers],[s]])</f>
        <v>385</v>
      </c>
      <c r="B386" s="42" t="s">
        <v>1719</v>
      </c>
      <c r="C386" s="163">
        <v>46082</v>
      </c>
      <c r="D386" s="52" t="s">
        <v>1720</v>
      </c>
      <c r="E386" s="42" t="e" vm="163">
        <v>#VALUE!</v>
      </c>
      <c r="F386" s="42" t="e" vm="17">
        <v>#VALUE!</v>
      </c>
      <c r="G386" s="43" t="s">
        <v>36</v>
      </c>
      <c r="H386" s="42" t="s">
        <v>152</v>
      </c>
      <c r="I386" s="42" t="s">
        <v>43</v>
      </c>
      <c r="J386" s="55" t="s">
        <v>153</v>
      </c>
      <c r="K386" s="42" t="s">
        <v>154</v>
      </c>
      <c r="L386" s="44">
        <v>46093.670138888891</v>
      </c>
      <c r="M386" s="169" t="s">
        <v>1484</v>
      </c>
      <c r="N386" s="169" t="s">
        <v>1484</v>
      </c>
      <c r="O386" s="56"/>
      <c r="P386" s="56"/>
      <c r="Q386" s="132">
        <v>46093.743055555555</v>
      </c>
      <c r="R386" s="42"/>
      <c r="S386" s="53" t="s">
        <v>1721</v>
      </c>
      <c r="T386" s="164" t="s">
        <v>164</v>
      </c>
      <c r="U386" s="42"/>
      <c r="V386" s="53" t="s">
        <v>1722</v>
      </c>
      <c r="W386" s="42"/>
      <c r="X386" s="42"/>
      <c r="Y386" s="42" t="s">
        <v>158</v>
      </c>
      <c r="Z386" s="42" t="s">
        <v>70</v>
      </c>
      <c r="AA386" s="42"/>
      <c r="AB386" s="42"/>
      <c r="AC386" s="42"/>
      <c r="AD386" s="42"/>
      <c r="AE386" s="54"/>
    </row>
    <row r="387" spans="1:31" ht="15" hidden="1" customHeight="1">
      <c r="A387" s="60">
        <f>ROW() - ROW(Table1[[#Headers],[s]])</f>
        <v>386</v>
      </c>
      <c r="B387" s="162" t="s">
        <v>1723</v>
      </c>
      <c r="C387" s="51" t="s">
        <v>60</v>
      </c>
      <c r="D387" s="52" t="s">
        <v>1724</v>
      </c>
      <c r="E387" s="42" t="e" vm="131">
        <v>#VALUE!</v>
      </c>
      <c r="F387" s="42" t="e" vm="25">
        <v>#VALUE!</v>
      </c>
      <c r="G387" s="43" t="s">
        <v>36</v>
      </c>
      <c r="H387" s="42" t="s">
        <v>152</v>
      </c>
      <c r="I387" s="61" t="s">
        <v>60</v>
      </c>
      <c r="J387" s="55" t="s">
        <v>153</v>
      </c>
      <c r="K387" s="42" t="s">
        <v>154</v>
      </c>
      <c r="L387" s="44">
        <v>46093.724999999999</v>
      </c>
      <c r="M387" s="55" t="s">
        <v>72</v>
      </c>
      <c r="N387" s="55" t="s">
        <v>72</v>
      </c>
      <c r="O387" s="56"/>
      <c r="P387" s="56"/>
      <c r="Q387" s="132">
        <v>46094.005555555559</v>
      </c>
      <c r="R387" s="42"/>
      <c r="S387" s="290" t="s">
        <v>1725</v>
      </c>
      <c r="T387" s="55" t="s">
        <v>178</v>
      </c>
      <c r="U387" s="42"/>
      <c r="V387" s="290" t="s">
        <v>1725</v>
      </c>
      <c r="W387" s="42"/>
      <c r="X387" s="42"/>
      <c r="Y387" s="42" t="s">
        <v>179</v>
      </c>
      <c r="Z387" s="42" t="s">
        <v>179</v>
      </c>
      <c r="AA387" s="42"/>
      <c r="AB387" s="42"/>
      <c r="AC387" s="42"/>
      <c r="AD387" s="42"/>
      <c r="AE387" s="54"/>
    </row>
    <row r="388" spans="1:31" ht="15" hidden="1" customHeight="1">
      <c r="A388" s="60">
        <f>ROW() - ROW(Table1[[#Headers],[s]])</f>
        <v>387</v>
      </c>
      <c r="B388" s="162" t="s">
        <v>1726</v>
      </c>
      <c r="C388" s="163">
        <v>46082</v>
      </c>
      <c r="D388" s="52" t="s">
        <v>1727</v>
      </c>
      <c r="E388" s="42" t="e" vm="131">
        <v>#VALUE!</v>
      </c>
      <c r="F388" s="42" t="e" vm="25">
        <v>#VALUE!</v>
      </c>
      <c r="G388" s="43" t="s">
        <v>36</v>
      </c>
      <c r="H388" s="42" t="s">
        <v>747</v>
      </c>
      <c r="I388" s="42" t="s">
        <v>43</v>
      </c>
      <c r="J388" s="55" t="s">
        <v>253</v>
      </c>
      <c r="K388" s="42" t="s">
        <v>154</v>
      </c>
      <c r="L388" s="44">
        <v>46093.745833333334</v>
      </c>
      <c r="M388" s="55" t="s">
        <v>72</v>
      </c>
      <c r="N388" s="55" t="s">
        <v>72</v>
      </c>
      <c r="O388" s="56"/>
      <c r="P388" s="56"/>
      <c r="Q388" s="132">
        <v>46094.005555555559</v>
      </c>
      <c r="R388" s="42"/>
      <c r="S388" s="376" t="s">
        <v>1728</v>
      </c>
      <c r="T388" s="164" t="s">
        <v>164</v>
      </c>
      <c r="U388" s="42"/>
      <c r="V388" s="376" t="s">
        <v>1729</v>
      </c>
      <c r="W388" s="42"/>
      <c r="X388" s="42"/>
      <c r="Y388" s="42" t="s">
        <v>158</v>
      </c>
      <c r="Z388" s="42" t="s">
        <v>70</v>
      </c>
      <c r="AA388" s="42"/>
      <c r="AB388" s="42"/>
      <c r="AC388" s="42"/>
      <c r="AD388" s="42"/>
      <c r="AE388" s="54"/>
    </row>
    <row r="389" spans="1:31" ht="15" hidden="1" customHeight="1">
      <c r="A389" s="60">
        <f>ROW() - ROW(Table1[[#Headers],[s]])</f>
        <v>388</v>
      </c>
      <c r="B389" s="42" t="s">
        <v>1730</v>
      </c>
      <c r="C389" s="163">
        <v>46082</v>
      </c>
      <c r="D389" s="52" t="s">
        <v>1731</v>
      </c>
      <c r="E389" s="42" t="e" vm="121">
        <v>#VALUE!</v>
      </c>
      <c r="F389" s="42" t="e" vm="17">
        <v>#VALUE!</v>
      </c>
      <c r="G389" s="43" t="s">
        <v>36</v>
      </c>
      <c r="H389" s="42" t="s">
        <v>747</v>
      </c>
      <c r="I389" s="42" t="s">
        <v>43</v>
      </c>
      <c r="J389" s="55" t="s">
        <v>253</v>
      </c>
      <c r="K389" s="42" t="s">
        <v>154</v>
      </c>
      <c r="L389" s="44">
        <v>46093.962500000001</v>
      </c>
      <c r="M389" s="67" t="s">
        <v>227</v>
      </c>
      <c r="N389" s="67" t="s">
        <v>227</v>
      </c>
      <c r="O389" s="56"/>
      <c r="P389" s="56"/>
      <c r="Q389" s="132">
        <v>46094.136805555558</v>
      </c>
      <c r="R389" s="42"/>
      <c r="S389" s="53" t="s">
        <v>1732</v>
      </c>
      <c r="T389" s="55" t="s">
        <v>1118</v>
      </c>
      <c r="U389" s="42"/>
      <c r="V389" s="53" t="s">
        <v>1733</v>
      </c>
      <c r="W389" s="42"/>
      <c r="X389" s="42"/>
      <c r="Y389" s="42" t="s">
        <v>158</v>
      </c>
      <c r="Z389" s="42" t="s">
        <v>67</v>
      </c>
      <c r="AA389" s="42"/>
      <c r="AB389" s="42"/>
      <c r="AC389" s="42"/>
      <c r="AE389" s="54"/>
    </row>
    <row r="390" spans="1:31" ht="15" hidden="1" customHeight="1">
      <c r="A390" s="60">
        <f>ROW() - ROW(Table1[[#Headers],[s]])</f>
        <v>389</v>
      </c>
      <c r="B390" s="165" t="s">
        <v>1734</v>
      </c>
      <c r="C390" s="163">
        <v>46082</v>
      </c>
      <c r="D390" s="59" t="s">
        <v>1735</v>
      </c>
      <c r="E390" s="42" t="s">
        <v>575</v>
      </c>
      <c r="F390" s="42" t="e" vm="39">
        <v>#VALUE!</v>
      </c>
      <c r="G390" s="43" t="s">
        <v>151</v>
      </c>
      <c r="H390" s="42" t="s">
        <v>152</v>
      </c>
      <c r="I390" s="160" t="s">
        <v>43</v>
      </c>
      <c r="J390" s="55" t="s">
        <v>153</v>
      </c>
      <c r="K390" s="42" t="s">
        <v>154</v>
      </c>
      <c r="L390" s="44">
        <v>46094.36041666667</v>
      </c>
      <c r="M390" s="55" t="s">
        <v>162</v>
      </c>
      <c r="N390" s="55" t="s">
        <v>162</v>
      </c>
      <c r="O390" s="56">
        <v>46094.582638888889</v>
      </c>
      <c r="P390" s="56">
        <v>46094.620138888888</v>
      </c>
      <c r="Q390" s="132">
        <v>46094.645138888889</v>
      </c>
      <c r="R390" s="42"/>
      <c r="S390" s="53" t="s">
        <v>1736</v>
      </c>
      <c r="T390" s="55" t="s">
        <v>516</v>
      </c>
      <c r="U390" s="42"/>
      <c r="V390" s="164" t="s">
        <v>1736</v>
      </c>
      <c r="W390" s="42"/>
      <c r="X390" s="42"/>
      <c r="Y390" s="42" t="s">
        <v>158</v>
      </c>
      <c r="Z390" s="42" t="s">
        <v>67</v>
      </c>
      <c r="AA390" s="42"/>
      <c r="AB390" s="42"/>
      <c r="AC390" s="42"/>
      <c r="AD390" s="42"/>
      <c r="AE390" s="54"/>
    </row>
    <row r="391" spans="1:31" ht="15" hidden="1" customHeight="1">
      <c r="A391" s="60">
        <f>ROW() - ROW(Table1[[#Headers],[s]])</f>
        <v>390</v>
      </c>
      <c r="B391" s="42" t="s">
        <v>1737</v>
      </c>
      <c r="C391" s="163">
        <v>46082</v>
      </c>
      <c r="D391" s="52" t="s">
        <v>1738</v>
      </c>
      <c r="E391" s="42" t="e" vm="79">
        <v>#VALUE!</v>
      </c>
      <c r="F391" s="42" t="e" vm="25">
        <v>#VALUE!</v>
      </c>
      <c r="G391" s="43" t="s">
        <v>42</v>
      </c>
      <c r="H391" s="42" t="s">
        <v>747</v>
      </c>
      <c r="I391" s="160" t="s">
        <v>43</v>
      </c>
      <c r="J391" s="55" t="s">
        <v>253</v>
      </c>
      <c r="K391" s="42" t="s">
        <v>154</v>
      </c>
      <c r="L391" s="44">
        <v>46094.325694444444</v>
      </c>
      <c r="M391" s="55" t="s">
        <v>1739</v>
      </c>
      <c r="N391" s="55" t="s">
        <v>1739</v>
      </c>
      <c r="O391" s="56">
        <v>46094.375</v>
      </c>
      <c r="P391" s="56">
        <v>46094.381944444445</v>
      </c>
      <c r="Q391" s="132">
        <v>46094.45208333333</v>
      </c>
      <c r="R391" s="42"/>
      <c r="S391" s="53" t="s">
        <v>1740</v>
      </c>
      <c r="T391" s="55" t="s">
        <v>1741</v>
      </c>
      <c r="U391" s="42"/>
      <c r="V391" s="53" t="s">
        <v>1742</v>
      </c>
      <c r="W391" s="42"/>
      <c r="X391" s="42"/>
      <c r="Y391" s="42" t="s">
        <v>158</v>
      </c>
      <c r="Z391" s="42" t="s">
        <v>70</v>
      </c>
      <c r="AA391" s="42"/>
      <c r="AB391" s="42"/>
      <c r="AC391" s="42"/>
      <c r="AD391" s="42"/>
      <c r="AE391" s="54"/>
    </row>
    <row r="392" spans="1:31" s="464" customFormat="1" ht="15" hidden="1" customHeight="1">
      <c r="A392" s="463">
        <f>ROW() - ROW(Table1[[#Headers],[s]])</f>
        <v>391</v>
      </c>
      <c r="B392" s="479" t="s">
        <v>1743</v>
      </c>
      <c r="C392" s="501">
        <v>46082</v>
      </c>
      <c r="D392" s="499" t="s">
        <v>1744</v>
      </c>
      <c r="E392" s="479" t="e" vm="110">
        <v>#VALUE!</v>
      </c>
      <c r="F392" s="479" t="e" vm="49">
        <v>#VALUE!</v>
      </c>
      <c r="G392" s="478" t="s">
        <v>42</v>
      </c>
      <c r="H392" s="479" t="s">
        <v>747</v>
      </c>
      <c r="I392" s="502" t="s">
        <v>43</v>
      </c>
      <c r="J392" s="471" t="s">
        <v>253</v>
      </c>
      <c r="K392" s="479" t="s">
        <v>1745</v>
      </c>
      <c r="L392" s="469">
        <v>46094.335416666669</v>
      </c>
      <c r="M392" s="471" t="s">
        <v>779</v>
      </c>
      <c r="N392" s="471" t="s">
        <v>227</v>
      </c>
      <c r="O392" s="503">
        <v>46094.354166666664</v>
      </c>
      <c r="P392" s="503">
        <v>46094.364583333336</v>
      </c>
      <c r="Q392" s="503">
        <v>46094.959027777775</v>
      </c>
      <c r="R392" s="479"/>
      <c r="S392" s="473" t="s">
        <v>1746</v>
      </c>
      <c r="T392" s="471" t="s">
        <v>164</v>
      </c>
      <c r="U392" s="479"/>
      <c r="V392" s="504" t="s">
        <v>1747</v>
      </c>
      <c r="W392" s="479"/>
      <c r="X392" s="479"/>
      <c r="Y392" s="479" t="s">
        <v>70</v>
      </c>
      <c r="Z392" s="479" t="s">
        <v>70</v>
      </c>
      <c r="AA392" s="479" t="s">
        <v>1748</v>
      </c>
      <c r="AB392" s="479"/>
      <c r="AC392" s="479"/>
      <c r="AD392" s="463"/>
      <c r="AE392" s="505"/>
    </row>
    <row r="393" spans="1:31" ht="15" hidden="1" customHeight="1">
      <c r="A393" s="60">
        <f>ROW() - ROW(Table1[[#Headers],[s]])</f>
        <v>392</v>
      </c>
      <c r="B393" s="42" t="s">
        <v>1749</v>
      </c>
      <c r="C393" s="163">
        <v>46082</v>
      </c>
      <c r="D393" s="52" t="s">
        <v>1750</v>
      </c>
      <c r="E393" s="42" t="e" vm="131">
        <v>#VALUE!</v>
      </c>
      <c r="F393" s="42" t="e" vm="25">
        <v>#VALUE!</v>
      </c>
      <c r="G393" s="43" t="s">
        <v>42</v>
      </c>
      <c r="H393" s="42" t="s">
        <v>747</v>
      </c>
      <c r="I393" s="160" t="s">
        <v>43</v>
      </c>
      <c r="J393" s="55" t="s">
        <v>253</v>
      </c>
      <c r="K393" s="42" t="s">
        <v>154</v>
      </c>
      <c r="L393" s="44">
        <v>46094.374305555553</v>
      </c>
      <c r="M393" s="55" t="s">
        <v>1751</v>
      </c>
      <c r="N393" s="55" t="s">
        <v>1751</v>
      </c>
      <c r="O393" s="56">
        <v>46094.520833333336</v>
      </c>
      <c r="P393" s="56">
        <v>46094.522222222222</v>
      </c>
      <c r="Q393" s="56">
        <v>46094.897222222222</v>
      </c>
      <c r="R393" s="42"/>
      <c r="S393" s="53" t="s">
        <v>1752</v>
      </c>
      <c r="T393" s="164" t="s">
        <v>164</v>
      </c>
      <c r="U393" s="42"/>
      <c r="V393" s="53" t="s">
        <v>1753</v>
      </c>
      <c r="W393" s="42"/>
      <c r="X393" s="42"/>
      <c r="Y393" s="42" t="s">
        <v>70</v>
      </c>
      <c r="Z393" s="42" t="s">
        <v>67</v>
      </c>
      <c r="AB393" s="42"/>
      <c r="AC393" s="42"/>
      <c r="AD393" s="42"/>
      <c r="AE393" s="54"/>
    </row>
    <row r="394" spans="1:31" ht="15" hidden="1" customHeight="1">
      <c r="A394" s="60">
        <f>ROW() - ROW(Table1[[#Headers],[s]])</f>
        <v>393</v>
      </c>
      <c r="B394" s="42" t="s">
        <v>1754</v>
      </c>
      <c r="C394" s="163">
        <v>46082</v>
      </c>
      <c r="D394" s="52" t="s">
        <v>1755</v>
      </c>
      <c r="E394" s="42" t="e" vm="164">
        <v>#VALUE!</v>
      </c>
      <c r="F394" s="42" t="e" vm="7">
        <v>#VALUE!</v>
      </c>
      <c r="G394" s="43" t="s">
        <v>151</v>
      </c>
      <c r="H394" s="42" t="s">
        <v>747</v>
      </c>
      <c r="I394" s="42" t="s">
        <v>43</v>
      </c>
      <c r="J394" s="55" t="s">
        <v>253</v>
      </c>
      <c r="K394" s="42" t="s">
        <v>154</v>
      </c>
      <c r="L394" s="44">
        <v>46094.38958333333</v>
      </c>
      <c r="M394" s="55" t="s">
        <v>1756</v>
      </c>
      <c r="N394" s="55" t="s">
        <v>1756</v>
      </c>
      <c r="O394" s="56">
        <v>46094.480555555558</v>
      </c>
      <c r="P394" s="56">
        <v>46094.480555555558</v>
      </c>
      <c r="Q394" s="132">
        <v>46094.493750000001</v>
      </c>
      <c r="R394" s="42"/>
      <c r="S394" s="53" t="s">
        <v>1757</v>
      </c>
      <c r="T394" s="164" t="s">
        <v>179</v>
      </c>
      <c r="U394" s="42"/>
      <c r="V394" s="53" t="s">
        <v>1758</v>
      </c>
      <c r="W394" s="42"/>
      <c r="X394" s="42"/>
      <c r="Y394" s="42" t="s">
        <v>158</v>
      </c>
      <c r="Z394" s="42" t="s">
        <v>70</v>
      </c>
      <c r="AA394" s="42"/>
      <c r="AB394" s="42"/>
      <c r="AC394" s="42"/>
      <c r="AD394" s="42"/>
      <c r="AE394" s="54"/>
    </row>
    <row r="395" spans="1:31" ht="15" hidden="1" customHeight="1">
      <c r="A395" s="60">
        <f>ROW() - ROW(Table1[[#Headers],[s]])</f>
        <v>394</v>
      </c>
      <c r="B395" s="42" t="s">
        <v>1759</v>
      </c>
      <c r="C395" s="163" t="s">
        <v>60</v>
      </c>
      <c r="D395" s="52" t="s">
        <v>1760</v>
      </c>
      <c r="E395" s="42" t="e" vm="131">
        <v>#VALUE!</v>
      </c>
      <c r="F395" s="42" t="e" vm="25">
        <v>#VALUE!</v>
      </c>
      <c r="G395" s="43" t="s">
        <v>42</v>
      </c>
      <c r="H395" s="42" t="s">
        <v>152</v>
      </c>
      <c r="I395" s="163" t="s">
        <v>60</v>
      </c>
      <c r="J395" s="55" t="s">
        <v>268</v>
      </c>
      <c r="K395" s="42" t="s">
        <v>154</v>
      </c>
      <c r="L395" s="44">
        <v>46094.405555555553</v>
      </c>
      <c r="M395" s="55"/>
      <c r="N395" s="55"/>
      <c r="O395" s="56"/>
      <c r="P395" s="56"/>
      <c r="Q395" s="132"/>
      <c r="R395" s="42"/>
      <c r="S395" s="53" t="s">
        <v>1761</v>
      </c>
      <c r="T395" s="164" t="s">
        <v>179</v>
      </c>
      <c r="U395" s="42"/>
      <c r="V395" s="53"/>
      <c r="W395" s="42"/>
      <c r="X395" s="42"/>
      <c r="Y395" s="42" t="s">
        <v>179</v>
      </c>
      <c r="Z395" s="42" t="s">
        <v>179</v>
      </c>
      <c r="AA395" s="42"/>
      <c r="AB395" s="42"/>
      <c r="AC395" s="42"/>
      <c r="AD395" s="42"/>
      <c r="AE395" s="54"/>
    </row>
    <row r="396" spans="1:31" ht="16.5" hidden="1" customHeight="1">
      <c r="A396" s="60">
        <f>ROW() - ROW(Table1[[#Headers],[s]])</f>
        <v>395</v>
      </c>
      <c r="B396" s="167" t="s">
        <v>1762</v>
      </c>
      <c r="C396" s="51">
        <v>46082</v>
      </c>
      <c r="D396" s="146" t="s">
        <v>1763</v>
      </c>
      <c r="E396" s="42" t="e" vm="99">
        <v>#VALUE!</v>
      </c>
      <c r="F396" s="42" t="e" vm="35">
        <v>#VALUE!</v>
      </c>
      <c r="G396" s="43" t="s">
        <v>42</v>
      </c>
      <c r="H396" s="42" t="s">
        <v>152</v>
      </c>
      <c r="I396" s="160" t="s">
        <v>43</v>
      </c>
      <c r="J396" s="55" t="s">
        <v>253</v>
      </c>
      <c r="K396" s="42" t="s">
        <v>154</v>
      </c>
      <c r="L396" s="44">
        <v>46094.555555555555</v>
      </c>
      <c r="M396" s="169" t="s">
        <v>1484</v>
      </c>
      <c r="N396" s="169" t="s">
        <v>1484</v>
      </c>
      <c r="O396" s="44">
        <v>46094.67291666667</v>
      </c>
      <c r="P396" s="44">
        <v>46094.723611111112</v>
      </c>
      <c r="Q396" s="44">
        <v>46094.90347222222</v>
      </c>
      <c r="R396" s="42"/>
      <c r="S396" s="53" t="s">
        <v>1764</v>
      </c>
      <c r="T396" s="55"/>
      <c r="U396" s="42"/>
      <c r="V396" s="290" t="s">
        <v>1765</v>
      </c>
      <c r="W396" s="42"/>
      <c r="X396" s="42"/>
      <c r="Y396" s="42" t="s">
        <v>158</v>
      </c>
      <c r="Z396" s="42" t="s">
        <v>67</v>
      </c>
      <c r="AA396" s="42"/>
      <c r="AB396" s="42"/>
      <c r="AC396" s="42"/>
      <c r="AD396" s="42"/>
      <c r="AE396" s="54"/>
    </row>
    <row r="397" spans="1:31" ht="16.5" hidden="1" customHeight="1">
      <c r="A397" s="60">
        <f>ROW() - ROW(Table1[[#Headers],[s]])</f>
        <v>396</v>
      </c>
      <c r="B397" s="168" t="s">
        <v>1766</v>
      </c>
      <c r="C397" s="163">
        <v>46082</v>
      </c>
      <c r="D397" s="52" t="s">
        <v>1767</v>
      </c>
      <c r="E397" s="42" t="e" vm="9">
        <v>#VALUE!</v>
      </c>
      <c r="F397" s="42" t="e" vm="10">
        <v>#VALUE!</v>
      </c>
      <c r="G397" s="43" t="s">
        <v>151</v>
      </c>
      <c r="H397" s="42" t="s">
        <v>152</v>
      </c>
      <c r="I397" s="160" t="s">
        <v>43</v>
      </c>
      <c r="J397" s="55" t="s">
        <v>153</v>
      </c>
      <c r="K397" s="162" t="s">
        <v>154</v>
      </c>
      <c r="L397" s="44">
        <v>46094.629166666666</v>
      </c>
      <c r="M397" s="55" t="s">
        <v>78</v>
      </c>
      <c r="N397" s="55" t="s">
        <v>78</v>
      </c>
      <c r="O397" s="44">
        <v>46094.578472222223</v>
      </c>
      <c r="P397" s="44">
        <v>46094.787499999999</v>
      </c>
      <c r="Q397" s="58">
        <v>46094.793749999997</v>
      </c>
      <c r="R397" s="42"/>
      <c r="S397" s="290" t="s">
        <v>1768</v>
      </c>
      <c r="T397" s="55" t="s">
        <v>164</v>
      </c>
      <c r="U397" s="42"/>
      <c r="V397" s="53" t="s">
        <v>1768</v>
      </c>
      <c r="W397" s="42"/>
      <c r="X397" s="42"/>
      <c r="Y397" s="42" t="s">
        <v>158</v>
      </c>
      <c r="Z397" s="42" t="s">
        <v>70</v>
      </c>
      <c r="AA397" s="42"/>
      <c r="AB397" s="42"/>
      <c r="AC397" s="42"/>
      <c r="AD397" s="42"/>
      <c r="AE397" s="54"/>
    </row>
    <row r="398" spans="1:31" ht="15" customHeight="1">
      <c r="A398" s="60">
        <f>ROW() - ROW(Table1[[#Headers],[s]])</f>
        <v>397</v>
      </c>
      <c r="B398" s="42" t="s">
        <v>1769</v>
      </c>
      <c r="C398" s="51">
        <v>46082</v>
      </c>
      <c r="D398" s="52" t="s">
        <v>1770</v>
      </c>
      <c r="E398" s="42" t="s">
        <v>1771</v>
      </c>
      <c r="F398" s="42" t="e" vm="17">
        <v>#VALUE!</v>
      </c>
      <c r="G398" s="43" t="s">
        <v>186</v>
      </c>
      <c r="H398" s="42" t="s">
        <v>152</v>
      </c>
      <c r="I398" s="160" t="s">
        <v>43</v>
      </c>
      <c r="J398" s="55" t="s">
        <v>153</v>
      </c>
      <c r="K398" s="162" t="s">
        <v>154</v>
      </c>
      <c r="L398" s="44">
        <v>46094.759722222225</v>
      </c>
      <c r="M398" s="169" t="s">
        <v>1484</v>
      </c>
      <c r="N398" s="169" t="s">
        <v>1484</v>
      </c>
      <c r="O398" s="44">
        <v>46095.583333333336</v>
      </c>
      <c r="P398" s="44">
        <v>46095.590277777781</v>
      </c>
      <c r="Q398" s="58">
        <v>46095.727083333331</v>
      </c>
      <c r="R398" s="42"/>
      <c r="S398" s="53" t="s">
        <v>1772</v>
      </c>
      <c r="T398" s="55" t="s">
        <v>164</v>
      </c>
      <c r="U398" s="42"/>
      <c r="V398" s="53" t="s">
        <v>1773</v>
      </c>
      <c r="W398" s="42"/>
      <c r="X398" s="42"/>
      <c r="Y398" s="42" t="s">
        <v>158</v>
      </c>
      <c r="Z398" s="42" t="s">
        <v>67</v>
      </c>
      <c r="AA398" s="42"/>
      <c r="AB398" s="42"/>
      <c r="AC398" s="42"/>
      <c r="AD398" s="42"/>
      <c r="AE398" s="54"/>
    </row>
    <row r="399" spans="1:31" ht="15" customHeight="1">
      <c r="A399" s="60">
        <f>ROW() - ROW(Table1[[#Headers],[s]])</f>
        <v>398</v>
      </c>
      <c r="B399" s="73" t="s">
        <v>1774</v>
      </c>
      <c r="C399" s="163">
        <v>46082</v>
      </c>
      <c r="D399" s="73" t="s">
        <v>1775</v>
      </c>
      <c r="E399" s="42" t="e" vm="165">
        <v>#VALUE!</v>
      </c>
      <c r="F399" s="42" t="e" vm="5">
        <v>#VALUE!</v>
      </c>
      <c r="G399" s="43" t="s">
        <v>186</v>
      </c>
      <c r="H399" s="42" t="s">
        <v>245</v>
      </c>
      <c r="I399" s="160" t="s">
        <v>43</v>
      </c>
      <c r="J399" s="55" t="s">
        <v>253</v>
      </c>
      <c r="K399" s="162" t="s">
        <v>154</v>
      </c>
      <c r="L399" s="44">
        <v>46095.343055555553</v>
      </c>
      <c r="M399" s="67" t="s">
        <v>55</v>
      </c>
      <c r="N399" s="67" t="s">
        <v>55</v>
      </c>
      <c r="O399" s="56">
        <v>46095.416666666664</v>
      </c>
      <c r="P399" s="56">
        <v>46095.4375</v>
      </c>
      <c r="Q399" s="132">
        <v>46095.567361111112</v>
      </c>
      <c r="R399" s="42"/>
      <c r="S399" s="53" t="s">
        <v>1776</v>
      </c>
      <c r="T399" s="55" t="s">
        <v>1333</v>
      </c>
      <c r="U399" s="42"/>
      <c r="V399" s="53" t="s">
        <v>1777</v>
      </c>
      <c r="W399" s="42"/>
      <c r="X399" s="42"/>
      <c r="Y399" s="42" t="s">
        <v>158</v>
      </c>
      <c r="Z399" t="s">
        <v>67</v>
      </c>
      <c r="AB399" s="42"/>
      <c r="AC399" s="42"/>
      <c r="AD399" s="42"/>
      <c r="AE399" s="54"/>
    </row>
    <row r="400" spans="1:31" ht="15.75" customHeight="1">
      <c r="A400" s="60">
        <f>ROW() - ROW(Table1[[#Headers],[s]])</f>
        <v>399</v>
      </c>
      <c r="B400" s="42" t="s">
        <v>1778</v>
      </c>
      <c r="C400" s="163">
        <v>46082</v>
      </c>
      <c r="D400" s="52" t="s">
        <v>1779</v>
      </c>
      <c r="E400" s="42" t="e" vm="166">
        <v>#VALUE!</v>
      </c>
      <c r="F400" s="42" t="e" vm="23">
        <v>#VALUE!</v>
      </c>
      <c r="G400" s="43" t="s">
        <v>186</v>
      </c>
      <c r="H400" s="42" t="s">
        <v>245</v>
      </c>
      <c r="I400" s="160" t="s">
        <v>43</v>
      </c>
      <c r="J400" s="55" t="s">
        <v>253</v>
      </c>
      <c r="K400" s="162" t="s">
        <v>154</v>
      </c>
      <c r="L400" s="44">
        <v>46095.556250000001</v>
      </c>
      <c r="M400" s="55" t="s">
        <v>58</v>
      </c>
      <c r="N400" s="55" t="s">
        <v>58</v>
      </c>
      <c r="O400" s="56">
        <v>46095.625</v>
      </c>
      <c r="P400" s="56">
        <v>46095.631944444445</v>
      </c>
      <c r="Q400" s="132">
        <v>46095.705555555556</v>
      </c>
      <c r="R400" s="42"/>
      <c r="S400" s="224" t="s">
        <v>1780</v>
      </c>
      <c r="T400" s="55" t="s">
        <v>164</v>
      </c>
      <c r="U400" s="42"/>
      <c r="V400" s="53" t="s">
        <v>299</v>
      </c>
      <c r="W400" s="42"/>
      <c r="X400" s="42"/>
      <c r="Y400" s="42" t="s">
        <v>158</v>
      </c>
      <c r="Z400" s="42" t="s">
        <v>67</v>
      </c>
      <c r="AA400" s="42" t="s">
        <v>1781</v>
      </c>
      <c r="AB400" s="42"/>
      <c r="AC400" s="42"/>
      <c r="AD400" s="42"/>
      <c r="AE400" s="54"/>
    </row>
    <row r="401" spans="1:31" ht="15" hidden="1" customHeight="1">
      <c r="A401" s="60">
        <f>ROW() - ROW(Table1[[#Headers],[s]])</f>
        <v>400</v>
      </c>
      <c r="B401" s="42" t="s">
        <v>1782</v>
      </c>
      <c r="C401" s="163">
        <v>46082</v>
      </c>
      <c r="D401" s="52" t="s">
        <v>1783</v>
      </c>
      <c r="E401" s="42" t="e" vm="79">
        <v>#VALUE!</v>
      </c>
      <c r="F401" s="42" t="e" vm="25">
        <v>#VALUE!</v>
      </c>
      <c r="G401" s="43" t="s">
        <v>1784</v>
      </c>
      <c r="H401" s="42" t="s">
        <v>747</v>
      </c>
      <c r="I401" s="160" t="s">
        <v>1221</v>
      </c>
      <c r="J401" s="55" t="s">
        <v>253</v>
      </c>
      <c r="K401" s="42" t="s">
        <v>154</v>
      </c>
      <c r="L401" s="44">
        <v>46095.577777777777</v>
      </c>
      <c r="M401" s="55" t="s">
        <v>805</v>
      </c>
      <c r="N401" s="55" t="s">
        <v>53</v>
      </c>
      <c r="O401" s="56">
        <v>46097.416666666664</v>
      </c>
      <c r="P401" s="56">
        <v>46097.458333333336</v>
      </c>
      <c r="Q401" s="58">
        <v>46097.465277777781</v>
      </c>
      <c r="R401" s="42"/>
      <c r="S401" s="53" t="s">
        <v>1785</v>
      </c>
      <c r="T401" s="164" t="s">
        <v>1741</v>
      </c>
      <c r="U401" s="42"/>
      <c r="V401" s="53" t="s">
        <v>1786</v>
      </c>
      <c r="W401" s="42"/>
      <c r="X401" s="42"/>
      <c r="Y401" s="42" t="s">
        <v>179</v>
      </c>
      <c r="Z401" s="42" t="s">
        <v>70</v>
      </c>
      <c r="AA401" s="42"/>
      <c r="AB401" s="42"/>
      <c r="AC401" s="42"/>
      <c r="AD401" s="42"/>
      <c r="AE401" s="54"/>
    </row>
    <row r="402" spans="1:31" ht="15" customHeight="1">
      <c r="A402" s="60">
        <f>ROW() - ROW(Table1[[#Headers],[s]])</f>
        <v>401</v>
      </c>
      <c r="B402" s="42" t="s">
        <v>1787</v>
      </c>
      <c r="C402" s="51">
        <v>46082</v>
      </c>
      <c r="D402" s="52" t="s">
        <v>1788</v>
      </c>
      <c r="E402" s="42" t="e" vm="167">
        <v>#VALUE!</v>
      </c>
      <c r="F402" s="42" t="e" vm="7">
        <v>#VALUE!</v>
      </c>
      <c r="G402" s="43" t="s">
        <v>186</v>
      </c>
      <c r="H402" s="42" t="s">
        <v>245</v>
      </c>
      <c r="I402" s="160" t="s">
        <v>43</v>
      </c>
      <c r="J402" s="55" t="s">
        <v>280</v>
      </c>
      <c r="K402" s="162" t="s">
        <v>154</v>
      </c>
      <c r="L402" s="44">
        <v>46095.665277777778</v>
      </c>
      <c r="M402" s="55" t="s">
        <v>1789</v>
      </c>
      <c r="N402" s="55" t="s">
        <v>1789</v>
      </c>
      <c r="O402" s="44">
        <v>46095.729166666664</v>
      </c>
      <c r="P402" s="44">
        <v>46096.583333333336</v>
      </c>
      <c r="Q402" s="58">
        <v>46096.754166666666</v>
      </c>
      <c r="R402" s="42"/>
      <c r="S402" s="53" t="s">
        <v>1317</v>
      </c>
      <c r="T402" s="55" t="s">
        <v>164</v>
      </c>
      <c r="U402" s="42"/>
      <c r="V402" s="53" t="s">
        <v>1790</v>
      </c>
      <c r="W402" s="42"/>
      <c r="X402" s="42"/>
      <c r="Y402" s="42" t="s">
        <v>70</v>
      </c>
      <c r="Z402" s="42" t="s">
        <v>67</v>
      </c>
      <c r="AA402" s="42" t="s">
        <v>1791</v>
      </c>
      <c r="AB402" s="42"/>
      <c r="AC402" s="42"/>
      <c r="AD402" s="42"/>
      <c r="AE402" s="54"/>
    </row>
    <row r="403" spans="1:31" s="464" customFormat="1" ht="15.75" hidden="1" customHeight="1">
      <c r="A403" s="463">
        <f>ROW() - ROW(Table1[[#Headers],[s]])</f>
        <v>402</v>
      </c>
      <c r="B403" s="506" t="s">
        <v>1792</v>
      </c>
      <c r="C403" s="498">
        <v>46082</v>
      </c>
      <c r="D403" s="499" t="s">
        <v>1793</v>
      </c>
      <c r="E403" s="479" t="e" vm="168">
        <v>#VALUE!</v>
      </c>
      <c r="F403" s="479" t="e" vm="7">
        <v>#VALUE!</v>
      </c>
      <c r="G403" s="478" t="s">
        <v>1057</v>
      </c>
      <c r="H403" s="479" t="s">
        <v>245</v>
      </c>
      <c r="I403" s="502" t="s">
        <v>43</v>
      </c>
      <c r="J403" s="471" t="s">
        <v>253</v>
      </c>
      <c r="K403" s="479" t="s">
        <v>1794</v>
      </c>
      <c r="L403" s="469">
        <v>46095.712500000001</v>
      </c>
      <c r="M403" s="471" t="s">
        <v>176</v>
      </c>
      <c r="N403" s="471" t="s">
        <v>176</v>
      </c>
      <c r="O403" s="495">
        <v>42078.625</v>
      </c>
      <c r="P403" s="495">
        <v>42079.510416666664</v>
      </c>
      <c r="Q403" s="495">
        <v>46097.559027777781</v>
      </c>
      <c r="R403" s="479"/>
      <c r="S403" s="504" t="s">
        <v>1795</v>
      </c>
      <c r="T403" s="471" t="s">
        <v>164</v>
      </c>
      <c r="U403" s="479"/>
      <c r="V403" s="504" t="s">
        <v>1796</v>
      </c>
      <c r="W403" s="479"/>
      <c r="X403" s="479"/>
      <c r="Y403" s="479" t="s">
        <v>70</v>
      </c>
      <c r="Z403" s="479" t="s">
        <v>67</v>
      </c>
      <c r="AA403" s="479" t="s">
        <v>1791</v>
      </c>
      <c r="AB403" s="479"/>
      <c r="AC403" s="479"/>
      <c r="AE403" s="505"/>
    </row>
    <row r="404" spans="1:31" ht="15" customHeight="1">
      <c r="A404" s="60">
        <f>ROW() - ROW(Table1[[#Headers],[s]])</f>
        <v>403</v>
      </c>
      <c r="B404" s="42" t="s">
        <v>1797</v>
      </c>
      <c r="C404" s="51">
        <v>46082</v>
      </c>
      <c r="D404" s="52" t="s">
        <v>1798</v>
      </c>
      <c r="E404" s="42" t="e" vm="149">
        <v>#VALUE!</v>
      </c>
      <c r="F404" s="42" t="e" vm="40">
        <v>#VALUE!</v>
      </c>
      <c r="G404" s="43" t="s">
        <v>186</v>
      </c>
      <c r="H404" s="42" t="s">
        <v>152</v>
      </c>
      <c r="I404" s="160" t="s">
        <v>43</v>
      </c>
      <c r="J404" s="55" t="s">
        <v>153</v>
      </c>
      <c r="K404" s="162" t="s">
        <v>154</v>
      </c>
      <c r="L404" s="44">
        <v>46095.577777777777</v>
      </c>
      <c r="M404" s="55" t="s">
        <v>39</v>
      </c>
      <c r="N404" s="55" t="s">
        <v>39</v>
      </c>
      <c r="O404" s="44">
        <v>46096.375</v>
      </c>
      <c r="P404" s="44">
        <v>46096.388888888891</v>
      </c>
      <c r="Q404" s="58">
        <v>46096.447916666664</v>
      </c>
      <c r="R404" s="42"/>
      <c r="S404" s="53" t="s">
        <v>1799</v>
      </c>
      <c r="T404" s="55" t="s">
        <v>164</v>
      </c>
      <c r="U404" s="42"/>
      <c r="V404" s="53" t="s">
        <v>1800</v>
      </c>
      <c r="W404" s="42"/>
      <c r="X404" s="42"/>
      <c r="Y404" s="42" t="s">
        <v>203</v>
      </c>
      <c r="Z404" s="280" t="s">
        <v>70</v>
      </c>
      <c r="AA404" s="42"/>
      <c r="AB404" s="42"/>
      <c r="AC404" s="42"/>
      <c r="AD404" s="42"/>
      <c r="AE404" s="54"/>
    </row>
    <row r="405" spans="1:31" ht="15.75" customHeight="1">
      <c r="A405" s="60">
        <f>ROW() - ROW(Table1[[#Headers],[s]])</f>
        <v>404</v>
      </c>
      <c r="B405" s="74" t="s">
        <v>1657</v>
      </c>
      <c r="C405" s="51">
        <v>46082</v>
      </c>
      <c r="D405" s="52" t="s">
        <v>1801</v>
      </c>
      <c r="E405" s="42" t="e" vm="79">
        <v>#VALUE!</v>
      </c>
      <c r="F405" s="42" t="e" vm="25">
        <v>#VALUE!</v>
      </c>
      <c r="G405" s="43" t="s">
        <v>186</v>
      </c>
      <c r="H405" s="42" t="s">
        <v>152</v>
      </c>
      <c r="I405" s="160" t="s">
        <v>43</v>
      </c>
      <c r="J405" s="55" t="s">
        <v>153</v>
      </c>
      <c r="K405" s="162" t="s">
        <v>154</v>
      </c>
      <c r="L405" s="44">
        <v>46095.701388888891</v>
      </c>
      <c r="M405" s="55" t="s">
        <v>805</v>
      </c>
      <c r="N405" s="55" t="s">
        <v>805</v>
      </c>
      <c r="O405" s="44">
        <v>46095.75</v>
      </c>
      <c r="P405" s="44">
        <v>46095.756944444445</v>
      </c>
      <c r="Q405" s="58">
        <v>46095.836111111108</v>
      </c>
      <c r="R405" s="42"/>
      <c r="S405" s="53" t="s">
        <v>1802</v>
      </c>
      <c r="T405" s="55" t="s">
        <v>164</v>
      </c>
      <c r="U405" s="42"/>
      <c r="V405" s="53" t="s">
        <v>1803</v>
      </c>
      <c r="W405" s="42"/>
      <c r="X405" s="42"/>
      <c r="Y405" s="42" t="s">
        <v>158</v>
      </c>
      <c r="Z405" s="42" t="s">
        <v>70</v>
      </c>
      <c r="AA405" s="42"/>
      <c r="AB405" s="42"/>
      <c r="AC405" s="42"/>
      <c r="AD405" s="42"/>
      <c r="AE405" s="54"/>
    </row>
    <row r="406" spans="1:31" ht="15" customHeight="1">
      <c r="A406" s="60">
        <f>ROW() - ROW(Table1[[#Headers],[s]])</f>
        <v>405</v>
      </c>
      <c r="B406" s="42" t="s">
        <v>1804</v>
      </c>
      <c r="C406" s="51">
        <v>46082</v>
      </c>
      <c r="D406" s="52" t="s">
        <v>1805</v>
      </c>
      <c r="E406" s="42" t="e" vm="131">
        <v>#VALUE!</v>
      </c>
      <c r="F406" s="42" t="e" vm="25">
        <v>#VALUE!</v>
      </c>
      <c r="G406" s="43" t="s">
        <v>186</v>
      </c>
      <c r="H406" s="42" t="s">
        <v>152</v>
      </c>
      <c r="I406" s="160" t="s">
        <v>43</v>
      </c>
      <c r="J406" s="55" t="s">
        <v>268</v>
      </c>
      <c r="K406" s="162" t="s">
        <v>154</v>
      </c>
      <c r="L406" s="44">
        <v>46095.732638888891</v>
      </c>
      <c r="M406" s="55" t="s">
        <v>805</v>
      </c>
      <c r="N406" s="55" t="s">
        <v>805</v>
      </c>
      <c r="O406" s="56">
        <v>46095.75</v>
      </c>
      <c r="P406" s="56">
        <v>46095.756944444445</v>
      </c>
      <c r="Q406" s="132">
        <v>46095.824999999997</v>
      </c>
      <c r="R406" s="42"/>
      <c r="S406" s="53" t="s">
        <v>801</v>
      </c>
      <c r="T406" s="55" t="s">
        <v>164</v>
      </c>
      <c r="U406" s="42"/>
      <c r="V406" s="53" t="s">
        <v>581</v>
      </c>
      <c r="W406" s="42"/>
      <c r="X406" s="42"/>
      <c r="Y406" s="42" t="s">
        <v>158</v>
      </c>
      <c r="Z406" s="42" t="s">
        <v>70</v>
      </c>
      <c r="AA406" s="42"/>
      <c r="AB406" s="42"/>
      <c r="AC406" s="42"/>
      <c r="AD406" s="42"/>
      <c r="AE406" s="54"/>
    </row>
    <row r="407" spans="1:31" ht="15" customHeight="1">
      <c r="A407" s="60">
        <f>ROW() - ROW(Table1[[#Headers],[s]])</f>
        <v>406</v>
      </c>
      <c r="B407" s="42" t="s">
        <v>1806</v>
      </c>
      <c r="C407" s="51">
        <v>46082</v>
      </c>
      <c r="D407" s="52" t="s">
        <v>1807</v>
      </c>
      <c r="E407" s="42" t="e" vm="169">
        <v>#VALUE!</v>
      </c>
      <c r="F407" s="42" t="e" vm="5">
        <v>#VALUE!</v>
      </c>
      <c r="G407" s="43" t="s">
        <v>186</v>
      </c>
      <c r="H407" s="42" t="s">
        <v>152</v>
      </c>
      <c r="I407" s="160" t="s">
        <v>43</v>
      </c>
      <c r="J407" s="55" t="s">
        <v>153</v>
      </c>
      <c r="K407" s="162" t="s">
        <v>154</v>
      </c>
      <c r="L407" s="44">
        <v>46095.783333333333</v>
      </c>
      <c r="M407" s="67" t="s">
        <v>55</v>
      </c>
      <c r="N407" s="67" t="s">
        <v>55</v>
      </c>
      <c r="O407" s="56">
        <v>46096.5</v>
      </c>
      <c r="P407" s="44">
        <v>46096.520833333336</v>
      </c>
      <c r="Q407" s="58">
        <v>46096.621527777781</v>
      </c>
      <c r="R407" s="42"/>
      <c r="S407" s="53" t="s">
        <v>1808</v>
      </c>
      <c r="T407" s="55" t="s">
        <v>164</v>
      </c>
      <c r="U407" s="42"/>
      <c r="V407" s="53" t="s">
        <v>1809</v>
      </c>
      <c r="W407" s="42"/>
      <c r="X407" s="42"/>
      <c r="Y407" s="42" t="s">
        <v>158</v>
      </c>
      <c r="Z407" s="42" t="s">
        <v>70</v>
      </c>
      <c r="AA407" s="42" t="s">
        <v>1810</v>
      </c>
      <c r="AB407" s="42"/>
      <c r="AC407" s="42"/>
      <c r="AD407" s="42"/>
      <c r="AE407" s="54"/>
    </row>
    <row r="408" spans="1:31" ht="15" customHeight="1">
      <c r="A408" s="60">
        <f>ROW() - ROW(Table1[[#Headers],[s]])</f>
        <v>407</v>
      </c>
      <c r="B408" s="42" t="s">
        <v>1653</v>
      </c>
      <c r="C408" s="51">
        <v>46082</v>
      </c>
      <c r="D408" s="52" t="s">
        <v>1811</v>
      </c>
      <c r="E408" s="42" t="e" vm="14">
        <v>#VALUE!</v>
      </c>
      <c r="F408" s="42" t="e" vm="1">
        <v>#VALUE!</v>
      </c>
      <c r="G408" s="43" t="s">
        <v>186</v>
      </c>
      <c r="H408" s="42" t="s">
        <v>152</v>
      </c>
      <c r="I408" s="160" t="s">
        <v>43</v>
      </c>
      <c r="J408" s="55" t="s">
        <v>153</v>
      </c>
      <c r="K408" s="162" t="s">
        <v>154</v>
      </c>
      <c r="L408" s="44">
        <v>46095.881249999999</v>
      </c>
      <c r="M408" s="55" t="s">
        <v>1812</v>
      </c>
      <c r="N408" s="55" t="s">
        <v>1812</v>
      </c>
      <c r="O408" s="44">
        <v>46096.5</v>
      </c>
      <c r="P408" s="56">
        <v>46096.506944444445</v>
      </c>
      <c r="Q408" s="132">
        <v>46096.614583333336</v>
      </c>
      <c r="R408" s="42"/>
      <c r="S408" s="53" t="s">
        <v>1813</v>
      </c>
      <c r="T408" s="55" t="s">
        <v>164</v>
      </c>
      <c r="U408" s="42"/>
      <c r="V408" s="53" t="s">
        <v>581</v>
      </c>
      <c r="W408" s="42"/>
      <c r="X408" s="42"/>
      <c r="Y408" s="42" t="s">
        <v>158</v>
      </c>
      <c r="Z408" s="280" t="s">
        <v>70</v>
      </c>
      <c r="AA408" s="42"/>
      <c r="AB408" s="42"/>
      <c r="AC408" s="42"/>
      <c r="AD408" s="42"/>
      <c r="AE408" s="54"/>
    </row>
    <row r="409" spans="1:31" ht="15" customHeight="1">
      <c r="A409" s="60">
        <f>ROW() - ROW(Table1[[#Headers],[s]])</f>
        <v>408</v>
      </c>
      <c r="B409" s="169" t="s">
        <v>1814</v>
      </c>
      <c r="C409" s="51">
        <v>46082</v>
      </c>
      <c r="D409" s="52" t="s">
        <v>1815</v>
      </c>
      <c r="E409" s="42" t="e" vm="9">
        <v>#VALUE!</v>
      </c>
      <c r="F409" s="42" t="e" vm="10">
        <v>#VALUE!</v>
      </c>
      <c r="G409" s="43" t="s">
        <v>186</v>
      </c>
      <c r="H409" s="42" t="s">
        <v>152</v>
      </c>
      <c r="I409" s="160" t="s">
        <v>43</v>
      </c>
      <c r="J409" s="55" t="s">
        <v>153</v>
      </c>
      <c r="K409" s="162" t="s">
        <v>154</v>
      </c>
      <c r="L409" s="44">
        <v>46096.381249999999</v>
      </c>
      <c r="M409" s="55" t="s">
        <v>78</v>
      </c>
      <c r="N409" s="55" t="s">
        <v>78</v>
      </c>
      <c r="O409" s="44">
        <v>46096.666666666664</v>
      </c>
      <c r="P409" s="44">
        <v>46096.673611111109</v>
      </c>
      <c r="Q409" s="58">
        <v>46096.856249999997</v>
      </c>
      <c r="R409" s="42"/>
      <c r="S409" s="53" t="s">
        <v>1816</v>
      </c>
      <c r="T409" s="55" t="s">
        <v>164</v>
      </c>
      <c r="U409" s="42"/>
      <c r="V409" s="53" t="s">
        <v>581</v>
      </c>
      <c r="W409" s="42"/>
      <c r="X409" s="42"/>
      <c r="Y409" s="42" t="s">
        <v>158</v>
      </c>
      <c r="Z409" s="42" t="s">
        <v>70</v>
      </c>
      <c r="AA409" s="42"/>
      <c r="AB409" s="42"/>
      <c r="AC409" s="42"/>
      <c r="AD409" s="42"/>
      <c r="AE409" s="54"/>
    </row>
    <row r="410" spans="1:31" ht="15" customHeight="1">
      <c r="A410" s="60">
        <f>ROW() - ROW(Table1[[#Headers],[s]])</f>
        <v>409</v>
      </c>
      <c r="B410" s="42" t="s">
        <v>1817</v>
      </c>
      <c r="C410" s="51">
        <v>46082</v>
      </c>
      <c r="D410" s="52" t="s">
        <v>1818</v>
      </c>
      <c r="E410" s="42" t="e" vm="170">
        <v>#VALUE!</v>
      </c>
      <c r="F410" s="42" t="e" vm="2">
        <v>#VALUE!</v>
      </c>
      <c r="G410" s="43" t="s">
        <v>186</v>
      </c>
      <c r="H410" s="42" t="s">
        <v>152</v>
      </c>
      <c r="I410" s="160" t="s">
        <v>43</v>
      </c>
      <c r="J410" s="55" t="s">
        <v>153</v>
      </c>
      <c r="K410" s="162" t="s">
        <v>154</v>
      </c>
      <c r="L410" s="44">
        <v>46096.497916666667</v>
      </c>
      <c r="M410" s="55" t="s">
        <v>162</v>
      </c>
      <c r="N410" s="55" t="s">
        <v>162</v>
      </c>
      <c r="O410" s="44">
        <v>46096.664583333331</v>
      </c>
      <c r="P410" s="44">
        <v>46096.708333333336</v>
      </c>
      <c r="Q410" s="58">
        <v>46096.824305555558</v>
      </c>
      <c r="R410" s="42"/>
      <c r="S410" s="53" t="s">
        <v>1819</v>
      </c>
      <c r="T410" s="55" t="s">
        <v>164</v>
      </c>
      <c r="U410" s="42"/>
      <c r="V410" s="53" t="s">
        <v>1413</v>
      </c>
      <c r="W410" s="42"/>
      <c r="X410" s="42"/>
      <c r="Y410" s="42" t="s">
        <v>158</v>
      </c>
      <c r="Z410" s="42" t="s">
        <v>67</v>
      </c>
      <c r="AA410" s="42"/>
      <c r="AB410" s="42"/>
      <c r="AC410" s="42"/>
      <c r="AD410" s="42"/>
      <c r="AE410" s="54"/>
    </row>
    <row r="411" spans="1:31" ht="15" customHeight="1">
      <c r="A411" s="60">
        <f>ROW() - ROW(Table1[[#Headers],[s]])</f>
        <v>410</v>
      </c>
      <c r="B411" s="42" t="s">
        <v>1820</v>
      </c>
      <c r="C411" s="51" t="s">
        <v>60</v>
      </c>
      <c r="D411" s="52" t="s">
        <v>1821</v>
      </c>
      <c r="E411" s="42" t="e" vm="170">
        <v>#VALUE!</v>
      </c>
      <c r="F411" s="42" t="e" vm="2">
        <v>#VALUE!</v>
      </c>
      <c r="G411" s="43" t="s">
        <v>186</v>
      </c>
      <c r="H411" s="42" t="s">
        <v>152</v>
      </c>
      <c r="I411" s="170" t="s">
        <v>1345</v>
      </c>
      <c r="J411" s="55" t="s">
        <v>153</v>
      </c>
      <c r="K411" s="42" t="s">
        <v>154</v>
      </c>
      <c r="L411" s="44">
        <v>46096.604166666664</v>
      </c>
      <c r="M411" s="55" t="s">
        <v>162</v>
      </c>
      <c r="N411" s="55" t="s">
        <v>162</v>
      </c>
      <c r="O411" s="44"/>
      <c r="P411" s="44"/>
      <c r="Q411" s="58"/>
      <c r="R411" s="42"/>
      <c r="S411" s="53" t="s">
        <v>1822</v>
      </c>
      <c r="T411" s="164" t="s">
        <v>179</v>
      </c>
      <c r="U411" s="42"/>
      <c r="V411" s="53" t="s">
        <v>571</v>
      </c>
      <c r="W411" s="42"/>
      <c r="X411" s="42"/>
      <c r="Y411" s="42" t="s">
        <v>179</v>
      </c>
      <c r="Z411" s="42" t="s">
        <v>179</v>
      </c>
      <c r="AA411" s="42"/>
      <c r="AB411" s="42"/>
      <c r="AC411" s="42"/>
      <c r="AD411" s="42"/>
      <c r="AE411" s="54"/>
    </row>
    <row r="412" spans="1:31" ht="15" hidden="1" customHeight="1">
      <c r="A412" s="60">
        <f>ROW() - ROW(Table1[[#Headers],[s]])</f>
        <v>411</v>
      </c>
      <c r="B412" s="42" t="s">
        <v>1823</v>
      </c>
      <c r="C412" s="51">
        <v>46082</v>
      </c>
      <c r="D412" s="52" t="s">
        <v>1824</v>
      </c>
      <c r="E412" s="42" t="s">
        <v>1825</v>
      </c>
      <c r="F412" s="60" t="e" vm="40">
        <v>#VALUE!</v>
      </c>
      <c r="G412" s="43" t="s">
        <v>200</v>
      </c>
      <c r="H412" s="42" t="s">
        <v>245</v>
      </c>
      <c r="I412" s="159" t="s">
        <v>1221</v>
      </c>
      <c r="J412" s="55" t="s">
        <v>253</v>
      </c>
      <c r="K412" s="162" t="s">
        <v>154</v>
      </c>
      <c r="L412" s="44">
        <v>46097.493055555555</v>
      </c>
      <c r="M412" s="55" t="s">
        <v>39</v>
      </c>
      <c r="N412" s="55" t="s">
        <v>39</v>
      </c>
      <c r="O412" s="56">
        <v>46097.576388888891</v>
      </c>
      <c r="P412" s="56">
        <v>46097.604166666664</v>
      </c>
      <c r="Q412" s="56">
        <v>46097.655555555553</v>
      </c>
      <c r="R412" s="42"/>
      <c r="S412" s="164" t="s">
        <v>1826</v>
      </c>
      <c r="T412" s="55" t="s">
        <v>164</v>
      </c>
      <c r="U412" s="42"/>
      <c r="V412" s="53" t="s">
        <v>1827</v>
      </c>
      <c r="W412" s="42"/>
      <c r="X412" s="42"/>
      <c r="Y412" s="42" t="s">
        <v>158</v>
      </c>
      <c r="Z412" s="158" t="s">
        <v>67</v>
      </c>
      <c r="AA412" s="42"/>
      <c r="AB412" s="42"/>
      <c r="AC412" s="42"/>
      <c r="AD412" s="42"/>
      <c r="AE412" s="54"/>
    </row>
    <row r="413" spans="1:31" ht="15" hidden="1" customHeight="1">
      <c r="A413" s="60">
        <f>ROW() - ROW(Table1[[#Headers],[s]])</f>
        <v>412</v>
      </c>
      <c r="B413" s="42" t="s">
        <v>1719</v>
      </c>
      <c r="C413" s="51" t="s">
        <v>60</v>
      </c>
      <c r="D413" s="52" t="s">
        <v>1828</v>
      </c>
      <c r="E413" s="42" t="e" vm="94">
        <v>#VALUE!</v>
      </c>
      <c r="F413" s="42" t="e" vm="17">
        <v>#VALUE!</v>
      </c>
      <c r="G413" s="43" t="s">
        <v>200</v>
      </c>
      <c r="H413" s="42" t="s">
        <v>152</v>
      </c>
      <c r="I413" s="94" t="s">
        <v>60</v>
      </c>
      <c r="J413" s="55" t="s">
        <v>153</v>
      </c>
      <c r="K413" s="162" t="s">
        <v>1345</v>
      </c>
      <c r="L413" s="44">
        <v>46097.678472222222</v>
      </c>
      <c r="M413" s="55"/>
      <c r="N413" s="55"/>
      <c r="O413" s="56"/>
      <c r="P413" s="44"/>
      <c r="Q413" s="58"/>
      <c r="R413" s="42"/>
      <c r="S413" s="164" t="s">
        <v>1829</v>
      </c>
      <c r="T413" s="55" t="s">
        <v>164</v>
      </c>
      <c r="U413" s="42"/>
      <c r="V413" s="53" t="s">
        <v>1830</v>
      </c>
      <c r="W413" s="42"/>
      <c r="X413" s="42"/>
      <c r="Y413" s="42" t="s">
        <v>179</v>
      </c>
      <c r="Z413" s="42" t="s">
        <v>179</v>
      </c>
      <c r="AA413" s="42"/>
      <c r="AB413" s="42"/>
      <c r="AC413" s="42"/>
      <c r="AD413" s="42"/>
      <c r="AE413" s="54"/>
    </row>
    <row r="414" spans="1:31" ht="15" hidden="1" customHeight="1">
      <c r="A414" s="60">
        <f>ROW() - ROW(Table1[[#Headers],[s]])</f>
        <v>413</v>
      </c>
      <c r="B414" s="42" t="s">
        <v>1578</v>
      </c>
      <c r="C414" s="51">
        <v>46082</v>
      </c>
      <c r="D414" s="52" t="s">
        <v>1831</v>
      </c>
      <c r="E414" s="42" t="e" vm="20">
        <v>#VALUE!</v>
      </c>
      <c r="F414" s="42" t="e" vm="21">
        <v>#VALUE!</v>
      </c>
      <c r="G414" s="43" t="s">
        <v>1057</v>
      </c>
      <c r="H414" s="42" t="s">
        <v>152</v>
      </c>
      <c r="I414" s="160" t="s">
        <v>43</v>
      </c>
      <c r="J414" s="55" t="s">
        <v>153</v>
      </c>
      <c r="K414" s="162" t="s">
        <v>154</v>
      </c>
      <c r="L414" s="44">
        <v>46097.697916666664</v>
      </c>
      <c r="M414" s="55" t="s">
        <v>39</v>
      </c>
      <c r="N414" s="55" t="s">
        <v>39</v>
      </c>
      <c r="O414" s="56">
        <v>46098.368055555555</v>
      </c>
      <c r="P414" s="56">
        <v>46098.368055555555</v>
      </c>
      <c r="Q414" s="56">
        <v>46098.520833333336</v>
      </c>
      <c r="R414" s="42"/>
      <c r="S414" s="53" t="s">
        <v>1832</v>
      </c>
      <c r="T414" s="55" t="s">
        <v>164</v>
      </c>
      <c r="U414" s="42"/>
      <c r="V414" s="53" t="s">
        <v>1833</v>
      </c>
      <c r="W414" s="42"/>
      <c r="X414" s="42"/>
      <c r="Y414" s="42" t="s">
        <v>158</v>
      </c>
      <c r="Z414" s="42" t="s">
        <v>70</v>
      </c>
      <c r="AA414" s="42"/>
      <c r="AB414" s="42"/>
      <c r="AC414" s="42"/>
      <c r="AD414" s="42"/>
      <c r="AE414" s="54"/>
    </row>
    <row r="415" spans="1:31" ht="15.75" hidden="1" customHeight="1">
      <c r="A415" s="60">
        <f>ROW() - ROW(Table1[[#Headers],[s]])</f>
        <v>414</v>
      </c>
      <c r="B415" s="74" t="s">
        <v>1568</v>
      </c>
      <c r="C415" s="161" t="s">
        <v>60</v>
      </c>
      <c r="D415" s="52" t="s">
        <v>1834</v>
      </c>
      <c r="E415" s="42" t="e" vm="20">
        <v>#VALUE!</v>
      </c>
      <c r="F415" s="42" t="e" vm="21">
        <v>#VALUE!</v>
      </c>
      <c r="G415" s="43" t="s">
        <v>1057</v>
      </c>
      <c r="H415" s="42" t="s">
        <v>152</v>
      </c>
      <c r="I415" s="160" t="s">
        <v>1345</v>
      </c>
      <c r="J415" s="55" t="s">
        <v>153</v>
      </c>
      <c r="K415" s="42" t="s">
        <v>154</v>
      </c>
      <c r="L415" s="44">
        <v>46098.404166666667</v>
      </c>
      <c r="M415" s="55" t="s">
        <v>39</v>
      </c>
      <c r="N415" s="55" t="s">
        <v>39</v>
      </c>
      <c r="O415" s="56"/>
      <c r="P415" s="44"/>
      <c r="Q415" s="58"/>
      <c r="R415" s="42"/>
      <c r="S415" s="53" t="s">
        <v>1835</v>
      </c>
      <c r="T415" s="55" t="s">
        <v>164</v>
      </c>
      <c r="U415" s="42"/>
      <c r="V415" s="53" t="s">
        <v>571</v>
      </c>
      <c r="W415" s="42"/>
      <c r="X415" s="42"/>
      <c r="Y415" s="42" t="s">
        <v>158</v>
      </c>
      <c r="Z415" s="42" t="s">
        <v>70</v>
      </c>
      <c r="AA415" s="42"/>
      <c r="AB415" s="42"/>
      <c r="AC415" s="42"/>
      <c r="AD415" s="42"/>
      <c r="AE415" s="54"/>
    </row>
    <row r="416" spans="1:31" ht="15" hidden="1" customHeight="1">
      <c r="A416" s="60">
        <f>ROW() - ROW(Table1[[#Headers],[s]])</f>
        <v>415</v>
      </c>
      <c r="B416" s="42" t="s">
        <v>1836</v>
      </c>
      <c r="C416" s="51">
        <v>46082</v>
      </c>
      <c r="D416" s="52" t="s">
        <v>1837</v>
      </c>
      <c r="E416" s="42" t="e" vm="171">
        <v>#VALUE!</v>
      </c>
      <c r="F416" s="42" t="e" vm="37">
        <v>#VALUE!</v>
      </c>
      <c r="G416" s="43" t="s">
        <v>174</v>
      </c>
      <c r="H416" s="42" t="s">
        <v>747</v>
      </c>
      <c r="I416" s="42" t="s">
        <v>175</v>
      </c>
      <c r="J416" s="55" t="s">
        <v>253</v>
      </c>
      <c r="K416" s="162" t="s">
        <v>154</v>
      </c>
      <c r="L416" s="44">
        <v>46098.441666666666</v>
      </c>
      <c r="M416" s="55" t="s">
        <v>1662</v>
      </c>
      <c r="N416" s="55" t="s">
        <v>1662</v>
      </c>
      <c r="O416" s="44">
        <v>46098.482638888891</v>
      </c>
      <c r="P416" s="44">
        <v>46098.5</v>
      </c>
      <c r="Q416" s="58">
        <v>46098.554861111108</v>
      </c>
      <c r="R416" s="42"/>
      <c r="S416" s="53" t="s">
        <v>473</v>
      </c>
      <c r="T416" s="55" t="s">
        <v>266</v>
      </c>
      <c r="U416" s="42"/>
      <c r="V416" s="53" t="s">
        <v>1838</v>
      </c>
      <c r="W416" s="42"/>
      <c r="X416" s="42"/>
      <c r="Y416" s="42" t="s">
        <v>158</v>
      </c>
      <c r="Z416" s="42" t="s">
        <v>67</v>
      </c>
      <c r="AA416" s="42"/>
      <c r="AB416" s="42"/>
      <c r="AC416" s="42"/>
      <c r="AE416" s="54"/>
    </row>
    <row r="417" spans="1:31" ht="15.75" hidden="1" customHeight="1">
      <c r="A417" s="60">
        <f>ROW() - ROW(Table1[[#Headers],[s]])</f>
        <v>416</v>
      </c>
      <c r="B417" s="74" t="s">
        <v>1839</v>
      </c>
      <c r="C417" s="51">
        <v>46082</v>
      </c>
      <c r="D417" s="52" t="s">
        <v>1840</v>
      </c>
      <c r="E417" s="42" t="e" vm="120">
        <v>#VALUE!</v>
      </c>
      <c r="F417" s="42" t="e" vm="12">
        <v>#VALUE!</v>
      </c>
      <c r="G417" s="43" t="s">
        <v>174</v>
      </c>
      <c r="H417" s="42" t="s">
        <v>152</v>
      </c>
      <c r="I417" s="42" t="s">
        <v>175</v>
      </c>
      <c r="J417" s="55" t="s">
        <v>153</v>
      </c>
      <c r="K417" s="162" t="s">
        <v>154</v>
      </c>
      <c r="L417" s="44">
        <v>46098.629166666666</v>
      </c>
      <c r="M417" s="164" t="s">
        <v>72</v>
      </c>
      <c r="N417" s="164" t="s">
        <v>72</v>
      </c>
      <c r="O417" s="44">
        <v>46098.690972222219</v>
      </c>
      <c r="P417" s="44">
        <v>46098.715277777781</v>
      </c>
      <c r="Q417" s="44">
        <v>46098.75</v>
      </c>
      <c r="R417" s="42"/>
      <c r="S417" s="53" t="s">
        <v>684</v>
      </c>
      <c r="T417" s="55" t="s">
        <v>164</v>
      </c>
      <c r="U417" s="42"/>
      <c r="V417" s="53"/>
      <c r="W417" s="42"/>
      <c r="X417" s="42"/>
      <c r="Y417" s="42" t="s">
        <v>158</v>
      </c>
      <c r="Z417" s="280" t="s">
        <v>70</v>
      </c>
      <c r="AA417" s="42"/>
      <c r="AB417" s="42"/>
      <c r="AC417" s="42"/>
      <c r="AD417" s="42"/>
      <c r="AE417" s="54"/>
    </row>
    <row r="418" spans="1:31" ht="15.75" hidden="1" customHeight="1">
      <c r="A418" s="60">
        <f>ROW() - ROW(Table1[[#Headers],[s]])</f>
        <v>417</v>
      </c>
      <c r="B418" s="249" t="s">
        <v>1841</v>
      </c>
      <c r="C418" s="51">
        <v>46082</v>
      </c>
      <c r="D418" s="52" t="s">
        <v>1842</v>
      </c>
      <c r="E418" s="42" t="e" vm="108">
        <v>#VALUE!</v>
      </c>
      <c r="F418" s="42" t="e" vm="22">
        <v>#VALUE!</v>
      </c>
      <c r="G418" s="43" t="s">
        <v>174</v>
      </c>
      <c r="H418" s="42" t="s">
        <v>747</v>
      </c>
      <c r="I418" s="42" t="s">
        <v>175</v>
      </c>
      <c r="J418" s="55" t="s">
        <v>253</v>
      </c>
      <c r="K418" s="60" t="s">
        <v>154</v>
      </c>
      <c r="L418" s="44">
        <v>46098.5</v>
      </c>
      <c r="M418" s="55" t="s">
        <v>1843</v>
      </c>
      <c r="N418" s="55" t="s">
        <v>1843</v>
      </c>
      <c r="O418" s="44">
        <v>46098.572916666664</v>
      </c>
      <c r="P418" s="44">
        <v>46098.586805555555</v>
      </c>
      <c r="Q418" s="58">
        <v>46098.67083333333</v>
      </c>
      <c r="R418" s="42"/>
      <c r="S418" s="53" t="s">
        <v>1844</v>
      </c>
      <c r="T418" s="55" t="s">
        <v>1845</v>
      </c>
      <c r="U418" s="42"/>
      <c r="V418" s="53" t="s">
        <v>1846</v>
      </c>
      <c r="W418" s="42"/>
      <c r="X418" s="42"/>
      <c r="Y418" s="42" t="s">
        <v>158</v>
      </c>
      <c r="Z418" s="42" t="s">
        <v>158</v>
      </c>
      <c r="AA418" s="42" t="s">
        <v>1466</v>
      </c>
      <c r="AB418" s="42"/>
      <c r="AC418" s="42"/>
      <c r="AD418" s="42" t="s">
        <v>1059</v>
      </c>
      <c r="AE418" s="54"/>
    </row>
    <row r="419" spans="1:31" ht="15" hidden="1" customHeight="1">
      <c r="A419" s="60">
        <f>ROW() - ROW(Table1[[#Headers],[s]])</f>
        <v>418</v>
      </c>
      <c r="B419" s="73" t="s">
        <v>1847</v>
      </c>
      <c r="C419" s="51">
        <v>46082</v>
      </c>
      <c r="D419" s="52" t="s">
        <v>1848</v>
      </c>
      <c r="E419" s="42" t="e" vm="38">
        <v>#VALUE!</v>
      </c>
      <c r="F419" s="42" t="e" vm="10">
        <v>#VALUE!</v>
      </c>
      <c r="G419" s="43" t="s">
        <v>174</v>
      </c>
      <c r="H419" s="42" t="s">
        <v>152</v>
      </c>
      <c r="I419" s="42" t="s">
        <v>175</v>
      </c>
      <c r="J419" s="55" t="s">
        <v>153</v>
      </c>
      <c r="K419" s="162" t="s">
        <v>154</v>
      </c>
      <c r="L419" s="44">
        <v>46098.670138888891</v>
      </c>
      <c r="M419" s="55" t="s">
        <v>78</v>
      </c>
      <c r="N419" s="55" t="s">
        <v>78</v>
      </c>
      <c r="O419" s="44">
        <v>46098.729166666664</v>
      </c>
      <c r="P419" s="44">
        <v>46098.756944444445</v>
      </c>
      <c r="Q419" s="44">
        <v>46098.822916666664</v>
      </c>
      <c r="R419" s="42"/>
      <c r="S419" s="53" t="s">
        <v>1849</v>
      </c>
      <c r="T419" s="55" t="s">
        <v>266</v>
      </c>
      <c r="U419" s="42"/>
      <c r="V419" s="53" t="s">
        <v>1850</v>
      </c>
      <c r="W419" s="42"/>
      <c r="X419" s="42"/>
      <c r="Y419" s="42" t="s">
        <v>158</v>
      </c>
      <c r="Z419" s="42" t="s">
        <v>67</v>
      </c>
      <c r="AA419" s="42"/>
      <c r="AB419" s="42"/>
      <c r="AC419" s="42"/>
      <c r="AD419" s="42"/>
      <c r="AE419" s="54"/>
    </row>
    <row r="420" spans="1:31" ht="15.75" hidden="1" customHeight="1">
      <c r="A420" s="60">
        <f>ROW() - ROW(Table1[[#Headers],[s]])</f>
        <v>419</v>
      </c>
      <c r="B420" s="74" t="s">
        <v>1851</v>
      </c>
      <c r="C420" s="51" t="s">
        <v>60</v>
      </c>
      <c r="D420" s="52" t="s">
        <v>1852</v>
      </c>
      <c r="E420" s="42" t="e" vm="38">
        <v>#VALUE!</v>
      </c>
      <c r="F420" s="42" t="e" vm="10">
        <v>#VALUE!</v>
      </c>
      <c r="G420" s="43" t="s">
        <v>174</v>
      </c>
      <c r="H420" s="42" t="s">
        <v>152</v>
      </c>
      <c r="I420" s="75" t="s">
        <v>60</v>
      </c>
      <c r="J420" s="55" t="s">
        <v>153</v>
      </c>
      <c r="K420" s="42" t="s">
        <v>154</v>
      </c>
      <c r="L420" s="44">
        <v>46098.679166666669</v>
      </c>
      <c r="M420" s="55" t="s">
        <v>78</v>
      </c>
      <c r="N420" s="55" t="s">
        <v>78</v>
      </c>
      <c r="O420" s="44"/>
      <c r="P420" s="44"/>
      <c r="Q420" s="44">
        <v>46098.822916666664</v>
      </c>
      <c r="R420" s="42"/>
      <c r="S420" s="164" t="s">
        <v>1853</v>
      </c>
      <c r="T420" s="164" t="s">
        <v>179</v>
      </c>
      <c r="U420" s="42"/>
      <c r="V420" s="53"/>
      <c r="W420" s="42"/>
      <c r="X420" s="42"/>
      <c r="Y420" s="42" t="s">
        <v>179</v>
      </c>
      <c r="Z420" s="42" t="s">
        <v>179</v>
      </c>
      <c r="AA420" s="42"/>
      <c r="AB420" s="42"/>
      <c r="AC420" s="42"/>
      <c r="AD420" s="42"/>
      <c r="AE420" s="54"/>
    </row>
    <row r="421" spans="1:31" ht="15.75" hidden="1" customHeight="1">
      <c r="A421" s="60">
        <f>ROW() - ROW(Table1[[#Headers],[s]])</f>
        <v>420</v>
      </c>
      <c r="B421" s="74" t="s">
        <v>1854</v>
      </c>
      <c r="C421" s="51" t="s">
        <v>60</v>
      </c>
      <c r="D421" s="52" t="s">
        <v>1855</v>
      </c>
      <c r="E421" s="42" t="e" vm="38">
        <v>#VALUE!</v>
      </c>
      <c r="F421" s="42" t="e" vm="10">
        <v>#VALUE!</v>
      </c>
      <c r="G421" s="43" t="s">
        <v>174</v>
      </c>
      <c r="H421" s="42" t="s">
        <v>152</v>
      </c>
      <c r="I421" s="75" t="s">
        <v>60</v>
      </c>
      <c r="J421" s="55" t="s">
        <v>153</v>
      </c>
      <c r="K421" s="42" t="s">
        <v>154</v>
      </c>
      <c r="L421" s="44">
        <v>46098.71597222222</v>
      </c>
      <c r="M421" s="55" t="s">
        <v>78</v>
      </c>
      <c r="N421" s="55" t="s">
        <v>78</v>
      </c>
      <c r="O421" s="44"/>
      <c r="P421" s="44"/>
      <c r="Q421" s="44">
        <v>46098.822916666664</v>
      </c>
      <c r="R421" s="42"/>
      <c r="S421" s="164" t="s">
        <v>1853</v>
      </c>
      <c r="T421" s="164" t="s">
        <v>179</v>
      </c>
      <c r="U421" s="42"/>
      <c r="V421" s="53"/>
      <c r="W421" s="42"/>
      <c r="X421" s="42"/>
      <c r="Y421" s="42" t="s">
        <v>179</v>
      </c>
      <c r="Z421" s="42" t="s">
        <v>179</v>
      </c>
      <c r="AA421" s="42"/>
      <c r="AB421" s="42"/>
      <c r="AC421" s="42"/>
      <c r="AD421" s="42"/>
      <c r="AE421" s="54"/>
    </row>
    <row r="422" spans="1:31" ht="15.75" hidden="1" customHeight="1">
      <c r="A422" s="60">
        <f>ROW() - ROW(Table1[[#Headers],[s]])</f>
        <v>421</v>
      </c>
      <c r="B422" s="74" t="s">
        <v>1856</v>
      </c>
      <c r="C422" s="51">
        <v>46082</v>
      </c>
      <c r="D422" s="52" t="s">
        <v>1857</v>
      </c>
      <c r="E422" s="42" t="e" vm="172">
        <v>#VALUE!</v>
      </c>
      <c r="F422" s="42" t="e" vm="35">
        <v>#VALUE!</v>
      </c>
      <c r="G422" s="43" t="s">
        <v>36</v>
      </c>
      <c r="H422" s="42" t="s">
        <v>152</v>
      </c>
      <c r="I422" s="160" t="s">
        <v>43</v>
      </c>
      <c r="J422" s="55" t="s">
        <v>153</v>
      </c>
      <c r="K422" s="42" t="s">
        <v>154</v>
      </c>
      <c r="L422" s="44">
        <v>46098.586805555555</v>
      </c>
      <c r="M422" s="55" t="s">
        <v>155</v>
      </c>
      <c r="N422" s="55" t="s">
        <v>155</v>
      </c>
      <c r="O422" s="44"/>
      <c r="P422" s="44"/>
      <c r="Q422" s="58">
        <v>46099.416666666664</v>
      </c>
      <c r="R422" s="42"/>
      <c r="S422" s="53" t="s">
        <v>1858</v>
      </c>
      <c r="T422" s="164" t="s">
        <v>179</v>
      </c>
      <c r="U422" s="42"/>
      <c r="V422" s="53" t="s">
        <v>1859</v>
      </c>
      <c r="W422" s="42"/>
      <c r="X422" s="42"/>
      <c r="Y422" s="42" t="s">
        <v>158</v>
      </c>
      <c r="Z422" s="42" t="s">
        <v>70</v>
      </c>
      <c r="AA422" s="42"/>
      <c r="AB422" s="42"/>
      <c r="AC422" s="42"/>
      <c r="AD422" s="42"/>
      <c r="AE422" s="54"/>
    </row>
    <row r="423" spans="1:31" ht="15" hidden="1" customHeight="1">
      <c r="A423" s="60">
        <f>ROW() - ROW(Table1[[#Headers],[s]])</f>
        <v>422</v>
      </c>
      <c r="B423" s="42" t="s">
        <v>1860</v>
      </c>
      <c r="C423" s="51">
        <v>46082</v>
      </c>
      <c r="D423" s="52" t="s">
        <v>1861</v>
      </c>
      <c r="E423" s="42" t="s">
        <v>1862</v>
      </c>
      <c r="F423" s="42" t="e" vm="25">
        <v>#VALUE!</v>
      </c>
      <c r="G423" s="43" t="s">
        <v>36</v>
      </c>
      <c r="H423" s="42" t="s">
        <v>152</v>
      </c>
      <c r="I423" s="160" t="s">
        <v>43</v>
      </c>
      <c r="J423" s="55" t="s">
        <v>153</v>
      </c>
      <c r="K423" s="42" t="s">
        <v>154</v>
      </c>
      <c r="L423" s="44">
        <v>46099.453472222223</v>
      </c>
      <c r="M423" s="55" t="s">
        <v>72</v>
      </c>
      <c r="N423" s="55" t="s">
        <v>72</v>
      </c>
      <c r="O423" s="44"/>
      <c r="P423" s="44"/>
      <c r="Q423" s="58">
        <v>46099.5</v>
      </c>
      <c r="R423" s="42"/>
      <c r="S423" s="53" t="s">
        <v>1863</v>
      </c>
      <c r="T423" s="55" t="s">
        <v>164</v>
      </c>
      <c r="U423" s="42"/>
      <c r="V423" s="53" t="s">
        <v>761</v>
      </c>
      <c r="W423" s="42"/>
      <c r="X423" s="42"/>
      <c r="Y423" s="42" t="s">
        <v>203</v>
      </c>
      <c r="Z423" s="42" t="s">
        <v>70</v>
      </c>
      <c r="AA423" s="42"/>
      <c r="AB423" s="42"/>
      <c r="AC423" s="42"/>
      <c r="AD423" s="42"/>
      <c r="AE423" s="54"/>
    </row>
    <row r="424" spans="1:31" ht="15" hidden="1" customHeight="1">
      <c r="A424" s="60">
        <f>ROW() - ROW(Table1[[#Headers],[s]])</f>
        <v>423</v>
      </c>
      <c r="B424" s="42" t="s">
        <v>1864</v>
      </c>
      <c r="C424" s="51">
        <v>46082</v>
      </c>
      <c r="D424" s="52" t="s">
        <v>1865</v>
      </c>
      <c r="E424" s="42" t="e" vm="145">
        <v>#VALUE!</v>
      </c>
      <c r="F424" s="42" t="e" vm="16">
        <v>#VALUE!</v>
      </c>
      <c r="G424" s="43" t="s">
        <v>36</v>
      </c>
      <c r="H424" s="42" t="s">
        <v>152</v>
      </c>
      <c r="I424" s="160" t="s">
        <v>43</v>
      </c>
      <c r="J424" s="55" t="s">
        <v>153</v>
      </c>
      <c r="K424" s="42" t="s">
        <v>154</v>
      </c>
      <c r="L424" s="44">
        <v>46099.606944444444</v>
      </c>
      <c r="M424" s="55" t="s">
        <v>58</v>
      </c>
      <c r="N424" s="330" t="s">
        <v>58</v>
      </c>
      <c r="O424" s="44"/>
      <c r="P424" s="42"/>
      <c r="Q424" s="132">
        <v>46099.743055555555</v>
      </c>
      <c r="R424" s="42"/>
      <c r="S424" s="164" t="s">
        <v>1866</v>
      </c>
      <c r="T424" s="55" t="s">
        <v>164</v>
      </c>
      <c r="U424" s="42"/>
      <c r="V424" s="164" t="s">
        <v>1867</v>
      </c>
      <c r="W424" s="42"/>
      <c r="X424" s="42"/>
      <c r="Y424" s="42" t="s">
        <v>158</v>
      </c>
      <c r="Z424" s="42" t="s">
        <v>70</v>
      </c>
      <c r="AA424" s="42"/>
      <c r="AB424" s="42"/>
      <c r="AC424" s="42"/>
      <c r="AD424" s="42"/>
      <c r="AE424" s="54"/>
    </row>
    <row r="425" spans="1:31" ht="15" hidden="1" customHeight="1">
      <c r="A425" s="60">
        <f>ROW() - ROW(Table1[[#Headers],[s]])</f>
        <v>424</v>
      </c>
      <c r="B425" s="42" t="s">
        <v>1868</v>
      </c>
      <c r="C425" s="51">
        <v>46082</v>
      </c>
      <c r="D425" s="52" t="s">
        <v>1869</v>
      </c>
      <c r="E425" s="42" t="e" vm="173">
        <v>#VALUE!</v>
      </c>
      <c r="F425" s="42" t="e" vm="42">
        <v>#VALUE!</v>
      </c>
      <c r="G425" s="43" t="s">
        <v>36</v>
      </c>
      <c r="H425" s="42" t="s">
        <v>152</v>
      </c>
      <c r="I425" s="42" t="s">
        <v>43</v>
      </c>
      <c r="J425" s="55" t="s">
        <v>153</v>
      </c>
      <c r="K425" s="42" t="s">
        <v>154</v>
      </c>
      <c r="L425" s="44">
        <v>46099.677777777775</v>
      </c>
      <c r="M425" s="55" t="s">
        <v>602</v>
      </c>
      <c r="N425" s="55" t="s">
        <v>602</v>
      </c>
      <c r="O425" s="44"/>
      <c r="P425" s="44"/>
      <c r="Q425" s="58">
        <v>46099.791666666664</v>
      </c>
      <c r="R425" s="42"/>
      <c r="S425" s="53" t="s">
        <v>1870</v>
      </c>
      <c r="T425" s="55" t="s">
        <v>164</v>
      </c>
      <c r="U425" s="42"/>
      <c r="V425" s="53" t="s">
        <v>1871</v>
      </c>
      <c r="W425" s="42"/>
      <c r="X425" s="42"/>
      <c r="Y425" s="42" t="s">
        <v>158</v>
      </c>
      <c r="Z425" s="42" t="s">
        <v>70</v>
      </c>
      <c r="AA425" s="42"/>
      <c r="AB425" s="42"/>
      <c r="AC425" s="42"/>
      <c r="AD425" s="42"/>
      <c r="AE425" s="54"/>
    </row>
    <row r="426" spans="1:31" ht="15" hidden="1" customHeight="1">
      <c r="A426" s="60">
        <f>ROW() - ROW(Table1[[#Headers],[s]])</f>
        <v>425</v>
      </c>
      <c r="B426" s="42" t="s">
        <v>1872</v>
      </c>
      <c r="C426" s="51">
        <v>46082</v>
      </c>
      <c r="D426" s="52" t="s">
        <v>1873</v>
      </c>
      <c r="E426" s="42" t="e" vm="79">
        <v>#VALUE!</v>
      </c>
      <c r="F426" s="42" t="e" vm="25">
        <v>#VALUE!</v>
      </c>
      <c r="G426" s="43" t="s">
        <v>36</v>
      </c>
      <c r="H426" s="42" t="s">
        <v>152</v>
      </c>
      <c r="I426" s="42" t="s">
        <v>43</v>
      </c>
      <c r="J426" s="55" t="s">
        <v>268</v>
      </c>
      <c r="K426" s="42" t="s">
        <v>154</v>
      </c>
      <c r="L426" s="44">
        <v>46099.70208333333</v>
      </c>
      <c r="M426" s="55" t="s">
        <v>80</v>
      </c>
      <c r="N426" s="55" t="s">
        <v>80</v>
      </c>
      <c r="O426" s="44"/>
      <c r="P426" s="44"/>
      <c r="Q426" s="58">
        <v>46099.777777777781</v>
      </c>
      <c r="R426" s="42"/>
      <c r="S426" s="53" t="s">
        <v>1874</v>
      </c>
      <c r="T426" s="55" t="s">
        <v>164</v>
      </c>
      <c r="U426" s="42"/>
      <c r="V426" s="53" t="s">
        <v>1875</v>
      </c>
      <c r="W426" s="42"/>
      <c r="X426" s="42"/>
      <c r="Y426" s="42" t="s">
        <v>158</v>
      </c>
      <c r="Z426" s="42" t="s">
        <v>70</v>
      </c>
      <c r="AA426" s="42"/>
      <c r="AB426" s="42"/>
      <c r="AC426" s="42"/>
      <c r="AD426" s="42"/>
      <c r="AE426" s="54"/>
    </row>
    <row r="427" spans="1:31" ht="15" hidden="1" customHeight="1">
      <c r="A427" s="60">
        <f>ROW() - ROW(Table1[[#Headers],[s]])</f>
        <v>426</v>
      </c>
      <c r="B427" s="164" t="s">
        <v>1876</v>
      </c>
      <c r="C427" s="51">
        <v>46082</v>
      </c>
      <c r="D427" s="52" t="s">
        <v>1877</v>
      </c>
      <c r="E427" s="42" t="e" vm="174">
        <v>#VALUE!</v>
      </c>
      <c r="F427" s="42" t="e" vm="49">
        <v>#VALUE!</v>
      </c>
      <c r="G427" s="43" t="s">
        <v>36</v>
      </c>
      <c r="H427" s="42" t="s">
        <v>152</v>
      </c>
      <c r="I427" s="42" t="s">
        <v>43</v>
      </c>
      <c r="J427" s="55" t="s">
        <v>153</v>
      </c>
      <c r="K427" s="42" t="s">
        <v>154</v>
      </c>
      <c r="L427" s="44">
        <v>46099.773611111108</v>
      </c>
      <c r="M427" s="55" t="s">
        <v>84</v>
      </c>
      <c r="N427" s="55" t="s">
        <v>84</v>
      </c>
      <c r="O427" s="44"/>
      <c r="P427" s="44"/>
      <c r="Q427" s="58">
        <v>46099.826388888891</v>
      </c>
      <c r="R427" s="42"/>
      <c r="S427" s="53" t="s">
        <v>1878</v>
      </c>
      <c r="T427" s="55" t="s">
        <v>164</v>
      </c>
      <c r="U427" s="42"/>
      <c r="V427" s="164" t="s">
        <v>858</v>
      </c>
      <c r="W427" s="42"/>
      <c r="X427" s="42"/>
      <c r="Y427" s="42" t="s">
        <v>158</v>
      </c>
      <c r="Z427" s="280" t="s">
        <v>70</v>
      </c>
      <c r="AA427" s="42"/>
      <c r="AB427" s="42"/>
      <c r="AC427" s="42"/>
      <c r="AD427" s="42"/>
      <c r="AE427" s="54"/>
    </row>
    <row r="428" spans="1:31" ht="15" hidden="1" customHeight="1">
      <c r="A428" s="60">
        <f>ROW() - ROW(Table1[[#Headers],[s]])</f>
        <v>427</v>
      </c>
      <c r="B428" s="164" t="s">
        <v>1879</v>
      </c>
      <c r="C428" s="51">
        <v>46082</v>
      </c>
      <c r="D428" s="52" t="s">
        <v>1880</v>
      </c>
      <c r="E428" s="42" t="e" vm="131">
        <v>#VALUE!</v>
      </c>
      <c r="F428" s="42" t="e" vm="25">
        <v>#VALUE!</v>
      </c>
      <c r="G428" s="43" t="s">
        <v>1057</v>
      </c>
      <c r="H428" s="42" t="s">
        <v>152</v>
      </c>
      <c r="I428" s="160" t="s">
        <v>43</v>
      </c>
      <c r="J428" s="55" t="s">
        <v>153</v>
      </c>
      <c r="K428" s="164" t="s">
        <v>154</v>
      </c>
      <c r="L428" s="44">
        <v>46100.393750000003</v>
      </c>
      <c r="M428" s="55" t="s">
        <v>1881</v>
      </c>
      <c r="N428" s="55" t="s">
        <v>1881</v>
      </c>
      <c r="O428" s="56">
        <v>46100.541666666664</v>
      </c>
      <c r="P428" s="56">
        <v>46100.576388888891</v>
      </c>
      <c r="Q428" s="56">
        <v>46100.625</v>
      </c>
      <c r="R428" s="42"/>
      <c r="S428" s="53" t="s">
        <v>1882</v>
      </c>
      <c r="T428" s="55" t="s">
        <v>164</v>
      </c>
      <c r="U428" s="42"/>
      <c r="V428" s="53" t="s">
        <v>1883</v>
      </c>
      <c r="W428" s="42"/>
      <c r="X428" s="42"/>
      <c r="Y428" s="42" t="s">
        <v>158</v>
      </c>
      <c r="Z428" s="280" t="s">
        <v>70</v>
      </c>
      <c r="AA428" s="42"/>
      <c r="AB428" s="42"/>
      <c r="AC428" s="42"/>
      <c r="AD428" s="42"/>
      <c r="AE428" s="54"/>
    </row>
    <row r="429" spans="1:31" ht="15" hidden="1" customHeight="1">
      <c r="A429" s="60">
        <f>ROW() - ROW(Table1[[#Headers],[s]])</f>
        <v>428</v>
      </c>
      <c r="B429" s="42" t="s">
        <v>1884</v>
      </c>
      <c r="C429" s="51">
        <v>46082</v>
      </c>
      <c r="D429" s="52" t="s">
        <v>1885</v>
      </c>
      <c r="E429" s="42" t="e" vm="175">
        <v>#VALUE!</v>
      </c>
      <c r="F429" s="42" t="e" vm="42">
        <v>#VALUE!</v>
      </c>
      <c r="G429" s="43" t="s">
        <v>151</v>
      </c>
      <c r="H429" s="42" t="s">
        <v>152</v>
      </c>
      <c r="I429" s="160" t="s">
        <v>211</v>
      </c>
      <c r="J429" s="55" t="s">
        <v>153</v>
      </c>
      <c r="K429" s="42" t="s">
        <v>154</v>
      </c>
      <c r="L429" s="44">
        <v>46100.414583333331</v>
      </c>
      <c r="M429" s="55" t="s">
        <v>602</v>
      </c>
      <c r="N429" s="55" t="s">
        <v>602</v>
      </c>
      <c r="O429" s="44">
        <v>46100.636111111111</v>
      </c>
      <c r="P429" s="44">
        <v>46100.636111111111</v>
      </c>
      <c r="Q429" s="58">
        <v>46100.718055555553</v>
      </c>
      <c r="R429" s="42"/>
      <c r="S429" s="53" t="s">
        <v>1886</v>
      </c>
      <c r="T429" s="55"/>
      <c r="U429" s="42"/>
      <c r="V429" s="53" t="s">
        <v>1886</v>
      </c>
      <c r="W429" s="42"/>
      <c r="X429" s="42"/>
      <c r="Y429" s="42" t="s">
        <v>158</v>
      </c>
      <c r="Z429" s="158" t="s">
        <v>67</v>
      </c>
      <c r="AA429" s="42"/>
      <c r="AB429" s="42"/>
      <c r="AC429" s="42"/>
      <c r="AD429" s="42"/>
      <c r="AE429" s="54"/>
    </row>
    <row r="430" spans="1:31" ht="15" hidden="1" customHeight="1">
      <c r="A430" s="60">
        <f>ROW() - ROW(Table1[[#Headers],[s]])</f>
        <v>429</v>
      </c>
      <c r="B430" s="162" t="s">
        <v>1879</v>
      </c>
      <c r="C430" s="51" t="s">
        <v>60</v>
      </c>
      <c r="D430" s="52" t="s">
        <v>1887</v>
      </c>
      <c r="E430" s="42" t="e" vm="131">
        <v>#VALUE!</v>
      </c>
      <c r="F430" s="42" t="e" vm="25">
        <v>#VALUE!</v>
      </c>
      <c r="G430" s="43" t="s">
        <v>1057</v>
      </c>
      <c r="H430" s="42" t="s">
        <v>152</v>
      </c>
      <c r="I430" s="42" t="s">
        <v>1345</v>
      </c>
      <c r="J430" s="55" t="s">
        <v>153</v>
      </c>
      <c r="K430" s="42" t="s">
        <v>154</v>
      </c>
      <c r="L430" s="44">
        <v>46100.415972222225</v>
      </c>
      <c r="M430" s="55" t="s">
        <v>1881</v>
      </c>
      <c r="N430" s="55" t="s">
        <v>1881</v>
      </c>
      <c r="O430" s="56">
        <v>46100.541666666664</v>
      </c>
      <c r="P430" s="56">
        <v>46100.576388888891</v>
      </c>
      <c r="Q430" s="56">
        <v>46100.625</v>
      </c>
      <c r="R430" s="42"/>
      <c r="S430" s="42" t="s">
        <v>1888</v>
      </c>
      <c r="T430" s="55" t="s">
        <v>164</v>
      </c>
      <c r="U430" s="42"/>
      <c r="V430" s="53"/>
      <c r="W430" s="42"/>
      <c r="X430" s="42"/>
      <c r="Y430" s="42"/>
      <c r="Z430" s="280"/>
      <c r="AA430" s="42"/>
      <c r="AB430" s="42"/>
      <c r="AC430" s="42"/>
      <c r="AD430" s="42"/>
      <c r="AE430" s="54"/>
    </row>
    <row r="431" spans="1:31" ht="15" hidden="1" customHeight="1">
      <c r="A431" s="60">
        <f>ROW() - ROW(Table1[[#Headers],[s]])</f>
        <v>430</v>
      </c>
      <c r="B431" s="42" t="s">
        <v>1889</v>
      </c>
      <c r="C431" s="51">
        <v>46082</v>
      </c>
      <c r="D431" s="52" t="s">
        <v>1890</v>
      </c>
      <c r="E431" s="42" t="e" vm="110">
        <v>#VALUE!</v>
      </c>
      <c r="F431" s="42" t="e" vm="49">
        <v>#VALUE!</v>
      </c>
      <c r="G431" s="43" t="s">
        <v>36</v>
      </c>
      <c r="H431" s="42" t="s">
        <v>747</v>
      </c>
      <c r="I431" s="42" t="s">
        <v>43</v>
      </c>
      <c r="J431" s="55" t="s">
        <v>253</v>
      </c>
      <c r="K431" s="42" t="s">
        <v>154</v>
      </c>
      <c r="L431" s="44">
        <v>46100.435416666667</v>
      </c>
      <c r="M431" s="55" t="s">
        <v>155</v>
      </c>
      <c r="N431" s="55" t="s">
        <v>1891</v>
      </c>
      <c r="O431" s="44"/>
      <c r="P431" s="44"/>
      <c r="Q431" s="58">
        <v>46104.692361111112</v>
      </c>
      <c r="R431" s="42"/>
      <c r="S431" s="53" t="s">
        <v>259</v>
      </c>
      <c r="T431" s="55" t="s">
        <v>164</v>
      </c>
      <c r="U431" s="42"/>
      <c r="V431" s="53" t="s">
        <v>1892</v>
      </c>
      <c r="W431" s="42"/>
      <c r="X431" s="42"/>
      <c r="Y431" s="42" t="s">
        <v>70</v>
      </c>
      <c r="Z431" s="42" t="s">
        <v>70</v>
      </c>
      <c r="AA431" s="42"/>
      <c r="AB431" s="42"/>
      <c r="AC431" s="42"/>
      <c r="AD431" s="42"/>
      <c r="AE431" s="54"/>
    </row>
    <row r="432" spans="1:31" ht="15" hidden="1" customHeight="1">
      <c r="A432" s="60">
        <f>ROW() - ROW(Table1[[#Headers],[s]])</f>
        <v>431</v>
      </c>
      <c r="B432" s="42" t="s">
        <v>1893</v>
      </c>
      <c r="C432" s="51">
        <v>46082</v>
      </c>
      <c r="D432" s="52" t="s">
        <v>1894</v>
      </c>
      <c r="E432" s="42" t="e" vm="176">
        <v>#VALUE!</v>
      </c>
      <c r="F432" s="42" t="e" vm="49">
        <v>#VALUE!</v>
      </c>
      <c r="G432" s="43" t="s">
        <v>174</v>
      </c>
      <c r="H432" s="42" t="s">
        <v>245</v>
      </c>
      <c r="I432" s="160" t="s">
        <v>43</v>
      </c>
      <c r="J432" s="55" t="s">
        <v>253</v>
      </c>
      <c r="K432" s="158" t="s">
        <v>1895</v>
      </c>
      <c r="L432" s="44">
        <v>46100.484027777777</v>
      </c>
      <c r="M432" s="55" t="s">
        <v>155</v>
      </c>
      <c r="N432" s="55" t="s">
        <v>155</v>
      </c>
      <c r="O432" s="44">
        <v>46100.583333333336</v>
      </c>
      <c r="P432" s="44">
        <v>46100.708333333336</v>
      </c>
      <c r="Q432" s="58">
        <v>46102.50277777778</v>
      </c>
      <c r="R432" s="42"/>
      <c r="S432" s="53" t="s">
        <v>1896</v>
      </c>
      <c r="T432" s="55" t="s">
        <v>1897</v>
      </c>
      <c r="U432" s="42"/>
      <c r="V432" s="53" t="s">
        <v>1898</v>
      </c>
      <c r="W432" s="42"/>
      <c r="X432" s="42"/>
      <c r="Y432" s="42" t="s">
        <v>70</v>
      </c>
      <c r="Z432" s="42" t="s">
        <v>70</v>
      </c>
      <c r="AA432" s="42" t="s">
        <v>1899</v>
      </c>
      <c r="AB432" s="42"/>
      <c r="AC432" s="42"/>
      <c r="AD432" s="42"/>
      <c r="AE432" s="54"/>
    </row>
    <row r="433" spans="1:31" ht="15" hidden="1" customHeight="1">
      <c r="A433" s="60">
        <f>ROW() - ROW(Table1[[#Headers],[s]])</f>
        <v>432</v>
      </c>
      <c r="B433" s="42" t="s">
        <v>1900</v>
      </c>
      <c r="C433" s="51">
        <v>46082</v>
      </c>
      <c r="D433" s="52" t="s">
        <v>1901</v>
      </c>
      <c r="E433" s="42" t="e" vm="177">
        <v>#VALUE!</v>
      </c>
      <c r="F433" s="42" t="e" vm="37">
        <v>#VALUE!</v>
      </c>
      <c r="G433" s="43" t="s">
        <v>151</v>
      </c>
      <c r="H433" s="42" t="s">
        <v>245</v>
      </c>
      <c r="I433" s="160" t="s">
        <v>1902</v>
      </c>
      <c r="J433" s="55" t="s">
        <v>280</v>
      </c>
      <c r="K433" s="60" t="s">
        <v>736</v>
      </c>
      <c r="L433" s="44">
        <v>46100.488888888889</v>
      </c>
      <c r="M433" s="55" t="s">
        <v>179</v>
      </c>
      <c r="N433" s="55" t="s">
        <v>179</v>
      </c>
      <c r="O433" s="44"/>
      <c r="P433" s="44"/>
      <c r="Q433" s="58"/>
      <c r="R433" s="42"/>
      <c r="S433" s="379" t="s">
        <v>1903</v>
      </c>
      <c r="T433" s="164" t="s">
        <v>179</v>
      </c>
      <c r="U433" s="42"/>
      <c r="V433" s="164"/>
      <c r="W433" s="42"/>
      <c r="X433" s="42"/>
      <c r="Y433" s="42" t="s">
        <v>179</v>
      </c>
      <c r="Z433" s="42" t="s">
        <v>179</v>
      </c>
      <c r="AA433" s="42"/>
      <c r="AB433" s="42"/>
      <c r="AC433" s="42"/>
      <c r="AD433" s="42"/>
      <c r="AE433" s="54"/>
    </row>
    <row r="434" spans="1:31" ht="15" hidden="1" customHeight="1">
      <c r="A434" s="60">
        <f>ROW() - ROW(Table1[[#Headers],[s]])</f>
        <v>433</v>
      </c>
      <c r="B434" s="130" t="s">
        <v>1904</v>
      </c>
      <c r="C434" s="51">
        <v>46082</v>
      </c>
      <c r="D434" s="52" t="s">
        <v>1905</v>
      </c>
      <c r="E434" s="42" t="e" vm="79">
        <v>#VALUE!</v>
      </c>
      <c r="F434" s="42" t="e" vm="25">
        <v>#VALUE!</v>
      </c>
      <c r="G434" s="43" t="s">
        <v>1057</v>
      </c>
      <c r="H434" s="42" t="s">
        <v>152</v>
      </c>
      <c r="I434" s="160" t="s">
        <v>43</v>
      </c>
      <c r="J434" s="55" t="s">
        <v>153</v>
      </c>
      <c r="K434" s="171" t="s">
        <v>154</v>
      </c>
      <c r="L434" s="44">
        <v>46100.513194444444</v>
      </c>
      <c r="M434" s="55" t="s">
        <v>72</v>
      </c>
      <c r="N434" s="55" t="s">
        <v>72</v>
      </c>
      <c r="O434" s="56">
        <v>46100.729166666664</v>
      </c>
      <c r="P434" s="56">
        <v>46100.760416666664</v>
      </c>
      <c r="Q434" s="56">
        <v>46100.770833333336</v>
      </c>
      <c r="R434" s="42"/>
      <c r="S434" s="171" t="s">
        <v>1906</v>
      </c>
      <c r="T434" s="55" t="s">
        <v>164</v>
      </c>
      <c r="U434" s="42"/>
      <c r="V434" s="164" t="s">
        <v>1907</v>
      </c>
      <c r="W434" s="42"/>
      <c r="X434" s="42"/>
      <c r="Y434" s="42" t="s">
        <v>158</v>
      </c>
      <c r="Z434" s="280" t="s">
        <v>70</v>
      </c>
      <c r="AA434" s="42"/>
      <c r="AB434" s="42"/>
      <c r="AC434" s="42"/>
      <c r="AD434" s="42"/>
      <c r="AE434" s="54"/>
    </row>
    <row r="435" spans="1:31" ht="15" hidden="1" customHeight="1">
      <c r="A435" s="60">
        <f>ROW() - ROW(Table1[[#Headers],[s]])</f>
        <v>434</v>
      </c>
      <c r="B435" s="130" t="s">
        <v>1908</v>
      </c>
      <c r="C435" s="51">
        <v>46082</v>
      </c>
      <c r="D435" s="52" t="s">
        <v>1909</v>
      </c>
      <c r="E435" s="42" t="e" vm="64">
        <v>#VALUE!</v>
      </c>
      <c r="F435" s="42" t="e" vm="26">
        <v>#VALUE!</v>
      </c>
      <c r="G435" s="43" t="s">
        <v>151</v>
      </c>
      <c r="H435" s="42" t="s">
        <v>152</v>
      </c>
      <c r="I435" s="160" t="s">
        <v>211</v>
      </c>
      <c r="J435" s="55" t="s">
        <v>153</v>
      </c>
      <c r="K435" s="42" t="s">
        <v>154</v>
      </c>
      <c r="L435" s="44">
        <v>46100.550694444442</v>
      </c>
      <c r="M435" s="55" t="s">
        <v>1023</v>
      </c>
      <c r="N435" s="55" t="s">
        <v>1023</v>
      </c>
      <c r="O435" s="44">
        <v>46100.711805555555</v>
      </c>
      <c r="P435" s="44">
        <v>46100.713888888888</v>
      </c>
      <c r="Q435" s="58">
        <v>46100.714583333334</v>
      </c>
      <c r="R435" s="42"/>
      <c r="S435" s="53" t="s">
        <v>1910</v>
      </c>
      <c r="T435" s="55" t="s">
        <v>164</v>
      </c>
      <c r="U435" s="42"/>
      <c r="V435" s="53" t="s">
        <v>1910</v>
      </c>
      <c r="W435" s="42"/>
      <c r="X435" s="42"/>
      <c r="Y435" s="42" t="s">
        <v>158</v>
      </c>
      <c r="Z435" s="42" t="s">
        <v>70</v>
      </c>
      <c r="AA435" s="42"/>
      <c r="AB435" s="42"/>
      <c r="AC435" s="42"/>
      <c r="AD435" s="42"/>
      <c r="AE435" s="54"/>
    </row>
    <row r="436" spans="1:31" ht="15" hidden="1" customHeight="1">
      <c r="A436" s="60">
        <f>ROW() - ROW(Table1[[#Headers],[s]])</f>
        <v>435</v>
      </c>
      <c r="B436" s="130" t="s">
        <v>1911</v>
      </c>
      <c r="C436" s="51">
        <v>46082</v>
      </c>
      <c r="D436" s="52" t="s">
        <v>1912</v>
      </c>
      <c r="E436" s="42" t="s">
        <v>1913</v>
      </c>
      <c r="F436" s="42" t="e" vm="19">
        <v>#VALUE!</v>
      </c>
      <c r="G436" s="43" t="s">
        <v>151</v>
      </c>
      <c r="H436" s="42" t="s">
        <v>152</v>
      </c>
      <c r="I436" s="160" t="s">
        <v>211</v>
      </c>
      <c r="J436" s="55" t="s">
        <v>153</v>
      </c>
      <c r="K436" s="42" t="s">
        <v>154</v>
      </c>
      <c r="L436" s="44">
        <v>46100.551388888889</v>
      </c>
      <c r="M436" s="55" t="s">
        <v>1914</v>
      </c>
      <c r="N436" s="55" t="s">
        <v>1914</v>
      </c>
      <c r="O436" s="44">
        <v>46100.70416666667</v>
      </c>
      <c r="P436" s="44">
        <v>46100.738888888889</v>
      </c>
      <c r="Q436" s="58">
        <v>46100.76666666667</v>
      </c>
      <c r="R436" s="42"/>
      <c r="S436" s="53" t="s">
        <v>1915</v>
      </c>
      <c r="T436" s="55" t="s">
        <v>179</v>
      </c>
      <c r="U436" s="42"/>
      <c r="V436" s="164" t="s">
        <v>1915</v>
      </c>
      <c r="W436" s="42"/>
      <c r="X436" s="42"/>
      <c r="Y436" s="42" t="s">
        <v>158</v>
      </c>
      <c r="Z436" s="280" t="s">
        <v>70</v>
      </c>
      <c r="AA436" s="42"/>
      <c r="AB436" s="42"/>
      <c r="AC436" s="42"/>
      <c r="AD436" s="42"/>
      <c r="AE436" s="54"/>
    </row>
    <row r="437" spans="1:31" ht="15.75" hidden="1" customHeight="1">
      <c r="A437" s="60">
        <f>ROW() - ROW(Table1[[#Headers],[s]])</f>
        <v>436</v>
      </c>
      <c r="B437" s="74" t="s">
        <v>1916</v>
      </c>
      <c r="C437" s="51">
        <v>46082</v>
      </c>
      <c r="D437" s="59" t="s">
        <v>1917</v>
      </c>
      <c r="E437" s="42" t="e" vm="69">
        <v>#VALUE!</v>
      </c>
      <c r="F437" s="42" t="e" vm="2">
        <v>#VALUE!</v>
      </c>
      <c r="G437" s="43" t="s">
        <v>151</v>
      </c>
      <c r="H437" s="42" t="s">
        <v>152</v>
      </c>
      <c r="I437" s="160" t="s">
        <v>211</v>
      </c>
      <c r="J437" s="55" t="s">
        <v>153</v>
      </c>
      <c r="K437" s="42" t="s">
        <v>154</v>
      </c>
      <c r="L437" s="44">
        <v>46100.611111111109</v>
      </c>
      <c r="M437" s="55" t="s">
        <v>162</v>
      </c>
      <c r="N437" s="55" t="s">
        <v>162</v>
      </c>
      <c r="O437" s="44">
        <v>46100.678472222222</v>
      </c>
      <c r="P437" s="44">
        <v>46100.691666666666</v>
      </c>
      <c r="Q437" s="58">
        <v>46100.698611111111</v>
      </c>
      <c r="R437" s="42"/>
      <c r="S437" s="53" t="s">
        <v>1918</v>
      </c>
      <c r="T437" s="55" t="s">
        <v>164</v>
      </c>
      <c r="U437" s="42"/>
      <c r="V437" s="53" t="s">
        <v>1918</v>
      </c>
      <c r="W437" s="42"/>
      <c r="X437" s="42"/>
      <c r="Y437" s="42" t="s">
        <v>158</v>
      </c>
      <c r="Z437" s="42" t="s">
        <v>70</v>
      </c>
      <c r="AA437" s="42"/>
      <c r="AB437" s="42"/>
      <c r="AC437" s="42"/>
      <c r="AD437" s="42"/>
      <c r="AE437" s="54"/>
    </row>
    <row r="438" spans="1:31" ht="15.75" hidden="1" customHeight="1">
      <c r="A438" s="60">
        <f>ROW() - ROW(Table1[[#Headers],[s]])</f>
        <v>437</v>
      </c>
      <c r="B438" s="74" t="s">
        <v>1919</v>
      </c>
      <c r="C438" s="51">
        <v>46082</v>
      </c>
      <c r="D438" s="52" t="s">
        <v>1920</v>
      </c>
      <c r="E438" s="42" t="e" vm="148">
        <v>#VALUE!</v>
      </c>
      <c r="F438" s="42" t="e" vm="5">
        <v>#VALUE!</v>
      </c>
      <c r="G438" s="43" t="s">
        <v>151</v>
      </c>
      <c r="H438" s="42" t="s">
        <v>152</v>
      </c>
      <c r="I438" s="160" t="s">
        <v>211</v>
      </c>
      <c r="J438" s="55" t="s">
        <v>153</v>
      </c>
      <c r="K438" s="42" t="s">
        <v>154</v>
      </c>
      <c r="L438" s="44">
        <v>46100.622916666667</v>
      </c>
      <c r="M438" s="55" t="s">
        <v>55</v>
      </c>
      <c r="N438" s="55" t="s">
        <v>55</v>
      </c>
      <c r="O438" s="56">
        <v>46100.706944444442</v>
      </c>
      <c r="P438" s="57">
        <v>46100.712500000001</v>
      </c>
      <c r="Q438" s="132">
        <v>46100.833333333336</v>
      </c>
      <c r="R438" s="42"/>
      <c r="S438" s="53" t="s">
        <v>1921</v>
      </c>
      <c r="T438" s="55" t="s">
        <v>164</v>
      </c>
      <c r="U438" s="42"/>
      <c r="V438" s="53" t="s">
        <v>1922</v>
      </c>
      <c r="W438" s="42"/>
      <c r="X438" s="42"/>
      <c r="Y438" s="42" t="s">
        <v>158</v>
      </c>
      <c r="Z438" s="42" t="s">
        <v>70</v>
      </c>
      <c r="AA438" s="42"/>
      <c r="AB438" s="42"/>
      <c r="AC438" s="42"/>
      <c r="AD438" s="42"/>
      <c r="AE438" s="54"/>
    </row>
    <row r="439" spans="1:31" ht="15" customHeight="1">
      <c r="A439" s="60">
        <f>ROW() - ROW(Table1[[#Headers],[s]])</f>
        <v>438</v>
      </c>
      <c r="B439" s="42" t="s">
        <v>1923</v>
      </c>
      <c r="C439" s="51">
        <v>46082</v>
      </c>
      <c r="D439" s="52" t="s">
        <v>1924</v>
      </c>
      <c r="E439" s="42" t="e" vm="178">
        <v>#VALUE!</v>
      </c>
      <c r="F439" s="42" t="e" vm="19">
        <v>#VALUE!</v>
      </c>
      <c r="G439" s="43" t="s">
        <v>186</v>
      </c>
      <c r="H439" s="42" t="s">
        <v>152</v>
      </c>
      <c r="I439" s="160" t="s">
        <v>43</v>
      </c>
      <c r="J439" s="55" t="s">
        <v>153</v>
      </c>
      <c r="K439" s="42" t="s">
        <v>154</v>
      </c>
      <c r="L439" s="44">
        <v>46100.633333333331</v>
      </c>
      <c r="M439" s="55" t="s">
        <v>217</v>
      </c>
      <c r="N439" s="55" t="s">
        <v>217</v>
      </c>
      <c r="O439" s="56">
        <v>46101.375</v>
      </c>
      <c r="P439" s="57">
        <v>46101.381944444445</v>
      </c>
      <c r="Q439" s="58">
        <v>46101.425000000003</v>
      </c>
      <c r="R439" s="42"/>
      <c r="S439" s="53" t="s">
        <v>801</v>
      </c>
      <c r="T439" s="55" t="s">
        <v>164</v>
      </c>
      <c r="U439" s="42"/>
      <c r="V439" s="53" t="s">
        <v>1925</v>
      </c>
      <c r="W439" s="42"/>
      <c r="X439" s="42"/>
      <c r="Y439" s="42" t="s">
        <v>158</v>
      </c>
      <c r="Z439" s="42" t="s">
        <v>70</v>
      </c>
      <c r="AA439" s="42"/>
      <c r="AB439" s="42"/>
      <c r="AC439" s="42"/>
      <c r="AD439" s="42"/>
      <c r="AE439" s="54"/>
    </row>
    <row r="440" spans="1:31" ht="15" hidden="1" customHeight="1">
      <c r="A440" s="60">
        <f>ROW() - ROW(Table1[[#Headers],[s]])</f>
        <v>439</v>
      </c>
      <c r="B440" s="42" t="s">
        <v>1926</v>
      </c>
      <c r="C440" s="51">
        <v>46082</v>
      </c>
      <c r="D440" s="52" t="s">
        <v>1927</v>
      </c>
      <c r="E440" s="42" t="e" vm="113">
        <v>#VALUE!</v>
      </c>
      <c r="F440" s="42" t="e" vm="12">
        <v>#VALUE!</v>
      </c>
      <c r="G440" s="43" t="s">
        <v>151</v>
      </c>
      <c r="H440" s="42" t="s">
        <v>152</v>
      </c>
      <c r="I440" s="160" t="s">
        <v>43</v>
      </c>
      <c r="J440" s="55" t="s">
        <v>153</v>
      </c>
      <c r="K440" s="42" t="s">
        <v>154</v>
      </c>
      <c r="L440" s="44">
        <v>46100.635416666664</v>
      </c>
      <c r="M440" s="55" t="s">
        <v>882</v>
      </c>
      <c r="N440" s="55" t="s">
        <v>882</v>
      </c>
      <c r="O440" s="56">
        <v>46100.708333333336</v>
      </c>
      <c r="P440" s="57">
        <v>46100.708333333336</v>
      </c>
      <c r="Q440" s="132">
        <v>46100.724305555559</v>
      </c>
      <c r="R440" s="42"/>
      <c r="S440" s="53" t="s">
        <v>1928</v>
      </c>
      <c r="T440" s="55" t="s">
        <v>164</v>
      </c>
      <c r="U440" s="42"/>
      <c r="V440" s="53" t="s">
        <v>1928</v>
      </c>
      <c r="W440" s="42"/>
      <c r="X440" s="42"/>
      <c r="Y440" s="42" t="s">
        <v>158</v>
      </c>
      <c r="Z440" s="42" t="s">
        <v>70</v>
      </c>
      <c r="AA440" s="42"/>
      <c r="AB440" s="42"/>
      <c r="AC440" s="42"/>
      <c r="AD440" s="42"/>
      <c r="AE440" s="54"/>
    </row>
    <row r="441" spans="1:31" ht="15" hidden="1" customHeight="1">
      <c r="A441" s="60">
        <f>ROW() - ROW(Table1[[#Headers],[s]])</f>
        <v>440</v>
      </c>
      <c r="B441" s="42" t="s">
        <v>1929</v>
      </c>
      <c r="C441" s="51">
        <v>46082</v>
      </c>
      <c r="D441" s="52" t="s">
        <v>1930</v>
      </c>
      <c r="E441" s="42" t="e" vm="138">
        <v>#VALUE!</v>
      </c>
      <c r="F441" s="42" t="e" vm="5">
        <v>#VALUE!</v>
      </c>
      <c r="G441" s="43" t="s">
        <v>151</v>
      </c>
      <c r="H441" s="42" t="s">
        <v>152</v>
      </c>
      <c r="I441" s="42" t="s">
        <v>43</v>
      </c>
      <c r="J441" s="55" t="s">
        <v>153</v>
      </c>
      <c r="K441" s="42" t="s">
        <v>1931</v>
      </c>
      <c r="L441" s="44">
        <v>46100.692361111112</v>
      </c>
      <c r="M441" s="55" t="s">
        <v>1932</v>
      </c>
      <c r="N441" s="55" t="s">
        <v>1932</v>
      </c>
      <c r="O441" s="44">
        <v>46100.836805555555</v>
      </c>
      <c r="P441" s="44">
        <v>46100.836805555555</v>
      </c>
      <c r="Q441" s="58">
        <v>46100.874305555553</v>
      </c>
      <c r="R441" s="42"/>
      <c r="S441" s="53" t="s">
        <v>598</v>
      </c>
      <c r="T441" s="55" t="s">
        <v>164</v>
      </c>
      <c r="U441" s="42"/>
      <c r="V441" s="164" t="s">
        <v>1933</v>
      </c>
      <c r="W441" s="42"/>
      <c r="X441" s="42"/>
      <c r="Y441" s="42" t="s">
        <v>158</v>
      </c>
      <c r="Z441" s="42" t="s">
        <v>67</v>
      </c>
      <c r="AA441" s="42"/>
      <c r="AB441" s="42"/>
      <c r="AC441" s="42"/>
      <c r="AD441" s="42"/>
      <c r="AE441" s="54"/>
    </row>
    <row r="442" spans="1:31" ht="15" hidden="1" customHeight="1">
      <c r="A442" s="60">
        <f>ROW() - ROW(Table1[[#Headers],[s]])</f>
        <v>441</v>
      </c>
      <c r="B442" s="42" t="s">
        <v>1934</v>
      </c>
      <c r="C442" s="51">
        <v>46082</v>
      </c>
      <c r="D442" s="59" t="s">
        <v>1935</v>
      </c>
      <c r="E442" s="47" t="e" vm="179">
        <v>#VALUE!</v>
      </c>
      <c r="F442" s="47" t="e" vm="1">
        <v>#VALUE!</v>
      </c>
      <c r="G442" s="43" t="s">
        <v>584</v>
      </c>
      <c r="H442" s="42" t="s">
        <v>152</v>
      </c>
      <c r="I442" s="42" t="s">
        <v>175</v>
      </c>
      <c r="J442" s="55" t="s">
        <v>153</v>
      </c>
      <c r="K442" s="158" t="s">
        <v>1936</v>
      </c>
      <c r="L442" s="44">
        <v>46100.693055555559</v>
      </c>
      <c r="M442" s="55" t="s">
        <v>1937</v>
      </c>
      <c r="N442" s="55" t="s">
        <v>1937</v>
      </c>
      <c r="O442" s="56">
        <v>46102.333333333336</v>
      </c>
      <c r="P442" s="56">
        <v>46102.375</v>
      </c>
      <c r="Q442" s="56">
        <v>46102.416666666664</v>
      </c>
      <c r="R442" s="42"/>
      <c r="S442" s="53" t="s">
        <v>1938</v>
      </c>
      <c r="T442" s="55" t="s">
        <v>164</v>
      </c>
      <c r="U442" s="42"/>
      <c r="V442" s="53" t="s">
        <v>1939</v>
      </c>
      <c r="W442" s="42"/>
      <c r="X442" s="42"/>
      <c r="Y442" s="42" t="s">
        <v>70</v>
      </c>
      <c r="Z442" s="42" t="s">
        <v>67</v>
      </c>
      <c r="AA442" s="42"/>
      <c r="AB442" s="42"/>
      <c r="AC442" s="42"/>
      <c r="AD442" s="42"/>
      <c r="AE442" s="54"/>
    </row>
    <row r="443" spans="1:31" ht="15" customHeight="1">
      <c r="A443" s="60">
        <f>ROW() - ROW(Table1[[#Headers],[s]])</f>
        <v>442</v>
      </c>
      <c r="B443" s="162" t="s">
        <v>1940</v>
      </c>
      <c r="C443" s="51">
        <v>46082</v>
      </c>
      <c r="D443" s="52" t="s">
        <v>1941</v>
      </c>
      <c r="E443" s="42" t="s">
        <v>1942</v>
      </c>
      <c r="F443" s="42" t="e" vm="49">
        <v>#VALUE!</v>
      </c>
      <c r="G443" s="43" t="s">
        <v>186</v>
      </c>
      <c r="H443" s="42" t="s">
        <v>152</v>
      </c>
      <c r="I443" s="160" t="s">
        <v>43</v>
      </c>
      <c r="J443" s="55" t="s">
        <v>153</v>
      </c>
      <c r="K443" s="42" t="s">
        <v>154</v>
      </c>
      <c r="L443" s="44">
        <v>46100.730555555558</v>
      </c>
      <c r="M443" s="55" t="s">
        <v>1943</v>
      </c>
      <c r="N443" s="55" t="s">
        <v>1943</v>
      </c>
      <c r="O443" s="56">
        <v>46376.5</v>
      </c>
      <c r="P443" s="57">
        <v>46376.506944444445</v>
      </c>
      <c r="Q443" s="132">
        <v>46101.520833333336</v>
      </c>
      <c r="R443" s="42"/>
      <c r="S443" s="53" t="s">
        <v>1944</v>
      </c>
      <c r="T443" s="55" t="s">
        <v>164</v>
      </c>
      <c r="U443" s="42"/>
      <c r="V443" s="53" t="s">
        <v>1945</v>
      </c>
      <c r="W443" s="42"/>
      <c r="X443" s="42"/>
      <c r="Y443" s="42" t="s">
        <v>158</v>
      </c>
      <c r="Z443" s="42" t="s">
        <v>70</v>
      </c>
      <c r="AA443" s="42"/>
      <c r="AB443" s="42"/>
      <c r="AC443" s="42"/>
      <c r="AD443" s="42"/>
      <c r="AE443" s="54"/>
    </row>
    <row r="444" spans="1:31" ht="15.75" customHeight="1">
      <c r="A444" s="60">
        <f>ROW() - ROW(Table1[[#Headers],[s]])</f>
        <v>443</v>
      </c>
      <c r="B444" s="42" t="s">
        <v>1946</v>
      </c>
      <c r="C444" s="51">
        <v>46082</v>
      </c>
      <c r="D444" s="52" t="s">
        <v>1947</v>
      </c>
      <c r="E444" s="42" t="e" vm="180">
        <v>#VALUE!</v>
      </c>
      <c r="F444" s="42" t="e" vm="16">
        <v>#VALUE!</v>
      </c>
      <c r="G444" s="43" t="s">
        <v>186</v>
      </c>
      <c r="H444" s="42" t="s">
        <v>152</v>
      </c>
      <c r="I444" s="160" t="s">
        <v>43</v>
      </c>
      <c r="J444" s="55" t="s">
        <v>153</v>
      </c>
      <c r="K444" s="42" t="s">
        <v>154</v>
      </c>
      <c r="L444" s="44">
        <v>46100.243055555555</v>
      </c>
      <c r="M444" s="55" t="s">
        <v>58</v>
      </c>
      <c r="N444" s="55" t="s">
        <v>58</v>
      </c>
      <c r="O444" s="56">
        <v>46376.333333333336</v>
      </c>
      <c r="P444" s="57">
        <v>46101.340277777781</v>
      </c>
      <c r="Q444" s="132">
        <v>46101.441666666666</v>
      </c>
      <c r="R444" s="42"/>
      <c r="S444" s="224" t="s">
        <v>1948</v>
      </c>
      <c r="T444" s="55" t="s">
        <v>164</v>
      </c>
      <c r="U444" s="42"/>
      <c r="V444" s="224" t="s">
        <v>581</v>
      </c>
      <c r="W444" s="42"/>
      <c r="X444" s="42"/>
      <c r="Y444" s="42" t="s">
        <v>158</v>
      </c>
      <c r="Z444" s="42" t="s">
        <v>70</v>
      </c>
      <c r="AA444" s="42"/>
      <c r="AB444" s="42"/>
      <c r="AC444" s="42"/>
      <c r="AD444" s="42"/>
      <c r="AE444" s="54"/>
    </row>
    <row r="445" spans="1:31" ht="15" hidden="1" customHeight="1">
      <c r="A445" s="60">
        <f>ROW() - ROW(Table1[[#Headers],[s]])</f>
        <v>444</v>
      </c>
      <c r="B445" s="42" t="s">
        <v>1949</v>
      </c>
      <c r="C445" s="51">
        <v>46082</v>
      </c>
      <c r="D445" s="52" t="s">
        <v>1950</v>
      </c>
      <c r="E445" s="42" t="e" vm="110">
        <v>#VALUE!</v>
      </c>
      <c r="F445" s="42" t="e" vm="49">
        <v>#VALUE!</v>
      </c>
      <c r="G445" s="43" t="s">
        <v>584</v>
      </c>
      <c r="H445" s="42" t="s">
        <v>152</v>
      </c>
      <c r="I445" s="160" t="s">
        <v>175</v>
      </c>
      <c r="J445" s="55" t="s">
        <v>153</v>
      </c>
      <c r="K445" s="42" t="s">
        <v>154</v>
      </c>
      <c r="L445" s="44">
        <v>46101.383333333331</v>
      </c>
      <c r="M445" s="55" t="s">
        <v>1951</v>
      </c>
      <c r="N445" s="55" t="s">
        <v>1951</v>
      </c>
      <c r="O445" s="56">
        <v>46102.333333333336</v>
      </c>
      <c r="P445" s="56">
        <v>46102.375</v>
      </c>
      <c r="Q445" s="56">
        <v>46102.416666666664</v>
      </c>
      <c r="R445" s="42"/>
      <c r="S445" s="53" t="s">
        <v>1952</v>
      </c>
      <c r="T445" s="164" t="s">
        <v>179</v>
      </c>
      <c r="U445" s="42"/>
      <c r="V445" s="53" t="s">
        <v>1953</v>
      </c>
      <c r="W445" s="42"/>
      <c r="X445" s="42"/>
      <c r="Y445" s="42" t="s">
        <v>158</v>
      </c>
      <c r="Z445" s="280" t="s">
        <v>70</v>
      </c>
      <c r="AA445" s="42"/>
      <c r="AB445" s="42"/>
      <c r="AC445" s="42"/>
      <c r="AD445" s="42"/>
      <c r="AE445" s="54"/>
    </row>
    <row r="446" spans="1:31" ht="15" hidden="1" customHeight="1">
      <c r="A446" s="60">
        <f>ROW() - ROW(Table1[[#Headers],[s]])</f>
        <v>445</v>
      </c>
      <c r="B446" s="162" t="s">
        <v>1954</v>
      </c>
      <c r="C446" s="51">
        <v>46082</v>
      </c>
      <c r="D446" s="52" t="s">
        <v>1955</v>
      </c>
      <c r="E446" s="42" t="e" vm="181">
        <v>#VALUE!</v>
      </c>
      <c r="F446" s="42" t="e" vm="21">
        <v>#VALUE!</v>
      </c>
      <c r="G446" s="43" t="s">
        <v>1057</v>
      </c>
      <c r="H446" s="42" t="s">
        <v>152</v>
      </c>
      <c r="I446" s="160" t="s">
        <v>43</v>
      </c>
      <c r="J446" s="55" t="s">
        <v>153</v>
      </c>
      <c r="K446" s="42" t="s">
        <v>154</v>
      </c>
      <c r="L446" s="56">
        <v>46101.568055555559</v>
      </c>
      <c r="M446" s="55" t="s">
        <v>39</v>
      </c>
      <c r="N446" s="55" t="s">
        <v>39</v>
      </c>
      <c r="O446" s="56">
        <v>46101.673611111109</v>
      </c>
      <c r="P446" s="56">
        <v>46101.6875</v>
      </c>
      <c r="Q446" s="56">
        <v>46101.722222222219</v>
      </c>
      <c r="R446" s="42"/>
      <c r="S446" s="164" t="s">
        <v>1956</v>
      </c>
      <c r="T446" s="55" t="s">
        <v>164</v>
      </c>
      <c r="U446" s="42"/>
      <c r="V446" s="53" t="s">
        <v>1957</v>
      </c>
      <c r="W446" s="42"/>
      <c r="X446" s="42"/>
      <c r="Y446" s="42" t="s">
        <v>158</v>
      </c>
      <c r="Z446" s="42" t="s">
        <v>70</v>
      </c>
      <c r="AA446" s="42"/>
      <c r="AB446" s="42"/>
      <c r="AC446" s="42"/>
      <c r="AD446" s="42"/>
      <c r="AE446" s="54"/>
    </row>
    <row r="447" spans="1:31" ht="15" customHeight="1">
      <c r="A447" s="60">
        <f>ROW() - ROW(Table1[[#Headers],[s]])</f>
        <v>446</v>
      </c>
      <c r="B447" s="42" t="s">
        <v>1417</v>
      </c>
      <c r="C447" s="51" t="s">
        <v>60</v>
      </c>
      <c r="D447" s="52" t="s">
        <v>1958</v>
      </c>
      <c r="E447" s="42" t="e" vm="99">
        <v>#VALUE!</v>
      </c>
      <c r="F447" s="42" t="e" vm="35">
        <v>#VALUE!</v>
      </c>
      <c r="G447" s="43" t="s">
        <v>186</v>
      </c>
      <c r="H447" s="42" t="s">
        <v>152</v>
      </c>
      <c r="I447" s="160" t="s">
        <v>1902</v>
      </c>
      <c r="J447" s="55" t="s">
        <v>153</v>
      </c>
      <c r="K447" s="42" t="s">
        <v>154</v>
      </c>
      <c r="L447" s="44">
        <v>46101.602777777778</v>
      </c>
      <c r="M447" s="55" t="s">
        <v>920</v>
      </c>
      <c r="N447" s="55" t="s">
        <v>920</v>
      </c>
      <c r="O447" s="56">
        <v>46101.652777777781</v>
      </c>
      <c r="P447" s="57">
        <v>46101.652777777781</v>
      </c>
      <c r="Q447" s="132">
        <v>46101.736111111109</v>
      </c>
      <c r="R447" s="42"/>
      <c r="S447" s="53" t="s">
        <v>1959</v>
      </c>
      <c r="T447" s="55" t="s">
        <v>164</v>
      </c>
      <c r="U447" s="42"/>
      <c r="V447" s="164" t="s">
        <v>1960</v>
      </c>
      <c r="W447" s="42"/>
      <c r="X447" s="42"/>
      <c r="Y447" s="42" t="s">
        <v>158</v>
      </c>
      <c r="Z447" s="42" t="s">
        <v>70</v>
      </c>
      <c r="AA447" s="42" t="s">
        <v>1961</v>
      </c>
      <c r="AB447" s="42"/>
      <c r="AC447" s="42" t="s">
        <v>1962</v>
      </c>
      <c r="AD447" s="42"/>
      <c r="AE447" s="54"/>
    </row>
    <row r="448" spans="1:31" ht="15" hidden="1" customHeight="1">
      <c r="A448" s="60">
        <f>ROW() - ROW(Table1[[#Headers],[s]])</f>
        <v>447</v>
      </c>
      <c r="B448" s="42" t="s">
        <v>1963</v>
      </c>
      <c r="C448" s="51">
        <v>46082</v>
      </c>
      <c r="D448" s="52" t="s">
        <v>1964</v>
      </c>
      <c r="E448" s="42" t="e" vm="182">
        <v>#VALUE!</v>
      </c>
      <c r="F448" s="42" t="e" vm="21">
        <v>#VALUE!</v>
      </c>
      <c r="G448" s="43" t="s">
        <v>1057</v>
      </c>
      <c r="H448" s="42" t="s">
        <v>152</v>
      </c>
      <c r="I448" s="160" t="s">
        <v>43</v>
      </c>
      <c r="J448" s="55" t="s">
        <v>153</v>
      </c>
      <c r="K448" s="42" t="s">
        <v>154</v>
      </c>
      <c r="L448" s="56">
        <v>46101.375</v>
      </c>
      <c r="M448" s="55" t="s">
        <v>39</v>
      </c>
      <c r="N448" s="55" t="s">
        <v>39</v>
      </c>
      <c r="O448" s="56">
        <v>46101.5</v>
      </c>
      <c r="P448" s="56">
        <v>46101.527777777781</v>
      </c>
      <c r="Q448" s="56">
        <v>46101.545138888891</v>
      </c>
      <c r="R448" s="42"/>
      <c r="S448" s="53" t="s">
        <v>1965</v>
      </c>
      <c r="T448" s="55" t="s">
        <v>1845</v>
      </c>
      <c r="U448" s="42"/>
      <c r="V448" s="302" t="s">
        <v>1966</v>
      </c>
      <c r="W448" s="42"/>
      <c r="X448" s="42"/>
      <c r="Y448" s="42" t="s">
        <v>158</v>
      </c>
      <c r="Z448" s="42" t="s">
        <v>70</v>
      </c>
      <c r="AA448" s="42"/>
      <c r="AB448" s="42"/>
      <c r="AC448" s="42"/>
      <c r="AD448" s="42"/>
      <c r="AE448" s="54"/>
    </row>
    <row r="449" spans="1:48" ht="15.75" customHeight="1">
      <c r="A449" s="60">
        <f>ROW() - ROW(Table1[[#Headers],[s]])</f>
        <v>448</v>
      </c>
      <c r="B449" s="42" t="s">
        <v>1967</v>
      </c>
      <c r="C449" s="51">
        <v>46082</v>
      </c>
      <c r="D449" s="73" t="s">
        <v>1968</v>
      </c>
      <c r="E449" s="42" t="e" vm="58">
        <v>#VALUE!</v>
      </c>
      <c r="F449" s="42" t="e" vm="25">
        <v>#VALUE!</v>
      </c>
      <c r="G449" s="43" t="s">
        <v>186</v>
      </c>
      <c r="H449" s="42" t="s">
        <v>245</v>
      </c>
      <c r="I449" s="160" t="s">
        <v>43</v>
      </c>
      <c r="J449" s="55" t="s">
        <v>287</v>
      </c>
      <c r="K449" s="42" t="s">
        <v>154</v>
      </c>
      <c r="L449" s="44">
        <v>46101.645833333336</v>
      </c>
      <c r="M449" s="55" t="s">
        <v>72</v>
      </c>
      <c r="N449" s="55" t="s">
        <v>72</v>
      </c>
      <c r="O449" s="56">
        <v>46101.666666666664</v>
      </c>
      <c r="P449" s="57">
        <v>46101.673611111109</v>
      </c>
      <c r="Q449" s="56">
        <v>46101.7</v>
      </c>
      <c r="R449" s="42"/>
      <c r="S449" s="224" t="s">
        <v>1969</v>
      </c>
      <c r="T449" s="55" t="s">
        <v>164</v>
      </c>
      <c r="U449" s="42"/>
      <c r="V449" s="224" t="s">
        <v>1970</v>
      </c>
      <c r="W449" s="42"/>
      <c r="X449" s="42"/>
      <c r="Y449" s="42" t="s">
        <v>158</v>
      </c>
      <c r="Z449" s="42" t="s">
        <v>70</v>
      </c>
      <c r="AA449" s="42"/>
      <c r="AB449" s="42"/>
      <c r="AC449" s="42"/>
      <c r="AD449" s="42"/>
      <c r="AE449" s="54"/>
    </row>
    <row r="450" spans="1:48" ht="15.75" hidden="1" customHeight="1">
      <c r="A450" s="60">
        <f>ROW() - ROW(Table1[[#Headers],[s]])</f>
        <v>449</v>
      </c>
      <c r="B450" s="119" t="s">
        <v>1864</v>
      </c>
      <c r="C450" s="51">
        <v>46082</v>
      </c>
      <c r="D450" s="52" t="s">
        <v>1971</v>
      </c>
      <c r="E450" s="42" t="e" vm="145">
        <v>#VALUE!</v>
      </c>
      <c r="F450" s="42" t="e" vm="16">
        <v>#VALUE!</v>
      </c>
      <c r="G450" s="43" t="s">
        <v>36</v>
      </c>
      <c r="H450" s="42" t="s">
        <v>152</v>
      </c>
      <c r="I450" s="160" t="s">
        <v>43</v>
      </c>
      <c r="J450" s="55" t="s">
        <v>153</v>
      </c>
      <c r="K450" s="42" t="s">
        <v>154</v>
      </c>
      <c r="L450" s="44">
        <v>46101.70416666667</v>
      </c>
      <c r="M450" s="55" t="s">
        <v>58</v>
      </c>
      <c r="N450" s="55" t="s">
        <v>58</v>
      </c>
      <c r="O450" s="43"/>
      <c r="P450" s="42"/>
      <c r="Q450" s="132">
        <v>46104.489583333336</v>
      </c>
      <c r="R450" s="42"/>
      <c r="S450" s="164" t="s">
        <v>1972</v>
      </c>
      <c r="T450" s="55" t="s">
        <v>164</v>
      </c>
      <c r="U450" s="42"/>
      <c r="V450" s="164" t="s">
        <v>1973</v>
      </c>
      <c r="W450" s="42"/>
      <c r="X450" s="42"/>
      <c r="Y450" s="42" t="s">
        <v>158</v>
      </c>
      <c r="Z450" s="42" t="s">
        <v>70</v>
      </c>
      <c r="AA450" s="42"/>
      <c r="AB450" s="42"/>
      <c r="AC450" s="42"/>
      <c r="AD450" s="42"/>
      <c r="AE450" s="54"/>
    </row>
    <row r="451" spans="1:48" ht="15" hidden="1" customHeight="1">
      <c r="A451" s="60">
        <f>ROW() - ROW(Table1[[#Headers],[s]])</f>
        <v>450</v>
      </c>
      <c r="B451" s="52" t="s">
        <v>1974</v>
      </c>
      <c r="C451" s="51">
        <v>46113</v>
      </c>
      <c r="D451" s="52" t="s">
        <v>1974</v>
      </c>
      <c r="E451" s="42" t="e" vm="183">
        <v>#VALUE!</v>
      </c>
      <c r="F451" s="42" t="e" vm="19">
        <v>#VALUE!</v>
      </c>
      <c r="G451" s="43" t="s">
        <v>584</v>
      </c>
      <c r="H451" s="42" t="s">
        <v>152</v>
      </c>
      <c r="I451" s="42" t="s">
        <v>175</v>
      </c>
      <c r="J451" s="55" t="s">
        <v>153</v>
      </c>
      <c r="K451" s="60" t="s">
        <v>154</v>
      </c>
      <c r="L451" s="44">
        <v>46102.59652777778</v>
      </c>
      <c r="M451" s="55" t="s">
        <v>82</v>
      </c>
      <c r="N451" s="55" t="s">
        <v>82</v>
      </c>
      <c r="O451" s="43"/>
      <c r="P451" s="42"/>
      <c r="Q451" s="132"/>
      <c r="R451" s="42"/>
      <c r="S451" s="53" t="s">
        <v>1975</v>
      </c>
      <c r="T451" s="55" t="s">
        <v>164</v>
      </c>
      <c r="U451" s="42"/>
      <c r="V451" s="53"/>
      <c r="W451" s="42"/>
      <c r="X451" s="42"/>
      <c r="Y451" s="42" t="s">
        <v>179</v>
      </c>
      <c r="Z451" s="42" t="s">
        <v>179</v>
      </c>
      <c r="AA451" s="42"/>
      <c r="AB451" s="42"/>
      <c r="AC451" s="42"/>
      <c r="AD451" s="42"/>
      <c r="AE451" s="54"/>
    </row>
    <row r="452" spans="1:48" ht="15" hidden="1" customHeight="1">
      <c r="A452" s="60">
        <f>ROW() - ROW(Table1[[#Headers],[s]])</f>
        <v>451</v>
      </c>
      <c r="B452" s="42" t="s">
        <v>1976</v>
      </c>
      <c r="C452" s="51">
        <v>46082</v>
      </c>
      <c r="D452" s="52" t="s">
        <v>1977</v>
      </c>
      <c r="E452" s="42" t="e" vm="73">
        <v>#VALUE!</v>
      </c>
      <c r="F452" s="42" t="e" vm="49">
        <v>#VALUE!</v>
      </c>
      <c r="G452" s="43" t="s">
        <v>36</v>
      </c>
      <c r="H452" s="42" t="s">
        <v>152</v>
      </c>
      <c r="I452" s="42" t="s">
        <v>43</v>
      </c>
      <c r="J452" s="55" t="s">
        <v>153</v>
      </c>
      <c r="K452" s="42" t="s">
        <v>154</v>
      </c>
      <c r="L452" s="44">
        <v>46102.530555555553</v>
      </c>
      <c r="M452" s="55" t="s">
        <v>1951</v>
      </c>
      <c r="N452" s="399" t="s">
        <v>155</v>
      </c>
      <c r="O452" s="43"/>
      <c r="P452" s="42"/>
      <c r="Q452" s="132">
        <v>46104.520833333336</v>
      </c>
      <c r="R452" s="42"/>
      <c r="S452" s="164" t="s">
        <v>1978</v>
      </c>
      <c r="T452" s="55" t="s">
        <v>164</v>
      </c>
      <c r="U452" s="42"/>
      <c r="V452" s="53" t="s">
        <v>1979</v>
      </c>
      <c r="W452" s="42"/>
      <c r="X452" s="42"/>
      <c r="Y452" s="42" t="s">
        <v>70</v>
      </c>
      <c r="Z452" s="42" t="s">
        <v>70</v>
      </c>
      <c r="AA452" s="42"/>
      <c r="AB452" s="42"/>
      <c r="AC452" s="42"/>
      <c r="AD452" s="42"/>
      <c r="AE452" s="54"/>
    </row>
    <row r="453" spans="1:48" ht="15" hidden="1" customHeight="1">
      <c r="A453" s="60">
        <f>ROW() - ROW(Table1[[#Headers],[s]])</f>
        <v>452</v>
      </c>
      <c r="B453" s="164" t="s">
        <v>1980</v>
      </c>
      <c r="C453" s="51">
        <v>46082</v>
      </c>
      <c r="D453" s="52" t="s">
        <v>1981</v>
      </c>
      <c r="E453" s="42" t="e" vm="184">
        <v>#VALUE!</v>
      </c>
      <c r="F453" s="42" t="e" vm="22">
        <v>#VALUE!</v>
      </c>
      <c r="G453" s="43" t="s">
        <v>584</v>
      </c>
      <c r="H453" s="42" t="s">
        <v>245</v>
      </c>
      <c r="I453" s="42" t="s">
        <v>175</v>
      </c>
      <c r="J453" s="55" t="s">
        <v>253</v>
      </c>
      <c r="K453" s="42" t="s">
        <v>154</v>
      </c>
      <c r="L453" s="44">
        <v>46102.509027777778</v>
      </c>
      <c r="M453" s="55" t="s">
        <v>1843</v>
      </c>
      <c r="N453" s="55" t="s">
        <v>1982</v>
      </c>
      <c r="O453" s="44">
        <v>46102.604166666664</v>
      </c>
      <c r="P453" s="44">
        <v>46102.631944444445</v>
      </c>
      <c r="Q453" s="44">
        <v>46103.740972222222</v>
      </c>
      <c r="R453" s="42"/>
      <c r="S453" s="53" t="s">
        <v>1983</v>
      </c>
      <c r="T453" s="55" t="s">
        <v>1984</v>
      </c>
      <c r="U453" s="42"/>
      <c r="V453" s="53" t="s">
        <v>1985</v>
      </c>
      <c r="W453" s="42"/>
      <c r="X453" s="42"/>
      <c r="Y453" s="42" t="s">
        <v>70</v>
      </c>
      <c r="Z453" s="42" t="s">
        <v>67</v>
      </c>
      <c r="AA453" s="42"/>
      <c r="AB453" s="42"/>
      <c r="AC453" s="42"/>
      <c r="AD453" s="42"/>
      <c r="AE453" s="54"/>
    </row>
    <row r="454" spans="1:48" ht="15" hidden="1" customHeight="1">
      <c r="A454" s="60">
        <f>ROW() - ROW(Table1[[#Headers],[s]])</f>
        <v>453</v>
      </c>
      <c r="B454" s="42" t="s">
        <v>1986</v>
      </c>
      <c r="C454" s="51" t="s">
        <v>60</v>
      </c>
      <c r="D454" s="52" t="s">
        <v>1987</v>
      </c>
      <c r="E454" s="42" t="e" vm="58">
        <v>#VALUE!</v>
      </c>
      <c r="F454" s="42" t="e" vm="25">
        <v>#VALUE!</v>
      </c>
      <c r="G454" s="43" t="s">
        <v>36</v>
      </c>
      <c r="H454" s="42" t="s">
        <v>152</v>
      </c>
      <c r="I454" s="261" t="s">
        <v>60</v>
      </c>
      <c r="J454" s="55" t="s">
        <v>153</v>
      </c>
      <c r="K454" s="42" t="s">
        <v>154</v>
      </c>
      <c r="L454" s="44">
        <v>46104.419444444444</v>
      </c>
      <c r="M454" s="55" t="s">
        <v>72</v>
      </c>
      <c r="N454" s="55" t="s">
        <v>72</v>
      </c>
      <c r="O454" s="43"/>
      <c r="P454" s="42"/>
      <c r="Q454" s="132">
        <v>46104.543055555558</v>
      </c>
      <c r="R454" s="42"/>
      <c r="S454" s="53" t="s">
        <v>1988</v>
      </c>
      <c r="T454" s="55" t="s">
        <v>266</v>
      </c>
      <c r="U454" s="42"/>
      <c r="V454" s="164" t="s">
        <v>1988</v>
      </c>
      <c r="W454" s="42"/>
      <c r="X454" s="42"/>
      <c r="Y454" s="42" t="s">
        <v>179</v>
      </c>
      <c r="Z454" s="42" t="s">
        <v>179</v>
      </c>
      <c r="AA454" s="42"/>
      <c r="AB454" s="42"/>
      <c r="AC454" s="42"/>
      <c r="AD454" s="42"/>
      <c r="AE454" s="54"/>
    </row>
    <row r="455" spans="1:48" ht="15" hidden="1" customHeight="1">
      <c r="A455" s="60">
        <f>ROW() - ROW(Table1[[#Headers],[s]])</f>
        <v>454</v>
      </c>
      <c r="B455" s="42" t="s">
        <v>1501</v>
      </c>
      <c r="C455" s="51">
        <v>46082</v>
      </c>
      <c r="D455" s="52" t="s">
        <v>1989</v>
      </c>
      <c r="E455" s="42" t="e" vm="58">
        <v>#VALUE!</v>
      </c>
      <c r="F455" s="42" t="e" vm="25">
        <v>#VALUE!</v>
      </c>
      <c r="G455" s="43" t="s">
        <v>36</v>
      </c>
      <c r="H455" s="42" t="s">
        <v>747</v>
      </c>
      <c r="I455" s="42" t="s">
        <v>43</v>
      </c>
      <c r="J455" s="55" t="s">
        <v>253</v>
      </c>
      <c r="K455" s="42" t="s">
        <v>154</v>
      </c>
      <c r="L455" s="44">
        <v>46104.433333333334</v>
      </c>
      <c r="M455" s="55" t="s">
        <v>72</v>
      </c>
      <c r="N455" s="55" t="s">
        <v>72</v>
      </c>
      <c r="O455" s="43"/>
      <c r="P455" s="42"/>
      <c r="Q455" s="132">
        <v>46104.553472222222</v>
      </c>
      <c r="R455" s="42"/>
      <c r="S455" s="53" t="s">
        <v>1990</v>
      </c>
      <c r="T455" s="55" t="s">
        <v>266</v>
      </c>
      <c r="U455" s="42"/>
      <c r="V455" s="53" t="s">
        <v>1991</v>
      </c>
      <c r="W455" s="42"/>
      <c r="X455" s="42"/>
      <c r="Y455" s="42" t="s">
        <v>158</v>
      </c>
      <c r="Z455" s="42" t="s">
        <v>70</v>
      </c>
      <c r="AA455" s="42"/>
      <c r="AB455" s="42"/>
      <c r="AC455" s="42"/>
      <c r="AD455" s="42"/>
      <c r="AE455" s="54"/>
    </row>
    <row r="456" spans="1:48" ht="15" hidden="1" customHeight="1">
      <c r="A456" s="60">
        <f>ROW() - ROW(Table1[[#Headers],[s]])</f>
        <v>455</v>
      </c>
      <c r="B456" s="164" t="s">
        <v>1992</v>
      </c>
      <c r="C456" s="51">
        <v>46082</v>
      </c>
      <c r="D456" s="52" t="s">
        <v>1993</v>
      </c>
      <c r="E456" s="42" t="e" vm="85">
        <v>#VALUE!</v>
      </c>
      <c r="F456" s="42" t="e" vm="5">
        <v>#VALUE!</v>
      </c>
      <c r="G456" s="43" t="s">
        <v>36</v>
      </c>
      <c r="H456" s="42" t="s">
        <v>152</v>
      </c>
      <c r="I456" s="42" t="s">
        <v>43</v>
      </c>
      <c r="J456" s="55" t="s">
        <v>153</v>
      </c>
      <c r="K456" s="42" t="s">
        <v>154</v>
      </c>
      <c r="L456" s="44">
        <v>46104.496527777781</v>
      </c>
      <c r="M456" s="55" t="s">
        <v>55</v>
      </c>
      <c r="N456" s="55" t="s">
        <v>55</v>
      </c>
      <c r="O456" s="56"/>
      <c r="P456" s="57"/>
      <c r="Q456" s="132">
        <v>46104.770833333336</v>
      </c>
      <c r="R456" s="42"/>
      <c r="S456" s="53" t="s">
        <v>1994</v>
      </c>
      <c r="T456" s="55" t="s">
        <v>164</v>
      </c>
      <c r="U456" s="42"/>
      <c r="V456" s="53" t="s">
        <v>1585</v>
      </c>
      <c r="W456" s="42"/>
      <c r="X456" s="42"/>
      <c r="Y456" s="42" t="s">
        <v>158</v>
      </c>
      <c r="Z456" s="158" t="s">
        <v>67</v>
      </c>
      <c r="AA456" s="42"/>
      <c r="AB456" s="42"/>
      <c r="AC456" s="42"/>
      <c r="AD456" s="42"/>
      <c r="AE456" s="54"/>
    </row>
    <row r="457" spans="1:48" ht="15" hidden="1" customHeight="1">
      <c r="A457" s="60">
        <f>ROW() - ROW(Table1[[#Headers],[s]])</f>
        <v>456</v>
      </c>
      <c r="B457" s="42" t="s">
        <v>1995</v>
      </c>
      <c r="C457" s="51">
        <v>46082</v>
      </c>
      <c r="D457" s="52" t="s">
        <v>1996</v>
      </c>
      <c r="E457" s="42" t="e" vm="185">
        <v>#VALUE!</v>
      </c>
      <c r="F457" s="42" t="e" vm="5">
        <v>#VALUE!</v>
      </c>
      <c r="G457" s="43" t="s">
        <v>36</v>
      </c>
      <c r="H457" s="42" t="s">
        <v>152</v>
      </c>
      <c r="I457" s="42" t="s">
        <v>43</v>
      </c>
      <c r="J457" s="55" t="s">
        <v>153</v>
      </c>
      <c r="K457" s="42" t="s">
        <v>154</v>
      </c>
      <c r="L457" s="44">
        <v>46104.604166666664</v>
      </c>
      <c r="M457" s="55" t="s">
        <v>1997</v>
      </c>
      <c r="N457" s="55" t="s">
        <v>1997</v>
      </c>
      <c r="O457" s="56"/>
      <c r="P457" s="57"/>
      <c r="Q457" s="132">
        <v>46104.8125</v>
      </c>
      <c r="R457" s="42"/>
      <c r="S457" s="380" t="s">
        <v>1998</v>
      </c>
      <c r="T457" s="55" t="s">
        <v>164</v>
      </c>
      <c r="U457" s="42"/>
      <c r="V457" s="53" t="s">
        <v>1999</v>
      </c>
      <c r="W457" s="42"/>
      <c r="X457" s="42"/>
      <c r="Y457" s="42" t="s">
        <v>158</v>
      </c>
      <c r="Z457" s="42" t="s">
        <v>70</v>
      </c>
      <c r="AA457" s="42"/>
      <c r="AB457" s="42"/>
      <c r="AC457" s="42"/>
      <c r="AD457" s="42"/>
      <c r="AE457" s="54"/>
    </row>
    <row r="458" spans="1:48" ht="15" hidden="1" customHeight="1">
      <c r="A458" s="60">
        <f>ROW() - ROW(Table1[[#Headers],[s]])</f>
        <v>457</v>
      </c>
      <c r="B458" s="42" t="s">
        <v>2000</v>
      </c>
      <c r="C458" s="51">
        <v>46082</v>
      </c>
      <c r="D458" s="52" t="s">
        <v>2001</v>
      </c>
      <c r="E458" s="42" t="e" vm="186">
        <v>#VALUE!</v>
      </c>
      <c r="F458" s="42" t="e" vm="12">
        <v>#VALUE!</v>
      </c>
      <c r="G458" s="43" t="s">
        <v>36</v>
      </c>
      <c r="H458" s="42" t="s">
        <v>245</v>
      </c>
      <c r="I458" s="42" t="s">
        <v>43</v>
      </c>
      <c r="J458" s="55" t="s">
        <v>280</v>
      </c>
      <c r="K458" s="42" t="s">
        <v>154</v>
      </c>
      <c r="L458" s="44">
        <v>46104.618055555555</v>
      </c>
      <c r="M458" s="55" t="s">
        <v>72</v>
      </c>
      <c r="N458" s="55" t="s">
        <v>72</v>
      </c>
      <c r="O458" s="43"/>
      <c r="P458" s="42"/>
      <c r="Q458" s="132">
        <v>46104.706250000003</v>
      </c>
      <c r="R458" s="42"/>
      <c r="S458" s="53" t="s">
        <v>2002</v>
      </c>
      <c r="T458" s="55" t="s">
        <v>164</v>
      </c>
      <c r="U458" s="42"/>
      <c r="V458" s="290" t="s">
        <v>2003</v>
      </c>
      <c r="W458" s="42"/>
      <c r="X458" s="42"/>
      <c r="Y458" s="42" t="s">
        <v>158</v>
      </c>
      <c r="Z458" s="42" t="s">
        <v>70</v>
      </c>
      <c r="AA458" s="42"/>
      <c r="AB458" s="42"/>
      <c r="AC458" s="42"/>
      <c r="AD458" s="42"/>
      <c r="AE458" s="54"/>
    </row>
    <row r="459" spans="1:48" ht="15" hidden="1" customHeight="1">
      <c r="A459" s="60">
        <f>ROW() - ROW(Table1[[#Headers],[s]])</f>
        <v>458</v>
      </c>
      <c r="B459" s="42" t="s">
        <v>2004</v>
      </c>
      <c r="C459" s="51">
        <v>46082</v>
      </c>
      <c r="D459" s="52" t="s">
        <v>2005</v>
      </c>
      <c r="E459" s="42" t="e" vm="187">
        <v>#VALUE!</v>
      </c>
      <c r="F459" s="42" t="e" vm="16">
        <v>#VALUE!</v>
      </c>
      <c r="G459" s="43" t="s">
        <v>36</v>
      </c>
      <c r="H459" s="42" t="s">
        <v>152</v>
      </c>
      <c r="I459" s="42" t="s">
        <v>43</v>
      </c>
      <c r="J459" s="55" t="s">
        <v>153</v>
      </c>
      <c r="K459" s="42" t="s">
        <v>154</v>
      </c>
      <c r="L459" s="44">
        <v>46104.7</v>
      </c>
      <c r="M459" s="55" t="s">
        <v>1937</v>
      </c>
      <c r="N459" s="55" t="s">
        <v>1937</v>
      </c>
      <c r="O459" s="56"/>
      <c r="P459" s="57"/>
      <c r="Q459" s="132">
        <v>46104.916666666664</v>
      </c>
      <c r="R459" s="42"/>
      <c r="S459" s="53" t="s">
        <v>2006</v>
      </c>
      <c r="T459" s="55" t="s">
        <v>164</v>
      </c>
      <c r="U459" s="42"/>
      <c r="V459" s="53" t="s">
        <v>2007</v>
      </c>
      <c r="W459" s="42"/>
      <c r="X459" s="42"/>
      <c r="Y459" s="42" t="s">
        <v>158</v>
      </c>
      <c r="Z459" s="42" t="s">
        <v>70</v>
      </c>
      <c r="AA459" s="42"/>
      <c r="AB459" s="42"/>
      <c r="AC459" s="42"/>
      <c r="AD459" s="42"/>
      <c r="AE459" s="54"/>
    </row>
    <row r="460" spans="1:48" ht="15" hidden="1" customHeight="1">
      <c r="A460" s="60">
        <f>ROW() - ROW(Table1[[#Headers],[s]])</f>
        <v>459</v>
      </c>
      <c r="B460" s="164" t="s">
        <v>2008</v>
      </c>
      <c r="C460" s="51">
        <v>46082</v>
      </c>
      <c r="D460" s="52" t="s">
        <v>2009</v>
      </c>
      <c r="E460" s="42" t="e" vm="44">
        <v>#VALUE!</v>
      </c>
      <c r="F460" s="42" t="e" vm="7">
        <v>#VALUE!</v>
      </c>
      <c r="G460" s="43" t="s">
        <v>584</v>
      </c>
      <c r="H460" s="42" t="s">
        <v>152</v>
      </c>
      <c r="I460" s="42" t="s">
        <v>175</v>
      </c>
      <c r="J460" s="55" t="s">
        <v>153</v>
      </c>
      <c r="K460" s="42" t="s">
        <v>154</v>
      </c>
      <c r="L460" s="44">
        <v>46105.078472222223</v>
      </c>
      <c r="M460" s="55" t="s">
        <v>68</v>
      </c>
      <c r="N460" s="55" t="s">
        <v>68</v>
      </c>
      <c r="O460" s="44">
        <v>46105.260416666664</v>
      </c>
      <c r="P460" s="44">
        <v>46105.333333333336</v>
      </c>
      <c r="Q460" s="44">
        <v>46105.541666666664</v>
      </c>
      <c r="R460" s="42"/>
      <c r="S460" s="53" t="s">
        <v>2010</v>
      </c>
      <c r="T460" s="55" t="s">
        <v>266</v>
      </c>
      <c r="U460" s="42"/>
      <c r="V460" s="53" t="s">
        <v>2011</v>
      </c>
      <c r="W460" s="42"/>
      <c r="X460" s="42"/>
      <c r="Y460" s="42" t="s">
        <v>158</v>
      </c>
      <c r="Z460" s="42" t="s">
        <v>67</v>
      </c>
      <c r="AA460" s="42"/>
      <c r="AB460" s="42"/>
      <c r="AC460" s="42"/>
      <c r="AE460" s="54"/>
    </row>
    <row r="461" spans="1:48" s="36" customFormat="1" ht="15" customHeight="1">
      <c r="A461" s="60">
        <f>ROW() - ROW(Table1[[#Headers],[s]])</f>
        <v>460</v>
      </c>
      <c r="B461" t="s">
        <v>2012</v>
      </c>
      <c r="C461" s="272" t="s">
        <v>60</v>
      </c>
      <c r="D461" s="19" t="s">
        <v>2013</v>
      </c>
      <c r="E461" s="19" t="e" vm="94">
        <v>#VALUE!</v>
      </c>
      <c r="F461" t="e" vm="17">
        <v>#VALUE!</v>
      </c>
      <c r="G461" s="5" t="s">
        <v>83</v>
      </c>
      <c r="H461" t="s">
        <v>152</v>
      </c>
      <c r="I461" s="5" t="s">
        <v>2014</v>
      </c>
      <c r="J461" s="18" t="s">
        <v>153</v>
      </c>
      <c r="K461" t="s">
        <v>2015</v>
      </c>
      <c r="L461" s="20">
        <v>46105.508333333331</v>
      </c>
      <c r="M461" s="67" t="s">
        <v>155</v>
      </c>
      <c r="N461" s="67" t="s">
        <v>155</v>
      </c>
      <c r="O461" s="3"/>
      <c r="P461" s="5"/>
      <c r="Q461" s="22"/>
      <c r="R461" s="22"/>
      <c r="S461" s="21" t="s">
        <v>2016</v>
      </c>
      <c r="T461" s="18" t="s">
        <v>2017</v>
      </c>
      <c r="U461" s="18"/>
      <c r="V461" s="21" t="s">
        <v>2018</v>
      </c>
      <c r="W461" s="21"/>
      <c r="X461"/>
      <c r="Y461" t="s">
        <v>179</v>
      </c>
      <c r="Z461" t="s">
        <v>179</v>
      </c>
      <c r="AA461"/>
      <c r="AB461"/>
      <c r="AC461"/>
      <c r="AD461"/>
      <c r="AE461"/>
      <c r="AF461" s="60"/>
      <c r="AG461"/>
      <c r="AH461" s="23"/>
      <c r="AI461" s="19"/>
      <c r="AJ461" s="19"/>
      <c r="AK461"/>
      <c r="AL461" s="5"/>
      <c r="AM461" s="5"/>
      <c r="AN461"/>
      <c r="AO461" s="18"/>
      <c r="AP461"/>
      <c r="AQ461" s="20"/>
      <c r="AR461" s="67"/>
      <c r="AS461" s="67"/>
      <c r="AT461" s="3"/>
      <c r="AU461" s="5"/>
      <c r="AV461" s="22"/>
    </row>
    <row r="462" spans="1:48" ht="15" hidden="1" customHeight="1">
      <c r="A462" s="60">
        <f>ROW() - ROW(Table1[[#Headers],[s]])</f>
        <v>461</v>
      </c>
      <c r="B462" s="181" t="s">
        <v>2019</v>
      </c>
      <c r="C462" s="51">
        <v>46082</v>
      </c>
      <c r="D462" s="52" t="s">
        <v>2020</v>
      </c>
      <c r="E462" s="42" t="e" vm="147">
        <v>#VALUE!</v>
      </c>
      <c r="F462" s="42" t="e" vm="16">
        <v>#VALUE!</v>
      </c>
      <c r="G462" s="43" t="s">
        <v>42</v>
      </c>
      <c r="H462" s="42" t="s">
        <v>152</v>
      </c>
      <c r="I462" s="160" t="s">
        <v>43</v>
      </c>
      <c r="J462" s="55" t="s">
        <v>153</v>
      </c>
      <c r="K462" s="42" t="s">
        <v>154</v>
      </c>
      <c r="L462" s="44">
        <v>46105.640277777777</v>
      </c>
      <c r="M462" s="55" t="s">
        <v>58</v>
      </c>
      <c r="N462" s="55" t="s">
        <v>58</v>
      </c>
      <c r="O462" s="56"/>
      <c r="P462" s="57"/>
      <c r="Q462" s="132">
        <v>46106.666666666664</v>
      </c>
      <c r="R462" s="42"/>
      <c r="S462" s="53" t="s">
        <v>2021</v>
      </c>
      <c r="T462" s="55" t="s">
        <v>2022</v>
      </c>
      <c r="U462" s="42"/>
      <c r="V462" s="53" t="s">
        <v>2023</v>
      </c>
      <c r="W462" s="42"/>
      <c r="X462" s="42"/>
      <c r="Y462" s="42" t="s">
        <v>70</v>
      </c>
      <c r="Z462" s="158" t="s">
        <v>67</v>
      </c>
      <c r="AA462" s="42"/>
      <c r="AB462" s="42"/>
      <c r="AC462" s="42"/>
      <c r="AD462" s="42"/>
      <c r="AE462" s="54"/>
    </row>
    <row r="463" spans="1:48" ht="15" hidden="1" customHeight="1">
      <c r="A463" s="60">
        <f>ROW() - ROW(Table1[[#Headers],[s]])</f>
        <v>462</v>
      </c>
      <c r="B463" s="42" t="s">
        <v>2024</v>
      </c>
      <c r="C463" s="51">
        <v>46082</v>
      </c>
      <c r="D463" s="52" t="s">
        <v>2025</v>
      </c>
      <c r="E463" s="42" t="e" vm="188">
        <v>#VALUE!</v>
      </c>
      <c r="F463" s="42" t="e" vm="25">
        <v>#VALUE!</v>
      </c>
      <c r="G463" s="43" t="s">
        <v>584</v>
      </c>
      <c r="H463" s="42" t="s">
        <v>152</v>
      </c>
      <c r="I463" s="160"/>
      <c r="J463" s="55" t="s">
        <v>153</v>
      </c>
      <c r="K463" s="42" t="s">
        <v>154</v>
      </c>
      <c r="L463" s="44">
        <v>46105.70416666667</v>
      </c>
      <c r="M463" s="55" t="s">
        <v>72</v>
      </c>
      <c r="N463" s="55" t="s">
        <v>72</v>
      </c>
      <c r="O463" s="44">
        <v>46105.732638888891</v>
      </c>
      <c r="P463" s="44">
        <v>46105.75</v>
      </c>
      <c r="Q463" s="44">
        <v>46105.798611111109</v>
      </c>
      <c r="R463" s="42"/>
      <c r="S463" s="53" t="s">
        <v>2026</v>
      </c>
      <c r="T463" s="55" t="s">
        <v>164</v>
      </c>
      <c r="U463" s="42"/>
      <c r="V463" s="53" t="s">
        <v>2027</v>
      </c>
      <c r="W463" s="42"/>
      <c r="X463" s="42"/>
      <c r="Y463" s="42" t="s">
        <v>158</v>
      </c>
      <c r="Z463" s="42" t="s">
        <v>70</v>
      </c>
      <c r="AA463" s="42"/>
      <c r="AB463" s="42"/>
      <c r="AC463" s="42"/>
      <c r="AD463" s="42"/>
      <c r="AE463" s="54"/>
    </row>
    <row r="464" spans="1:48" ht="15.75" hidden="1" customHeight="1">
      <c r="A464" s="60">
        <f>ROW() - ROW(Table1[[#Headers],[s]])</f>
        <v>463</v>
      </c>
      <c r="B464" s="74" t="s">
        <v>2028</v>
      </c>
      <c r="C464" s="51" t="s">
        <v>60</v>
      </c>
      <c r="D464" s="52" t="s">
        <v>2029</v>
      </c>
      <c r="E464" s="42" t="e" vm="147">
        <v>#VALUE!</v>
      </c>
      <c r="F464" s="42" t="e" vm="16">
        <v>#VALUE!</v>
      </c>
      <c r="G464" s="43" t="s">
        <v>42</v>
      </c>
      <c r="H464" s="42" t="s">
        <v>152</v>
      </c>
      <c r="I464" s="51" t="s">
        <v>60</v>
      </c>
      <c r="J464" s="55" t="s">
        <v>153</v>
      </c>
      <c r="K464" s="42" t="s">
        <v>154</v>
      </c>
      <c r="L464" s="44">
        <v>46105.67083333333</v>
      </c>
      <c r="M464" s="55" t="s">
        <v>58</v>
      </c>
      <c r="N464" s="55" t="s">
        <v>58</v>
      </c>
      <c r="O464" s="44"/>
      <c r="P464" s="44"/>
      <c r="Q464" s="58"/>
      <c r="R464" s="42"/>
      <c r="S464" s="53" t="s">
        <v>2030</v>
      </c>
      <c r="T464" s="55" t="s">
        <v>179</v>
      </c>
      <c r="U464" s="42"/>
      <c r="V464" s="53" t="s">
        <v>2030</v>
      </c>
      <c r="W464" s="42"/>
      <c r="X464" s="42"/>
      <c r="Y464" s="42" t="s">
        <v>179</v>
      </c>
      <c r="Z464" s="42" t="s">
        <v>179</v>
      </c>
      <c r="AA464" s="42"/>
      <c r="AB464" s="42"/>
      <c r="AC464" s="42"/>
      <c r="AD464" s="42"/>
      <c r="AE464" s="54"/>
    </row>
    <row r="465" spans="1:31" ht="15.75" hidden="1" customHeight="1">
      <c r="A465" s="60">
        <f>ROW() - ROW(Table1[[#Headers],[s]])</f>
        <v>464</v>
      </c>
      <c r="B465" s="42" t="s">
        <v>2031</v>
      </c>
      <c r="C465" s="51">
        <v>46082</v>
      </c>
      <c r="D465" s="52" t="s">
        <v>2032</v>
      </c>
      <c r="E465" s="42" t="s">
        <v>898</v>
      </c>
      <c r="F465" s="42" t="e" vm="16">
        <v>#VALUE!</v>
      </c>
      <c r="G465" s="43" t="s">
        <v>584</v>
      </c>
      <c r="H465" s="42" t="s">
        <v>245</v>
      </c>
      <c r="I465" s="160"/>
      <c r="J465" s="55" t="s">
        <v>253</v>
      </c>
      <c r="K465" s="42" t="s">
        <v>154</v>
      </c>
      <c r="L465" s="44">
        <v>46105.645833333336</v>
      </c>
      <c r="M465" s="55" t="s">
        <v>58</v>
      </c>
      <c r="N465" s="55" t="s">
        <v>58</v>
      </c>
      <c r="O465" s="44">
        <v>46105.673611111109</v>
      </c>
      <c r="P465" s="44">
        <v>46105.680555555555</v>
      </c>
      <c r="Q465" s="132">
        <v>46105.756249999999</v>
      </c>
      <c r="R465" s="42"/>
      <c r="S465" s="381" t="s">
        <v>2033</v>
      </c>
      <c r="T465" s="55" t="s">
        <v>738</v>
      </c>
      <c r="U465" s="42"/>
      <c r="V465" s="53" t="s">
        <v>2034</v>
      </c>
      <c r="W465" s="42"/>
      <c r="X465" s="42"/>
      <c r="Y465" s="42" t="s">
        <v>158</v>
      </c>
      <c r="Z465" s="42" t="s">
        <v>70</v>
      </c>
      <c r="AA465" s="42"/>
      <c r="AB465" s="42"/>
      <c r="AC465" s="42"/>
      <c r="AD465" s="42"/>
      <c r="AE465" s="54"/>
    </row>
    <row r="466" spans="1:31" ht="15" hidden="1" customHeight="1">
      <c r="A466" s="60">
        <f>ROW() - ROW(Table1[[#Headers],[s]])</f>
        <v>465</v>
      </c>
      <c r="B466" s="42" t="s">
        <v>2035</v>
      </c>
      <c r="C466" s="51">
        <v>46082</v>
      </c>
      <c r="D466" s="182" t="s">
        <v>2036</v>
      </c>
      <c r="E466" s="42" t="e" vm="110">
        <v>#VALUE!</v>
      </c>
      <c r="F466" s="42" t="e" vm="49">
        <v>#VALUE!</v>
      </c>
      <c r="G466" s="43" t="s">
        <v>36</v>
      </c>
      <c r="H466" s="42" t="s">
        <v>152</v>
      </c>
      <c r="I466" s="42" t="s">
        <v>43</v>
      </c>
      <c r="J466" s="55" t="s">
        <v>153</v>
      </c>
      <c r="K466" s="42" t="s">
        <v>154</v>
      </c>
      <c r="L466" s="44">
        <v>46106.371527777781</v>
      </c>
      <c r="M466" s="329" t="s">
        <v>227</v>
      </c>
      <c r="N466" s="55" t="s">
        <v>1255</v>
      </c>
      <c r="O466" s="44">
        <v>46106.447916666664</v>
      </c>
      <c r="P466" s="58">
        <v>46106.458333333336</v>
      </c>
      <c r="Q466" s="58">
        <v>46106.5</v>
      </c>
      <c r="R466" s="42"/>
      <c r="S466" s="53" t="s">
        <v>2037</v>
      </c>
      <c r="T466" s="55" t="s">
        <v>179</v>
      </c>
      <c r="U466" s="42"/>
      <c r="V466" s="53" t="s">
        <v>2037</v>
      </c>
      <c r="W466" s="42"/>
      <c r="X466" s="42"/>
      <c r="Y466" s="42" t="s">
        <v>158</v>
      </c>
      <c r="Z466" s="280" t="s">
        <v>70</v>
      </c>
      <c r="AA466" s="42"/>
      <c r="AB466" s="42"/>
      <c r="AC466" s="42"/>
      <c r="AD466" s="42"/>
      <c r="AE466" s="54"/>
    </row>
    <row r="467" spans="1:31" ht="15" hidden="1" customHeight="1">
      <c r="A467" s="60">
        <f>ROW() - ROW(Table1[[#Headers],[s]])</f>
        <v>466</v>
      </c>
      <c r="B467" s="131" t="s">
        <v>2038</v>
      </c>
      <c r="C467" s="51">
        <v>46082</v>
      </c>
      <c r="D467" s="136" t="s">
        <v>2039</v>
      </c>
      <c r="E467" s="42" t="e" vm="153">
        <v>#VALUE!</v>
      </c>
      <c r="F467" s="42" t="e" vm="23">
        <v>#VALUE!</v>
      </c>
      <c r="G467" s="43" t="s">
        <v>42</v>
      </c>
      <c r="H467" s="42" t="s">
        <v>245</v>
      </c>
      <c r="I467" s="42" t="s">
        <v>43</v>
      </c>
      <c r="J467" s="55" t="s">
        <v>153</v>
      </c>
      <c r="K467" s="42" t="s">
        <v>154</v>
      </c>
      <c r="L467" s="44">
        <v>46106.400694444441</v>
      </c>
      <c r="M467" s="55" t="s">
        <v>58</v>
      </c>
      <c r="N467" s="55"/>
      <c r="O467" s="56"/>
      <c r="P467" s="57"/>
      <c r="Q467" s="44">
        <v>46106.489583333336</v>
      </c>
      <c r="R467" s="42"/>
      <c r="S467" s="53" t="s">
        <v>2040</v>
      </c>
      <c r="T467" s="55" t="s">
        <v>179</v>
      </c>
      <c r="U467" s="42"/>
      <c r="V467" s="53"/>
      <c r="W467" s="42"/>
      <c r="X467" s="42"/>
      <c r="Y467" s="42" t="s">
        <v>179</v>
      </c>
      <c r="Z467" s="42" t="s">
        <v>179</v>
      </c>
      <c r="AA467" s="42"/>
      <c r="AB467" s="42"/>
      <c r="AC467" s="42"/>
      <c r="AD467" s="42"/>
      <c r="AE467" s="54"/>
    </row>
    <row r="468" spans="1:31" ht="15.75" customHeight="1">
      <c r="A468" s="60">
        <f>ROW() - ROW(Table1[[#Headers],[s]])</f>
        <v>467</v>
      </c>
      <c r="B468" s="42" t="s">
        <v>2041</v>
      </c>
      <c r="C468" s="51">
        <v>46082</v>
      </c>
      <c r="D468" s="370" t="s">
        <v>2042</v>
      </c>
      <c r="E468" s="42" t="e" vm="9">
        <v>#VALUE!</v>
      </c>
      <c r="F468" s="42" t="e" vm="10">
        <v>#VALUE!</v>
      </c>
      <c r="G468" s="43" t="s">
        <v>186</v>
      </c>
      <c r="H468" s="42" t="s">
        <v>152</v>
      </c>
      <c r="I468" s="160" t="s">
        <v>43</v>
      </c>
      <c r="J468" s="55" t="s">
        <v>153</v>
      </c>
      <c r="K468" s="42" t="s">
        <v>154</v>
      </c>
      <c r="L468" s="44">
        <v>46106.415972222225</v>
      </c>
      <c r="M468" s="55" t="s">
        <v>2043</v>
      </c>
      <c r="N468" s="55" t="s">
        <v>78</v>
      </c>
      <c r="O468" s="56">
        <v>46106.833333333336</v>
      </c>
      <c r="P468" s="57">
        <v>46106.840277777781</v>
      </c>
      <c r="Q468" s="132">
        <v>46106.948611111111</v>
      </c>
      <c r="R468" s="42"/>
      <c r="S468" s="53" t="s">
        <v>801</v>
      </c>
      <c r="T468" s="55" t="s">
        <v>164</v>
      </c>
      <c r="U468" s="42"/>
      <c r="V468" s="53" t="s">
        <v>581</v>
      </c>
      <c r="W468" s="42"/>
      <c r="X468" s="42"/>
      <c r="Y468" s="42" t="s">
        <v>158</v>
      </c>
      <c r="Z468" s="42" t="s">
        <v>70</v>
      </c>
      <c r="AA468" s="42"/>
      <c r="AB468" s="42"/>
      <c r="AC468" s="42"/>
      <c r="AD468" s="42"/>
      <c r="AE468" s="54"/>
    </row>
    <row r="469" spans="1:31" ht="15" customHeight="1">
      <c r="A469" s="60">
        <f>ROW() - ROW(Table1[[#Headers],[s]])</f>
        <v>468</v>
      </c>
      <c r="B469" s="42" t="s">
        <v>2044</v>
      </c>
      <c r="C469" s="51">
        <v>46082</v>
      </c>
      <c r="D469" s="42" t="s">
        <v>2045</v>
      </c>
      <c r="E469" s="42" t="e" vm="189">
        <v>#VALUE!</v>
      </c>
      <c r="F469" s="42" t="e" vm="23">
        <v>#VALUE!</v>
      </c>
      <c r="G469" s="43" t="s">
        <v>83</v>
      </c>
      <c r="H469" s="42" t="s">
        <v>152</v>
      </c>
      <c r="I469" s="160" t="s">
        <v>43</v>
      </c>
      <c r="J469" s="55" t="s">
        <v>153</v>
      </c>
      <c r="K469" s="42" t="s">
        <v>154</v>
      </c>
      <c r="L469" s="44">
        <v>46106.48333333333</v>
      </c>
      <c r="M469" s="55" t="s">
        <v>2046</v>
      </c>
      <c r="N469" s="55" t="s">
        <v>2046</v>
      </c>
      <c r="O469" s="56">
        <v>46106.708333333336</v>
      </c>
      <c r="P469" s="57">
        <v>46106.715277777781</v>
      </c>
      <c r="Q469" s="132">
        <v>46106.875</v>
      </c>
      <c r="R469" s="42"/>
      <c r="S469" s="53" t="s">
        <v>467</v>
      </c>
      <c r="T469" s="55" t="s">
        <v>164</v>
      </c>
      <c r="U469" s="42"/>
      <c r="V469" s="53" t="s">
        <v>2047</v>
      </c>
      <c r="W469" s="42"/>
      <c r="X469" s="42"/>
      <c r="Y469" s="42" t="s">
        <v>158</v>
      </c>
      <c r="Z469" s="42" t="s">
        <v>70</v>
      </c>
      <c r="AA469" s="42"/>
      <c r="AB469" s="42"/>
      <c r="AC469" s="42"/>
      <c r="AD469" s="42"/>
      <c r="AE469" s="54"/>
    </row>
    <row r="470" spans="1:31" ht="15" hidden="1" customHeight="1">
      <c r="A470" s="60">
        <f>ROW() - ROW(Table1[[#Headers],[s]])</f>
        <v>469</v>
      </c>
      <c r="B470" s="42" t="s">
        <v>2048</v>
      </c>
      <c r="C470" s="51" t="s">
        <v>60</v>
      </c>
      <c r="D470" s="46" t="s">
        <v>2049</v>
      </c>
      <c r="E470" s="42" t="e" vm="183">
        <v>#VALUE!</v>
      </c>
      <c r="F470" s="42" t="e" vm="19">
        <v>#VALUE!</v>
      </c>
      <c r="G470" s="43" t="s">
        <v>1057</v>
      </c>
      <c r="H470" s="42" t="s">
        <v>152</v>
      </c>
      <c r="I470" s="260" t="s">
        <v>1345</v>
      </c>
      <c r="J470" s="55" t="s">
        <v>153</v>
      </c>
      <c r="K470" s="60" t="s">
        <v>154</v>
      </c>
      <c r="L470" s="44">
        <v>46106.479861111111</v>
      </c>
      <c r="M470" s="55"/>
      <c r="N470" s="55"/>
      <c r="O470" s="56"/>
      <c r="P470" s="57"/>
      <c r="Q470" s="132"/>
      <c r="R470" s="42"/>
      <c r="S470" s="53" t="s">
        <v>2050</v>
      </c>
      <c r="T470" s="55" t="s">
        <v>164</v>
      </c>
      <c r="U470" s="42"/>
      <c r="V470" s="53"/>
      <c r="W470" s="42"/>
      <c r="X470" s="42"/>
      <c r="Y470" s="42" t="s">
        <v>179</v>
      </c>
      <c r="Z470" s="42" t="s">
        <v>179</v>
      </c>
      <c r="AA470" s="42"/>
      <c r="AB470" s="42"/>
      <c r="AC470" s="42"/>
      <c r="AD470" s="42"/>
      <c r="AE470" s="54"/>
    </row>
    <row r="471" spans="1:31" ht="15" hidden="1" customHeight="1">
      <c r="A471" s="60">
        <f>ROW() - ROW(Table1[[#Headers],[s]])</f>
        <v>470</v>
      </c>
      <c r="B471" s="42" t="s">
        <v>2051</v>
      </c>
      <c r="C471" s="51" t="s">
        <v>60</v>
      </c>
      <c r="D471" s="46" t="s">
        <v>2052</v>
      </c>
      <c r="E471" s="42" t="e" vm="183">
        <v>#VALUE!</v>
      </c>
      <c r="F471" s="42" t="e" vm="19">
        <v>#VALUE!</v>
      </c>
      <c r="G471" s="43" t="s">
        <v>1057</v>
      </c>
      <c r="H471" s="42" t="s">
        <v>152</v>
      </c>
      <c r="I471" s="260" t="s">
        <v>1345</v>
      </c>
      <c r="J471" s="55" t="s">
        <v>153</v>
      </c>
      <c r="K471" s="60" t="s">
        <v>154</v>
      </c>
      <c r="L471" s="44">
        <v>46106.478472222225</v>
      </c>
      <c r="M471" s="55"/>
      <c r="N471" s="55"/>
      <c r="O471" s="56"/>
      <c r="P471" s="57"/>
      <c r="Q471" s="132"/>
      <c r="R471" s="42"/>
      <c r="S471" s="53" t="s">
        <v>2050</v>
      </c>
      <c r="T471" s="55" t="s">
        <v>164</v>
      </c>
      <c r="U471" s="42"/>
      <c r="V471" s="53"/>
      <c r="W471" s="42"/>
      <c r="X471" s="42"/>
      <c r="Y471" s="42" t="s">
        <v>179</v>
      </c>
      <c r="Z471" s="42" t="s">
        <v>179</v>
      </c>
      <c r="AA471" s="42"/>
      <c r="AB471" s="42"/>
      <c r="AC471" s="42"/>
      <c r="AD471" s="42"/>
      <c r="AE471" s="54"/>
    </row>
    <row r="472" spans="1:31" ht="15" hidden="1" customHeight="1">
      <c r="A472" s="60">
        <f>ROW() - ROW(Table1[[#Headers],[s]])</f>
        <v>471</v>
      </c>
      <c r="B472" s="131" t="s">
        <v>2053</v>
      </c>
      <c r="C472" s="51">
        <v>46082</v>
      </c>
      <c r="D472" s="46" t="s">
        <v>2054</v>
      </c>
      <c r="E472" s="42" t="e" vm="190">
        <v>#VALUE!</v>
      </c>
      <c r="F472" s="42" t="e" vm="49">
        <v>#VALUE!</v>
      </c>
      <c r="G472" s="43" t="s">
        <v>40</v>
      </c>
      <c r="H472" s="42" t="s">
        <v>747</v>
      </c>
      <c r="I472" s="42" t="s">
        <v>43</v>
      </c>
      <c r="J472" s="55" t="s">
        <v>153</v>
      </c>
      <c r="K472" s="46" t="s">
        <v>154</v>
      </c>
      <c r="L472" s="44">
        <v>46106.5625</v>
      </c>
      <c r="M472" s="55" t="s">
        <v>2055</v>
      </c>
      <c r="N472" s="55"/>
      <c r="O472" s="44"/>
      <c r="P472" s="44"/>
      <c r="Q472" s="44">
        <v>46106.854166666664</v>
      </c>
      <c r="R472" s="42"/>
      <c r="S472" s="53" t="s">
        <v>2056</v>
      </c>
      <c r="T472" s="55" t="s">
        <v>164</v>
      </c>
      <c r="U472" s="42"/>
      <c r="V472" s="53"/>
      <c r="W472" s="42"/>
      <c r="X472" s="42"/>
      <c r="Y472" s="42" t="s">
        <v>179</v>
      </c>
      <c r="Z472" s="42" t="s">
        <v>179</v>
      </c>
      <c r="AA472" s="42"/>
      <c r="AB472" s="42"/>
      <c r="AC472" s="42"/>
      <c r="AD472" s="42"/>
      <c r="AE472" s="54"/>
    </row>
    <row r="473" spans="1:31" ht="15" hidden="1" customHeight="1">
      <c r="A473" s="60">
        <f>ROW() - ROW(Table1[[#Headers],[s]])</f>
        <v>472</v>
      </c>
      <c r="B473" s="42" t="s">
        <v>2057</v>
      </c>
      <c r="C473" s="51">
        <v>46082</v>
      </c>
      <c r="D473" s="46" t="s">
        <v>2058</v>
      </c>
      <c r="E473" s="42" t="e" vm="131">
        <v>#VALUE!</v>
      </c>
      <c r="F473" s="42" t="e" vm="25">
        <v>#VALUE!</v>
      </c>
      <c r="G473" s="43" t="s">
        <v>42</v>
      </c>
      <c r="H473" s="42" t="s">
        <v>152</v>
      </c>
      <c r="I473" s="42" t="s">
        <v>43</v>
      </c>
      <c r="J473" s="55" t="s">
        <v>153</v>
      </c>
      <c r="K473" s="42" t="s">
        <v>154</v>
      </c>
      <c r="L473" s="44">
        <v>46106.604166666664</v>
      </c>
      <c r="M473" s="55" t="s">
        <v>72</v>
      </c>
      <c r="N473" s="55" t="s">
        <v>72</v>
      </c>
      <c r="O473" s="44">
        <v>46106.796527777777</v>
      </c>
      <c r="P473" s="44">
        <v>46106.796527777777</v>
      </c>
      <c r="Q473" s="58">
        <v>46106.848611111112</v>
      </c>
      <c r="R473" s="42"/>
      <c r="S473" s="53" t="s">
        <v>2059</v>
      </c>
      <c r="T473" s="55" t="s">
        <v>164</v>
      </c>
      <c r="U473" s="42"/>
      <c r="V473" s="53" t="s">
        <v>2060</v>
      </c>
      <c r="W473" s="42"/>
      <c r="X473" s="42"/>
      <c r="Y473" s="42" t="s">
        <v>158</v>
      </c>
      <c r="Z473" s="42" t="s">
        <v>67</v>
      </c>
      <c r="AB473" s="42"/>
      <c r="AC473" s="42"/>
      <c r="AD473" s="42"/>
      <c r="AE473" s="54"/>
    </row>
    <row r="474" spans="1:31" s="36" customFormat="1" ht="15" hidden="1" customHeight="1">
      <c r="A474" s="189">
        <f>ROW() - ROW(Table1[[#Headers],[s]])</f>
        <v>473</v>
      </c>
      <c r="B474" s="158" t="s">
        <v>2061</v>
      </c>
      <c r="C474" s="183">
        <v>46082</v>
      </c>
      <c r="D474" s="184" t="s">
        <v>2062</v>
      </c>
      <c r="E474" s="158" t="e" vm="191">
        <v>#VALUE!</v>
      </c>
      <c r="F474" s="158" t="e" vm="42">
        <v>#VALUE!</v>
      </c>
      <c r="G474" s="174" t="s">
        <v>42</v>
      </c>
      <c r="H474" s="158" t="s">
        <v>747</v>
      </c>
      <c r="I474" s="42" t="s">
        <v>43</v>
      </c>
      <c r="J474" s="179" t="s">
        <v>153</v>
      </c>
      <c r="K474" s="158" t="s">
        <v>154</v>
      </c>
      <c r="L474" s="175">
        <v>46106.627083333333</v>
      </c>
      <c r="M474" s="185" t="s">
        <v>2063</v>
      </c>
      <c r="N474" s="185" t="s">
        <v>2063</v>
      </c>
      <c r="O474" s="175">
        <v>46106.791666666664</v>
      </c>
      <c r="P474" s="175">
        <v>46106.867361111108</v>
      </c>
      <c r="Q474" s="186">
        <v>46107</v>
      </c>
      <c r="R474" s="158"/>
      <c r="S474" s="375" t="s">
        <v>2064</v>
      </c>
      <c r="T474" s="179" t="s">
        <v>164</v>
      </c>
      <c r="U474" s="158"/>
      <c r="V474" s="187" t="s">
        <v>2065</v>
      </c>
      <c r="W474" s="158"/>
      <c r="X474" s="158"/>
      <c r="Y474" s="158" t="s">
        <v>158</v>
      </c>
      <c r="Z474" s="158" t="s">
        <v>67</v>
      </c>
      <c r="AB474" s="158"/>
      <c r="AC474" s="158"/>
      <c r="AD474" s="158"/>
      <c r="AE474" s="180"/>
    </row>
    <row r="475" spans="1:31" ht="15" hidden="1" customHeight="1">
      <c r="A475" s="60">
        <f>ROW() - ROW(Table1[[#Headers],[s]])</f>
        <v>474</v>
      </c>
      <c r="B475" s="42" t="s">
        <v>2066</v>
      </c>
      <c r="C475" s="51">
        <v>46082</v>
      </c>
      <c r="D475" s="52" t="s">
        <v>2067</v>
      </c>
      <c r="E475" s="42" t="e" vm="50">
        <v>#VALUE!</v>
      </c>
      <c r="F475" s="42" t="e" vm="26">
        <v>#VALUE!</v>
      </c>
      <c r="G475" s="43" t="s">
        <v>42</v>
      </c>
      <c r="H475" s="42" t="s">
        <v>747</v>
      </c>
      <c r="I475" s="42" t="s">
        <v>43</v>
      </c>
      <c r="J475" s="55" t="s">
        <v>153</v>
      </c>
      <c r="K475" s="42" t="s">
        <v>154</v>
      </c>
      <c r="L475" s="44">
        <v>46106.614583333336</v>
      </c>
      <c r="M475" s="55" t="s">
        <v>59</v>
      </c>
      <c r="N475" s="55" t="s">
        <v>59</v>
      </c>
      <c r="O475" s="44">
        <v>46106.722222222219</v>
      </c>
      <c r="P475" s="44">
        <v>46106.833333333336</v>
      </c>
      <c r="Q475" s="58">
        <v>46106.885416666664</v>
      </c>
      <c r="R475" s="42"/>
      <c r="S475" s="53" t="s">
        <v>1063</v>
      </c>
      <c r="T475" s="55" t="s">
        <v>164</v>
      </c>
      <c r="U475" s="42"/>
      <c r="V475" s="164" t="s">
        <v>2068</v>
      </c>
      <c r="W475" s="42"/>
      <c r="X475" s="42"/>
      <c r="Y475" s="42" t="s">
        <v>203</v>
      </c>
      <c r="Z475" s="42" t="s">
        <v>67</v>
      </c>
      <c r="AA475" s="42"/>
      <c r="AB475" s="42"/>
      <c r="AC475" s="42"/>
      <c r="AD475" s="42"/>
      <c r="AE475" s="54"/>
    </row>
    <row r="476" spans="1:31" ht="15.75" hidden="1" customHeight="1">
      <c r="A476" s="60">
        <f>ROW() - ROW(Table1[[#Headers],[s]])</f>
        <v>475</v>
      </c>
      <c r="B476" s="131" t="s">
        <v>2069</v>
      </c>
      <c r="C476" s="51">
        <v>46082</v>
      </c>
      <c r="D476" s="246" t="s">
        <v>2070</v>
      </c>
      <c r="E476" s="42" t="e" vm="122">
        <v>#VALUE!</v>
      </c>
      <c r="F476" s="42" t="e" vm="10">
        <v>#VALUE!</v>
      </c>
      <c r="G476" s="188" t="s">
        <v>42</v>
      </c>
      <c r="H476" s="42" t="s">
        <v>747</v>
      </c>
      <c r="I476" s="42" t="s">
        <v>43</v>
      </c>
      <c r="J476" s="55" t="s">
        <v>153</v>
      </c>
      <c r="K476" s="42" t="s">
        <v>154</v>
      </c>
      <c r="L476" s="44">
        <v>46106.65</v>
      </c>
      <c r="M476" s="55" t="s">
        <v>2043</v>
      </c>
      <c r="N476" s="55" t="s">
        <v>78</v>
      </c>
      <c r="O476" s="44">
        <v>46106.718055555553</v>
      </c>
      <c r="P476" s="44">
        <v>46106.840277777781</v>
      </c>
      <c r="Q476" s="44">
        <v>46106.910416666666</v>
      </c>
      <c r="R476" s="42"/>
      <c r="S476" s="53" t="s">
        <v>861</v>
      </c>
      <c r="T476" s="55" t="s">
        <v>2071</v>
      </c>
      <c r="U476" s="42"/>
      <c r="V476" s="53" t="s">
        <v>2072</v>
      </c>
      <c r="W476" s="42"/>
      <c r="X476" s="42"/>
      <c r="Y476" s="42" t="s">
        <v>158</v>
      </c>
      <c r="Z476" s="42" t="s">
        <v>67</v>
      </c>
      <c r="AB476" s="42"/>
      <c r="AC476" s="42"/>
      <c r="AD476" s="42"/>
      <c r="AE476" s="54"/>
    </row>
    <row r="477" spans="1:31" ht="15" customHeight="1">
      <c r="A477" s="60">
        <f>ROW() - ROW(Table1[[#Headers],[s]])</f>
        <v>476</v>
      </c>
      <c r="B477" s="42" t="s">
        <v>2073</v>
      </c>
      <c r="C477" s="51">
        <v>46082</v>
      </c>
      <c r="D477" s="42" t="s">
        <v>2074</v>
      </c>
      <c r="E477" s="42" t="e" vm="192">
        <v>#VALUE!</v>
      </c>
      <c r="F477" s="42" t="e" vm="17">
        <v>#VALUE!</v>
      </c>
      <c r="G477" s="43" t="s">
        <v>83</v>
      </c>
      <c r="H477" s="42" t="s">
        <v>152</v>
      </c>
      <c r="I477" s="160" t="s">
        <v>43</v>
      </c>
      <c r="J477" s="55" t="s">
        <v>261</v>
      </c>
      <c r="K477" s="42" t="s">
        <v>154</v>
      </c>
      <c r="L477" s="44">
        <v>46106.704861111109</v>
      </c>
      <c r="M477" s="329" t="s">
        <v>227</v>
      </c>
      <c r="N477" s="55" t="s">
        <v>1255</v>
      </c>
      <c r="O477" s="44">
        <v>46106.5</v>
      </c>
      <c r="P477" s="44">
        <v>46106.506944444445</v>
      </c>
      <c r="Q477" s="58">
        <v>46106.583333333336</v>
      </c>
      <c r="R477" s="42"/>
      <c r="S477" s="53" t="s">
        <v>2075</v>
      </c>
      <c r="T477" s="55" t="s">
        <v>164</v>
      </c>
      <c r="U477" s="42"/>
      <c r="V477" s="53" t="s">
        <v>2076</v>
      </c>
      <c r="W477" s="42"/>
      <c r="X477" s="42"/>
      <c r="Y477" s="42" t="s">
        <v>70</v>
      </c>
      <c r="Z477" s="42" t="s">
        <v>67</v>
      </c>
      <c r="AA477" s="42"/>
      <c r="AB477" s="42"/>
      <c r="AC477" s="42"/>
      <c r="AD477" s="42"/>
      <c r="AE477" s="54"/>
    </row>
    <row r="478" spans="1:31" ht="15" customHeight="1">
      <c r="A478" s="60">
        <f>ROW() - ROW(Table1[[#Headers],[s]])</f>
        <v>477</v>
      </c>
      <c r="B478" s="42" t="s">
        <v>2077</v>
      </c>
      <c r="C478" s="51">
        <v>46082</v>
      </c>
      <c r="D478" s="42" t="s">
        <v>2078</v>
      </c>
      <c r="E478" s="42" t="e" vm="62">
        <v>#VALUE!</v>
      </c>
      <c r="F478" s="42" t="e" vm="26">
        <v>#VALUE!</v>
      </c>
      <c r="G478" s="43" t="s">
        <v>83</v>
      </c>
      <c r="H478" s="42" t="s">
        <v>152</v>
      </c>
      <c r="I478" s="160" t="s">
        <v>43</v>
      </c>
      <c r="J478" s="55" t="s">
        <v>153</v>
      </c>
      <c r="K478" s="42" t="s">
        <v>154</v>
      </c>
      <c r="L478" s="44">
        <v>46106.706944444442</v>
      </c>
      <c r="M478" s="55" t="s">
        <v>1023</v>
      </c>
      <c r="N478" s="55" t="s">
        <v>800</v>
      </c>
      <c r="O478" s="44">
        <v>46107.5</v>
      </c>
      <c r="P478" s="44">
        <v>46107.506944444445</v>
      </c>
      <c r="Q478" s="58">
        <v>46107.710416666669</v>
      </c>
      <c r="R478" s="42"/>
      <c r="S478" s="164" t="s">
        <v>2079</v>
      </c>
      <c r="T478" s="55" t="s">
        <v>164</v>
      </c>
      <c r="U478" s="42"/>
      <c r="V478" s="53" t="s">
        <v>2080</v>
      </c>
      <c r="W478" s="42"/>
      <c r="X478" s="42"/>
      <c r="Y478" s="42" t="s">
        <v>158</v>
      </c>
      <c r="Z478" s="42" t="s">
        <v>67</v>
      </c>
      <c r="AB478" s="42"/>
      <c r="AC478" s="42"/>
      <c r="AD478" s="42"/>
      <c r="AE478" s="54"/>
    </row>
    <row r="479" spans="1:31" ht="15" customHeight="1">
      <c r="A479" s="60">
        <f>ROW() - ROW(Table1[[#Headers],[s]])</f>
        <v>478</v>
      </c>
      <c r="B479" s="42" t="s">
        <v>2081</v>
      </c>
      <c r="C479" s="51">
        <v>46082</v>
      </c>
      <c r="D479" s="42" t="s">
        <v>2082</v>
      </c>
      <c r="E479" s="42" t="e" vm="41">
        <v>#VALUE!</v>
      </c>
      <c r="F479" s="42" t="e" vm="26">
        <v>#VALUE!</v>
      </c>
      <c r="G479" s="43" t="s">
        <v>186</v>
      </c>
      <c r="H479" s="42" t="s">
        <v>152</v>
      </c>
      <c r="I479" s="160" t="s">
        <v>43</v>
      </c>
      <c r="J479" s="55" t="s">
        <v>153</v>
      </c>
      <c r="K479" s="42" t="s">
        <v>154</v>
      </c>
      <c r="L479" s="44">
        <v>46106.598611111112</v>
      </c>
      <c r="M479" s="55" t="s">
        <v>2083</v>
      </c>
      <c r="N479" s="55" t="s">
        <v>2083</v>
      </c>
      <c r="O479" s="56">
        <v>46106.75</v>
      </c>
      <c r="P479" s="57">
        <v>46106.756944444445</v>
      </c>
      <c r="Q479" s="132">
        <v>46106.875</v>
      </c>
      <c r="R479" s="42"/>
      <c r="S479" s="53" t="s">
        <v>259</v>
      </c>
      <c r="T479" s="55" t="s">
        <v>164</v>
      </c>
      <c r="U479" s="42"/>
      <c r="V479" s="164" t="s">
        <v>2084</v>
      </c>
      <c r="W479" s="42"/>
      <c r="X479" s="42"/>
      <c r="Y479" s="42" t="s">
        <v>158</v>
      </c>
      <c r="Z479" s="42" t="s">
        <v>70</v>
      </c>
      <c r="AA479" s="42"/>
      <c r="AB479" s="42"/>
      <c r="AC479" s="42"/>
      <c r="AD479" s="42"/>
      <c r="AE479" s="54"/>
    </row>
    <row r="480" spans="1:31" ht="15" hidden="1" customHeight="1">
      <c r="A480" s="60">
        <f>ROW() - ROW(Table1[[#Headers],[s]])</f>
        <v>479</v>
      </c>
      <c r="B480" s="42" t="s">
        <v>2085</v>
      </c>
      <c r="C480" s="51" t="s">
        <v>60</v>
      </c>
      <c r="D480" s="46" t="s">
        <v>2086</v>
      </c>
      <c r="E480" s="42" t="e" vm="116">
        <v>#VALUE!</v>
      </c>
      <c r="F480" s="42" t="e" vm="42">
        <v>#VALUE!</v>
      </c>
      <c r="G480" s="43" t="s">
        <v>42</v>
      </c>
      <c r="H480" s="42" t="s">
        <v>152</v>
      </c>
      <c r="I480" s="51" t="s">
        <v>60</v>
      </c>
      <c r="J480" s="55" t="s">
        <v>261</v>
      </c>
      <c r="K480" s="42" t="s">
        <v>154</v>
      </c>
      <c r="L480" s="44">
        <v>46106.634722222225</v>
      </c>
      <c r="M480" s="55" t="s">
        <v>2087</v>
      </c>
      <c r="N480" s="55"/>
      <c r="O480" s="56"/>
      <c r="P480" s="57"/>
      <c r="Q480" s="132"/>
      <c r="R480" s="42"/>
      <c r="S480" s="164" t="s">
        <v>2088</v>
      </c>
      <c r="T480" s="55" t="s">
        <v>179</v>
      </c>
      <c r="U480" s="42"/>
      <c r="V480" s="164"/>
      <c r="W480" s="42"/>
      <c r="X480" s="42"/>
      <c r="Y480" s="42" t="s">
        <v>179</v>
      </c>
      <c r="Z480" s="42" t="s">
        <v>179</v>
      </c>
      <c r="AA480" s="42"/>
      <c r="AB480" s="42"/>
      <c r="AC480" s="42"/>
      <c r="AD480" s="42"/>
      <c r="AE480" s="54"/>
    </row>
    <row r="481" spans="1:48" s="36" customFormat="1" ht="15" customHeight="1">
      <c r="A481" s="60">
        <f>ROW() - ROW(Table1[[#Headers],[s]])</f>
        <v>480</v>
      </c>
      <c r="B481" t="s">
        <v>2089</v>
      </c>
      <c r="C481" s="23" t="s">
        <v>60</v>
      </c>
      <c r="D481" s="19" t="s">
        <v>2090</v>
      </c>
      <c r="E481" s="19" t="e" vm="94">
        <v>#VALUE!</v>
      </c>
      <c r="F481" t="e" vm="17">
        <v>#VALUE!</v>
      </c>
      <c r="G481" s="5" t="s">
        <v>83</v>
      </c>
      <c r="H481" t="s">
        <v>152</v>
      </c>
      <c r="I481" s="5" t="s">
        <v>2091</v>
      </c>
      <c r="J481" s="18" t="s">
        <v>153</v>
      </c>
      <c r="K481" s="42" t="s">
        <v>154</v>
      </c>
      <c r="L481" s="20">
        <v>46107.42083333333</v>
      </c>
      <c r="M481" s="67" t="s">
        <v>779</v>
      </c>
      <c r="N481" s="67"/>
      <c r="O481" s="3"/>
      <c r="P481" s="5"/>
      <c r="Q481" s="22"/>
      <c r="R481" s="22"/>
      <c r="S481" s="21" t="s">
        <v>2092</v>
      </c>
      <c r="T481" s="18"/>
      <c r="U481" s="18"/>
      <c r="V481" s="21" t="s">
        <v>2093</v>
      </c>
      <c r="W481" s="21"/>
      <c r="X481"/>
      <c r="Y481" t="s">
        <v>179</v>
      </c>
      <c r="Z481" t="s">
        <v>179</v>
      </c>
      <c r="AA481"/>
      <c r="AB481"/>
      <c r="AC481"/>
      <c r="AD481"/>
      <c r="AE481"/>
      <c r="AF481" s="60"/>
      <c r="AG481"/>
      <c r="AH481" s="23"/>
      <c r="AI481" s="19"/>
      <c r="AJ481" s="19"/>
      <c r="AK481"/>
      <c r="AL481" s="5"/>
      <c r="AM481" s="5"/>
      <c r="AN481"/>
      <c r="AO481" s="18"/>
      <c r="AP481"/>
      <c r="AQ481" s="20"/>
      <c r="AR481" s="67"/>
      <c r="AS481" s="67"/>
      <c r="AT481" s="3"/>
      <c r="AU481" s="5"/>
      <c r="AV481" s="22"/>
    </row>
    <row r="482" spans="1:48" ht="15" customHeight="1">
      <c r="A482" s="60">
        <f>ROW() - ROW(Table1[[#Headers],[s]])</f>
        <v>481</v>
      </c>
      <c r="B482" s="42" t="s">
        <v>2094</v>
      </c>
      <c r="C482" s="51">
        <v>46082</v>
      </c>
      <c r="D482" s="42" t="s">
        <v>2095</v>
      </c>
      <c r="E482" s="42" t="e" vm="181">
        <v>#VALUE!</v>
      </c>
      <c r="F482" s="42" t="e" vm="21">
        <v>#VALUE!</v>
      </c>
      <c r="G482" s="43" t="s">
        <v>186</v>
      </c>
      <c r="H482" s="42" t="s">
        <v>152</v>
      </c>
      <c r="I482" s="160" t="s">
        <v>43</v>
      </c>
      <c r="J482" s="55" t="s">
        <v>153</v>
      </c>
      <c r="K482" s="42" t="s">
        <v>154</v>
      </c>
      <c r="L482" s="44">
        <v>46107.429166666669</v>
      </c>
      <c r="M482" s="55" t="s">
        <v>39</v>
      </c>
      <c r="N482" s="55" t="s">
        <v>39</v>
      </c>
      <c r="O482" s="56">
        <v>46107.441666666666</v>
      </c>
      <c r="P482" s="57">
        <v>46107.448611111111</v>
      </c>
      <c r="Q482" s="132">
        <v>46107.493055555555</v>
      </c>
      <c r="R482" s="42"/>
      <c r="S482" s="53" t="s">
        <v>2096</v>
      </c>
      <c r="T482" s="55" t="s">
        <v>164</v>
      </c>
      <c r="U482" s="42"/>
      <c r="V482" s="53" t="s">
        <v>2097</v>
      </c>
      <c r="W482" s="42"/>
      <c r="X482" s="42"/>
      <c r="Y482" s="42" t="s">
        <v>158</v>
      </c>
      <c r="Z482" s="42" t="s">
        <v>70</v>
      </c>
      <c r="AA482" s="42"/>
      <c r="AB482" s="42"/>
      <c r="AC482" s="42"/>
      <c r="AD482" s="42"/>
      <c r="AE482" s="54"/>
    </row>
    <row r="483" spans="1:48" ht="15" customHeight="1">
      <c r="A483" s="60">
        <f>ROW() - ROW(Table1[[#Headers],[s]])</f>
        <v>482</v>
      </c>
      <c r="B483" s="42" t="s">
        <v>2098</v>
      </c>
      <c r="C483" s="51">
        <v>46082</v>
      </c>
      <c r="D483" s="52" t="s">
        <v>2099</v>
      </c>
      <c r="E483" s="42" t="e" vm="67">
        <v>#VALUE!</v>
      </c>
      <c r="F483" s="42" t="e" vm="21">
        <v>#VALUE!</v>
      </c>
      <c r="G483" s="43" t="s">
        <v>186</v>
      </c>
      <c r="H483" s="42" t="s">
        <v>152</v>
      </c>
      <c r="I483" s="160" t="s">
        <v>43</v>
      </c>
      <c r="J483" s="55" t="s">
        <v>153</v>
      </c>
      <c r="K483" s="42" t="s">
        <v>154</v>
      </c>
      <c r="L483" s="44">
        <v>46107.554166666669</v>
      </c>
      <c r="M483" s="55" t="s">
        <v>39</v>
      </c>
      <c r="N483" s="55" t="s">
        <v>39</v>
      </c>
      <c r="O483" s="56">
        <v>46107.583333333336</v>
      </c>
      <c r="P483" s="57">
        <v>46107.590277777781</v>
      </c>
      <c r="Q483" s="132">
        <v>46107.708333333336</v>
      </c>
      <c r="R483" s="42"/>
      <c r="S483" s="53" t="s">
        <v>2100</v>
      </c>
      <c r="T483" s="55" t="s">
        <v>164</v>
      </c>
      <c r="U483" s="42"/>
      <c r="V483" s="53" t="s">
        <v>2101</v>
      </c>
      <c r="W483" s="42"/>
      <c r="X483" s="42"/>
      <c r="Y483" s="42" t="s">
        <v>158</v>
      </c>
      <c r="Z483" s="42" t="s">
        <v>67</v>
      </c>
      <c r="AA483" s="42"/>
      <c r="AB483" s="42"/>
      <c r="AC483" s="42"/>
      <c r="AD483" s="42"/>
      <c r="AE483" s="54"/>
    </row>
    <row r="484" spans="1:48" ht="15" hidden="1" customHeight="1">
      <c r="A484" s="60">
        <f>ROW() - ROW(Table1[[#Headers],[s]])</f>
        <v>483</v>
      </c>
      <c r="B484" s="42" t="s">
        <v>1911</v>
      </c>
      <c r="C484" s="51">
        <v>46082</v>
      </c>
      <c r="D484" s="52" t="s">
        <v>2102</v>
      </c>
      <c r="E484" s="42" t="e" vm="193">
        <v>#VALUE!</v>
      </c>
      <c r="F484" s="42" t="e" vm="19">
        <v>#VALUE!</v>
      </c>
      <c r="G484" s="43" t="s">
        <v>174</v>
      </c>
      <c r="H484" s="42" t="s">
        <v>152</v>
      </c>
      <c r="I484" s="160"/>
      <c r="J484" s="55" t="s">
        <v>153</v>
      </c>
      <c r="K484" s="42" t="s">
        <v>154</v>
      </c>
      <c r="L484" s="44">
        <v>46107.616666666669</v>
      </c>
      <c r="M484" s="125" t="s">
        <v>507</v>
      </c>
      <c r="N484" s="125" t="s">
        <v>507</v>
      </c>
      <c r="O484" s="56">
        <v>46108.354166666664</v>
      </c>
      <c r="P484" s="56">
        <v>46108.381944444445</v>
      </c>
      <c r="Q484" s="56">
        <v>46108.416666666664</v>
      </c>
      <c r="R484" s="42"/>
      <c r="S484" s="53" t="s">
        <v>2103</v>
      </c>
      <c r="T484" s="55" t="s">
        <v>164</v>
      </c>
      <c r="U484" s="42"/>
      <c r="V484" s="53" t="s">
        <v>2104</v>
      </c>
      <c r="W484" s="42"/>
      <c r="X484" s="42"/>
      <c r="Y484" s="42" t="s">
        <v>158</v>
      </c>
      <c r="Z484" s="42" t="s">
        <v>70</v>
      </c>
      <c r="AA484" s="42"/>
      <c r="AB484" s="42"/>
      <c r="AC484" s="42"/>
      <c r="AD484" s="42"/>
      <c r="AE484" s="54"/>
    </row>
    <row r="485" spans="1:48" s="36" customFormat="1" ht="15" customHeight="1">
      <c r="A485" s="189">
        <f>ROW() - ROW(Table1[[#Headers],[s]])</f>
        <v>484</v>
      </c>
      <c r="B485" s="158" t="s">
        <v>2105</v>
      </c>
      <c r="C485" s="172">
        <v>46174</v>
      </c>
      <c r="D485" s="173" t="s">
        <v>2106</v>
      </c>
      <c r="E485" s="158" t="e" vm="94">
        <v>#VALUE!</v>
      </c>
      <c r="F485" s="158" t="e" vm="17">
        <v>#VALUE!</v>
      </c>
      <c r="G485" s="174" t="s">
        <v>186</v>
      </c>
      <c r="H485" s="158" t="s">
        <v>152</v>
      </c>
      <c r="I485" s="158"/>
      <c r="J485" s="179" t="s">
        <v>153</v>
      </c>
      <c r="K485" s="42" t="s">
        <v>154</v>
      </c>
      <c r="L485" s="175"/>
      <c r="M485" s="324" t="s">
        <v>779</v>
      </c>
      <c r="N485" s="324"/>
      <c r="O485" s="176"/>
      <c r="P485" s="177"/>
      <c r="Q485" s="178"/>
      <c r="R485" s="158"/>
      <c r="S485" s="375" t="s">
        <v>2107</v>
      </c>
      <c r="T485" s="179"/>
      <c r="U485" s="158"/>
      <c r="V485" s="187"/>
      <c r="W485" s="158"/>
      <c r="X485" s="158"/>
      <c r="Y485" s="158"/>
      <c r="Z485" s="158"/>
      <c r="AA485" s="158"/>
      <c r="AB485" s="158"/>
      <c r="AC485" s="158"/>
      <c r="AD485" s="158"/>
      <c r="AE485" s="180"/>
    </row>
    <row r="486" spans="1:48" ht="15" hidden="1" customHeight="1">
      <c r="A486" s="60">
        <f>ROW() - ROW(Table1[[#Headers],[s]])</f>
        <v>485</v>
      </c>
      <c r="B486" s="42" t="s">
        <v>2108</v>
      </c>
      <c r="C486" s="51">
        <v>46082</v>
      </c>
      <c r="D486" s="173" t="s">
        <v>2109</v>
      </c>
      <c r="E486" s="42" t="e" vm="15">
        <v>#VALUE!</v>
      </c>
      <c r="F486" s="42" t="e" vm="16">
        <v>#VALUE!</v>
      </c>
      <c r="G486" s="43" t="s">
        <v>174</v>
      </c>
      <c r="H486" s="42" t="s">
        <v>152</v>
      </c>
      <c r="I486" s="42"/>
      <c r="J486" s="55" t="s">
        <v>153</v>
      </c>
      <c r="K486" s="42" t="s">
        <v>154</v>
      </c>
      <c r="L486" s="44">
        <v>46107.672222222223</v>
      </c>
      <c r="M486" s="67" t="s">
        <v>2110</v>
      </c>
      <c r="N486" s="67" t="s">
        <v>2110</v>
      </c>
      <c r="O486" s="56">
        <v>46108.333333333336</v>
      </c>
      <c r="P486" s="56">
        <v>46108.354166666664</v>
      </c>
      <c r="Q486" s="56">
        <v>46108.381944444445</v>
      </c>
      <c r="R486" s="42"/>
      <c r="S486" s="53" t="s">
        <v>1446</v>
      </c>
      <c r="T486" s="55" t="s">
        <v>164</v>
      </c>
      <c r="U486" s="42"/>
      <c r="V486" s="53" t="s">
        <v>850</v>
      </c>
      <c r="W486" s="42"/>
      <c r="X486" s="42"/>
      <c r="Y486" s="42" t="s">
        <v>158</v>
      </c>
      <c r="Z486" s="280" t="s">
        <v>70</v>
      </c>
      <c r="AA486" s="42"/>
      <c r="AB486" s="42"/>
      <c r="AC486" s="42"/>
      <c r="AD486" s="42"/>
      <c r="AE486" s="54"/>
    </row>
    <row r="487" spans="1:48" ht="15" customHeight="1">
      <c r="A487" s="60">
        <f>ROW() - ROW(Table1[[#Headers],[s]])</f>
        <v>486</v>
      </c>
      <c r="B487" s="42" t="s">
        <v>2111</v>
      </c>
      <c r="C487" s="163">
        <v>46082</v>
      </c>
      <c r="D487" s="141" t="s">
        <v>2112</v>
      </c>
      <c r="E487" s="42" t="e" vm="24">
        <v>#VALUE!</v>
      </c>
      <c r="F487" s="42" t="e" vm="25">
        <v>#VALUE!</v>
      </c>
      <c r="G487" s="43" t="s">
        <v>186</v>
      </c>
      <c r="H487" s="42" t="s">
        <v>152</v>
      </c>
      <c r="I487" s="160" t="s">
        <v>43</v>
      </c>
      <c r="J487" s="55" t="s">
        <v>153</v>
      </c>
      <c r="K487" s="42" t="s">
        <v>154</v>
      </c>
      <c r="L487" s="44">
        <v>46107.668749999997</v>
      </c>
      <c r="M487" s="67" t="s">
        <v>72</v>
      </c>
      <c r="N487" s="67" t="s">
        <v>72</v>
      </c>
      <c r="O487" s="56">
        <v>46107.75</v>
      </c>
      <c r="P487" s="57">
        <v>46107.756944444445</v>
      </c>
      <c r="Q487" s="132">
        <v>46107.791666666664</v>
      </c>
      <c r="R487" s="42"/>
      <c r="S487" s="53" t="s">
        <v>2113</v>
      </c>
      <c r="T487" s="55" t="s">
        <v>164</v>
      </c>
      <c r="U487" s="42"/>
      <c r="V487" s="164" t="s">
        <v>2114</v>
      </c>
      <c r="W487" s="42"/>
      <c r="X487" s="42"/>
      <c r="Y487" s="42" t="s">
        <v>158</v>
      </c>
      <c r="Z487" s="42" t="s">
        <v>70</v>
      </c>
      <c r="AA487" s="42"/>
      <c r="AB487" s="42"/>
      <c r="AC487" s="42"/>
      <c r="AD487" s="42"/>
      <c r="AE487" s="54"/>
    </row>
    <row r="488" spans="1:48" ht="15" hidden="1" customHeight="1">
      <c r="A488" s="60">
        <f>ROW() - ROW(Table1[[#Headers],[s]])</f>
        <v>487</v>
      </c>
      <c r="B488" s="42" t="s">
        <v>2115</v>
      </c>
      <c r="C488" s="51">
        <v>46082</v>
      </c>
      <c r="D488" s="52" t="s">
        <v>2116</v>
      </c>
      <c r="E488" s="42" t="e" vm="64">
        <v>#VALUE!</v>
      </c>
      <c r="F488" s="42" t="e" vm="26">
        <v>#VALUE!</v>
      </c>
      <c r="G488" s="43" t="s">
        <v>36</v>
      </c>
      <c r="H488" s="42" t="s">
        <v>152</v>
      </c>
      <c r="I488" s="160" t="s">
        <v>43</v>
      </c>
      <c r="J488" s="55" t="s">
        <v>153</v>
      </c>
      <c r="K488" s="42" t="s">
        <v>154</v>
      </c>
      <c r="L488" s="44">
        <v>46107.668749999997</v>
      </c>
      <c r="M488" s="67" t="s">
        <v>2117</v>
      </c>
      <c r="N488" s="67" t="s">
        <v>2117</v>
      </c>
      <c r="O488" s="56"/>
      <c r="P488" s="57"/>
      <c r="Q488" s="132">
        <v>46111.583333333336</v>
      </c>
      <c r="R488" s="42"/>
      <c r="S488" s="53" t="s">
        <v>2118</v>
      </c>
      <c r="T488" s="55" t="s">
        <v>178</v>
      </c>
      <c r="U488" s="42"/>
      <c r="V488" s="53" t="s">
        <v>2119</v>
      </c>
      <c r="W488" s="42"/>
      <c r="X488" s="42"/>
      <c r="Y488" s="42" t="s">
        <v>70</v>
      </c>
      <c r="Z488" s="42" t="s">
        <v>70</v>
      </c>
      <c r="AA488" s="42"/>
      <c r="AB488" s="42"/>
      <c r="AC488" s="42"/>
      <c r="AD488" s="42"/>
      <c r="AE488" s="54"/>
    </row>
    <row r="489" spans="1:48" ht="15" hidden="1" customHeight="1">
      <c r="A489" s="60">
        <f>ROW() - ROW(Table1[[#Headers],[s]])</f>
        <v>488</v>
      </c>
      <c r="B489" s="42" t="s">
        <v>2120</v>
      </c>
      <c r="C489" s="163">
        <v>46082</v>
      </c>
      <c r="D489" s="59" t="s">
        <v>2121</v>
      </c>
      <c r="E489" s="42" t="e" vm="55">
        <v>#VALUE!</v>
      </c>
      <c r="F489" s="42" t="e" vm="12">
        <v>#VALUE!</v>
      </c>
      <c r="G489" s="43" t="s">
        <v>174</v>
      </c>
      <c r="H489" s="42" t="s">
        <v>152</v>
      </c>
      <c r="I489" s="42"/>
      <c r="J489" s="55" t="s">
        <v>153</v>
      </c>
      <c r="K489" s="42" t="s">
        <v>154</v>
      </c>
      <c r="L489" s="44">
        <v>46107.668749999997</v>
      </c>
      <c r="M489" s="67" t="s">
        <v>2122</v>
      </c>
      <c r="N489" s="67" t="s">
        <v>53</v>
      </c>
      <c r="O489" s="56">
        <v>46108.333333333336</v>
      </c>
      <c r="P489" s="56">
        <v>46108.354166666664</v>
      </c>
      <c r="Q489" s="56">
        <v>46108.381944444445</v>
      </c>
      <c r="R489" s="42"/>
      <c r="S489" s="53" t="s">
        <v>2123</v>
      </c>
      <c r="T489" s="55" t="s">
        <v>164</v>
      </c>
      <c r="U489" s="42"/>
      <c r="V489" s="53" t="s">
        <v>2124</v>
      </c>
      <c r="W489" s="42"/>
      <c r="X489" s="42"/>
      <c r="Y489" s="42" t="s">
        <v>158</v>
      </c>
      <c r="Z489" s="42" t="s">
        <v>70</v>
      </c>
      <c r="AA489" s="42"/>
      <c r="AB489" s="42"/>
      <c r="AC489" s="42"/>
      <c r="AD489" s="42"/>
      <c r="AE489" s="54"/>
    </row>
    <row r="490" spans="1:48" ht="15" hidden="1" customHeight="1">
      <c r="A490" s="60">
        <f>ROW() - ROW(Table1[[#Headers],[s]])</f>
        <v>489</v>
      </c>
      <c r="B490" s="42" t="s">
        <v>2125</v>
      </c>
      <c r="C490" s="51">
        <v>46082</v>
      </c>
      <c r="D490" s="52" t="s">
        <v>2126</v>
      </c>
      <c r="E490" s="42" t="e" vm="58">
        <v>#VALUE!</v>
      </c>
      <c r="F490" s="42" t="e" vm="25">
        <v>#VALUE!</v>
      </c>
      <c r="G490" s="43" t="s">
        <v>174</v>
      </c>
      <c r="H490" s="42" t="s">
        <v>152</v>
      </c>
      <c r="I490" s="42"/>
      <c r="J490" s="55" t="s">
        <v>153</v>
      </c>
      <c r="K490" s="42" t="s">
        <v>154</v>
      </c>
      <c r="L490" s="44">
        <v>46108.606249999997</v>
      </c>
      <c r="M490" s="67" t="s">
        <v>72</v>
      </c>
      <c r="N490" s="67" t="s">
        <v>72</v>
      </c>
      <c r="O490" s="44">
        <v>46108.65625</v>
      </c>
      <c r="P490" s="44">
        <v>46108.666666666664</v>
      </c>
      <c r="Q490" s="44">
        <v>46108.697916666664</v>
      </c>
      <c r="R490" s="42"/>
      <c r="S490" s="53" t="s">
        <v>2127</v>
      </c>
      <c r="T490" s="55" t="s">
        <v>164</v>
      </c>
      <c r="U490" s="42"/>
      <c r="V490" s="164" t="s">
        <v>934</v>
      </c>
      <c r="W490" s="42"/>
      <c r="X490" s="42"/>
      <c r="Y490" s="42" t="s">
        <v>158</v>
      </c>
      <c r="Z490" s="42" t="s">
        <v>70</v>
      </c>
      <c r="AA490" s="42"/>
      <c r="AB490" s="42"/>
      <c r="AC490" s="42"/>
      <c r="AD490" s="42"/>
      <c r="AE490" s="54"/>
    </row>
    <row r="491" spans="1:48" ht="15" hidden="1" customHeight="1">
      <c r="A491" s="60">
        <f>ROW() - ROW(Table1[[#Headers],[s]])</f>
        <v>490</v>
      </c>
      <c r="B491" s="42"/>
      <c r="C491" s="51">
        <v>46082</v>
      </c>
      <c r="D491" s="52" t="s">
        <v>2128</v>
      </c>
      <c r="E491" s="42"/>
      <c r="F491" s="42"/>
      <c r="G491" s="43" t="s">
        <v>174</v>
      </c>
      <c r="H491" s="42"/>
      <c r="I491" s="42"/>
      <c r="J491" s="55"/>
      <c r="K491" s="42"/>
      <c r="L491" s="44"/>
      <c r="M491" s="67"/>
      <c r="N491" s="67"/>
      <c r="O491" s="44"/>
      <c r="P491" s="44"/>
      <c r="Q491" s="58"/>
      <c r="R491" s="42"/>
      <c r="S491" s="53"/>
      <c r="T491" s="55"/>
      <c r="U491" s="42"/>
      <c r="V491" s="53"/>
      <c r="W491" s="42"/>
      <c r="X491" s="42"/>
      <c r="Y491" s="42"/>
      <c r="Z491" s="42"/>
      <c r="AA491" s="42"/>
      <c r="AB491" s="42"/>
      <c r="AC491" s="42"/>
      <c r="AD491" s="42"/>
      <c r="AE491" s="54"/>
    </row>
    <row r="492" spans="1:48" ht="15" hidden="1" customHeight="1">
      <c r="A492" s="60">
        <f>ROW() - ROW(Table1[[#Headers],[s]])</f>
        <v>491</v>
      </c>
      <c r="B492" s="42" t="s">
        <v>2129</v>
      </c>
      <c r="C492" s="51">
        <v>46082</v>
      </c>
      <c r="D492" s="52" t="s">
        <v>2130</v>
      </c>
      <c r="E492" s="42" t="s">
        <v>898</v>
      </c>
      <c r="F492" s="42" t="e" vm="25">
        <v>#VALUE!</v>
      </c>
      <c r="G492" s="43" t="s">
        <v>42</v>
      </c>
      <c r="H492" s="42" t="s">
        <v>152</v>
      </c>
      <c r="I492" s="42" t="s">
        <v>43</v>
      </c>
      <c r="J492" s="55" t="s">
        <v>153</v>
      </c>
      <c r="K492" s="42" t="s">
        <v>154</v>
      </c>
      <c r="L492" s="44">
        <v>46108.60833333333</v>
      </c>
      <c r="M492" s="67" t="s">
        <v>72</v>
      </c>
      <c r="N492" s="67" t="s">
        <v>72</v>
      </c>
      <c r="O492" s="44">
        <v>46109.430555555555</v>
      </c>
      <c r="P492" s="44">
        <v>46109.436805555553</v>
      </c>
      <c r="Q492" s="44">
        <v>46109.487500000003</v>
      </c>
      <c r="R492" s="42"/>
      <c r="S492" s="53" t="s">
        <v>2131</v>
      </c>
      <c r="T492" s="55" t="s">
        <v>164</v>
      </c>
      <c r="U492" s="42"/>
      <c r="V492" s="53" t="s">
        <v>2132</v>
      </c>
      <c r="W492" s="42"/>
      <c r="X492" s="42"/>
      <c r="Y492" s="42" t="s">
        <v>158</v>
      </c>
      <c r="Z492" s="42" t="s">
        <v>70</v>
      </c>
      <c r="AA492" s="42"/>
      <c r="AB492" s="42"/>
      <c r="AC492" s="42"/>
      <c r="AD492" s="42"/>
      <c r="AE492" s="54"/>
    </row>
    <row r="493" spans="1:48" ht="15" hidden="1" customHeight="1">
      <c r="A493" s="60">
        <f>ROW() - ROW(Table1[[#Headers],[s]])</f>
        <v>492</v>
      </c>
      <c r="B493" s="42" t="s">
        <v>2133</v>
      </c>
      <c r="C493" s="163">
        <v>46082</v>
      </c>
      <c r="D493" s="52" t="s">
        <v>2134</v>
      </c>
      <c r="E493" s="42" t="e" vm="194">
        <v>#VALUE!</v>
      </c>
      <c r="F493" s="42" t="e" vm="37">
        <v>#VALUE!</v>
      </c>
      <c r="G493" s="43" t="s">
        <v>42</v>
      </c>
      <c r="H493" s="42" t="s">
        <v>152</v>
      </c>
      <c r="I493" s="42" t="s">
        <v>43</v>
      </c>
      <c r="J493" s="55" t="s">
        <v>153</v>
      </c>
      <c r="K493" s="42" t="s">
        <v>154</v>
      </c>
      <c r="L493" s="44">
        <v>46108.805555555555</v>
      </c>
      <c r="M493" s="125" t="s">
        <v>59</v>
      </c>
      <c r="N493" s="125" t="s">
        <v>59</v>
      </c>
      <c r="O493" s="132">
        <v>46110.416666666664</v>
      </c>
      <c r="P493" s="132">
        <v>46110.423611111109</v>
      </c>
      <c r="Q493" s="132">
        <v>46110.513888888891</v>
      </c>
      <c r="R493" s="42"/>
      <c r="S493" s="53" t="s">
        <v>2135</v>
      </c>
      <c r="T493" s="55" t="s">
        <v>164</v>
      </c>
      <c r="U493" s="42"/>
      <c r="V493" s="53" t="s">
        <v>2136</v>
      </c>
      <c r="W493" s="42"/>
      <c r="X493" s="42"/>
      <c r="Y493" s="42" t="s">
        <v>70</v>
      </c>
      <c r="Z493" s="42" t="s">
        <v>67</v>
      </c>
      <c r="AA493" s="42"/>
      <c r="AB493" s="42"/>
      <c r="AC493" s="42"/>
      <c r="AE493" s="54"/>
    </row>
    <row r="494" spans="1:48" ht="15.75" hidden="1" customHeight="1">
      <c r="A494" s="60">
        <f>ROW() - ROW(Table1[[#Headers],[s]])</f>
        <v>493</v>
      </c>
      <c r="B494" s="74" t="s">
        <v>2137</v>
      </c>
      <c r="C494" s="51" t="s">
        <v>60</v>
      </c>
      <c r="D494" s="52" t="s">
        <v>2138</v>
      </c>
      <c r="E494" s="42" t="e" vm="193">
        <v>#VALUE!</v>
      </c>
      <c r="F494" s="42" t="e" vm="19">
        <v>#VALUE!</v>
      </c>
      <c r="G494" s="43" t="s">
        <v>174</v>
      </c>
      <c r="H494" s="42" t="s">
        <v>152</v>
      </c>
      <c r="I494" s="51" t="s">
        <v>60</v>
      </c>
      <c r="J494" s="55" t="s">
        <v>153</v>
      </c>
      <c r="K494" s="42" t="s">
        <v>154</v>
      </c>
      <c r="L494" s="44">
        <v>46108.603472222225</v>
      </c>
      <c r="M494" s="125" t="s">
        <v>507</v>
      </c>
      <c r="N494" s="125" t="s">
        <v>507</v>
      </c>
      <c r="O494" s="56"/>
      <c r="P494" s="57"/>
      <c r="Q494" s="132"/>
      <c r="R494" s="42"/>
      <c r="S494" s="53" t="s">
        <v>2139</v>
      </c>
      <c r="T494" s="55" t="s">
        <v>178</v>
      </c>
      <c r="U494" s="42"/>
      <c r="V494" s="53" t="s">
        <v>2139</v>
      </c>
      <c r="W494" s="42"/>
      <c r="X494" s="42"/>
      <c r="Y494" s="42" t="s">
        <v>179</v>
      </c>
      <c r="Z494" s="42" t="s">
        <v>179</v>
      </c>
      <c r="AA494" s="42"/>
      <c r="AB494" s="42"/>
      <c r="AC494" s="42"/>
      <c r="AD494" s="42"/>
      <c r="AE494" s="54"/>
    </row>
    <row r="495" spans="1:48" ht="15" hidden="1" customHeight="1">
      <c r="A495" s="60">
        <f>ROW() - ROW(Table1[[#Headers],[s]])</f>
        <v>494</v>
      </c>
      <c r="B495" s="42" t="s">
        <v>2140</v>
      </c>
      <c r="C495" s="161" t="s">
        <v>60</v>
      </c>
      <c r="D495" s="190" t="s">
        <v>2141</v>
      </c>
      <c r="E495" s="42" t="e" vm="195">
        <v>#VALUE!</v>
      </c>
      <c r="F495" s="42" t="e" vm="37">
        <v>#VALUE!</v>
      </c>
      <c r="G495" s="43" t="s">
        <v>42</v>
      </c>
      <c r="H495" s="42" t="s">
        <v>152</v>
      </c>
      <c r="I495" s="51" t="s">
        <v>60</v>
      </c>
      <c r="J495" s="55" t="s">
        <v>153</v>
      </c>
      <c r="K495" s="42" t="s">
        <v>154</v>
      </c>
      <c r="L495" s="44">
        <v>46108.838194444441</v>
      </c>
      <c r="M495" s="125" t="s">
        <v>59</v>
      </c>
      <c r="N495" s="125" t="s">
        <v>59</v>
      </c>
      <c r="O495" s="43"/>
      <c r="P495" s="42"/>
      <c r="Q495" s="191"/>
      <c r="R495" s="42"/>
      <c r="S495" s="42" t="s">
        <v>2142</v>
      </c>
      <c r="T495" s="55" t="s">
        <v>164</v>
      </c>
      <c r="U495" s="42"/>
      <c r="V495" s="53"/>
      <c r="W495" s="42"/>
      <c r="X495" s="42"/>
      <c r="Y495" s="42" t="s">
        <v>70</v>
      </c>
      <c r="Z495" s="42" t="s">
        <v>70</v>
      </c>
      <c r="AA495" s="42"/>
      <c r="AB495" s="42"/>
      <c r="AC495" s="42"/>
      <c r="AD495" s="42"/>
      <c r="AE495" s="54"/>
    </row>
    <row r="496" spans="1:48" ht="15" hidden="1" customHeight="1">
      <c r="A496" s="60">
        <f>ROW() - ROW(Table1[[#Headers],[s]])</f>
        <v>495</v>
      </c>
      <c r="B496" s="42" t="s">
        <v>2143</v>
      </c>
      <c r="C496" s="163" t="s">
        <v>60</v>
      </c>
      <c r="D496" s="182" t="s">
        <v>2144</v>
      </c>
      <c r="E496" s="42" t="e" vm="195">
        <v>#VALUE!</v>
      </c>
      <c r="F496" s="42" t="e" vm="37">
        <v>#VALUE!</v>
      </c>
      <c r="G496" s="43" t="s">
        <v>42</v>
      </c>
      <c r="H496" s="42" t="s">
        <v>152</v>
      </c>
      <c r="I496" s="51" t="s">
        <v>60</v>
      </c>
      <c r="J496" s="55" t="s">
        <v>153</v>
      </c>
      <c r="K496" s="42" t="s">
        <v>154</v>
      </c>
      <c r="L496" s="44">
        <v>46108.836111111108</v>
      </c>
      <c r="M496" s="125" t="s">
        <v>59</v>
      </c>
      <c r="N496" s="125" t="s">
        <v>59</v>
      </c>
      <c r="O496" s="56"/>
      <c r="P496" s="57"/>
      <c r="Q496" s="132"/>
      <c r="R496" s="42"/>
      <c r="S496" s="42" t="s">
        <v>2142</v>
      </c>
      <c r="T496" s="55" t="s">
        <v>164</v>
      </c>
      <c r="U496" s="42"/>
      <c r="V496" s="377"/>
      <c r="W496" s="42"/>
      <c r="X496" s="42"/>
      <c r="Y496" s="42" t="s">
        <v>70</v>
      </c>
      <c r="Z496" s="42" t="s">
        <v>70</v>
      </c>
      <c r="AA496" s="42"/>
      <c r="AB496" s="42"/>
      <c r="AC496" s="42"/>
      <c r="AD496" s="42"/>
      <c r="AE496" s="54"/>
    </row>
    <row r="497" spans="1:31" ht="15" hidden="1" customHeight="1">
      <c r="A497" s="60">
        <f>ROW() - ROW(Table1[[#Headers],[s]])</f>
        <v>496</v>
      </c>
      <c r="B497" s="73" t="s">
        <v>2145</v>
      </c>
      <c r="C497" s="163">
        <v>46082</v>
      </c>
      <c r="D497" s="192" t="s">
        <v>2146</v>
      </c>
      <c r="E497" s="42" t="e" vm="195">
        <v>#VALUE!</v>
      </c>
      <c r="F497" s="42" t="e" vm="37">
        <v>#VALUE!</v>
      </c>
      <c r="G497" s="43" t="s">
        <v>42</v>
      </c>
      <c r="H497" s="42" t="s">
        <v>152</v>
      </c>
      <c r="I497" s="160" t="s">
        <v>43</v>
      </c>
      <c r="J497" s="55" t="s">
        <v>153</v>
      </c>
      <c r="K497" s="42" t="s">
        <v>154</v>
      </c>
      <c r="L497" s="44">
        <v>46108.849305555559</v>
      </c>
      <c r="M497" s="125" t="s">
        <v>59</v>
      </c>
      <c r="N497" s="125" t="s">
        <v>59</v>
      </c>
      <c r="O497" s="132">
        <v>46109.496527777781</v>
      </c>
      <c r="P497" s="132">
        <v>46109.5</v>
      </c>
      <c r="Q497" s="132">
        <v>46109.75</v>
      </c>
      <c r="R497" s="42"/>
      <c r="S497" s="42" t="s">
        <v>2142</v>
      </c>
      <c r="T497" s="55" t="s">
        <v>164</v>
      </c>
      <c r="U497" s="42"/>
      <c r="V497" s="377" t="s">
        <v>2147</v>
      </c>
      <c r="W497" s="42"/>
      <c r="X497" s="42"/>
      <c r="Y497" s="42" t="s">
        <v>70</v>
      </c>
      <c r="Z497" s="42" t="s">
        <v>67</v>
      </c>
      <c r="AA497" s="42"/>
      <c r="AB497" s="42"/>
      <c r="AC497" s="42"/>
      <c r="AD497" s="42"/>
      <c r="AE497" s="54"/>
    </row>
    <row r="498" spans="1:31" ht="15" hidden="1" customHeight="1">
      <c r="A498" s="60">
        <f>ROW() - ROW(Table1[[#Headers],[s]])</f>
        <v>497</v>
      </c>
      <c r="B498" s="73" t="s">
        <v>2148</v>
      </c>
      <c r="C498" s="51" t="s">
        <v>60</v>
      </c>
      <c r="D498" s="182" t="s">
        <v>2149</v>
      </c>
      <c r="E498" s="42" t="e" vm="195">
        <v>#VALUE!</v>
      </c>
      <c r="F498" s="42" t="e" vm="37">
        <v>#VALUE!</v>
      </c>
      <c r="G498" s="43" t="s">
        <v>42</v>
      </c>
      <c r="H498" s="42" t="s">
        <v>152</v>
      </c>
      <c r="I498" s="51" t="s">
        <v>60</v>
      </c>
      <c r="J498" s="55" t="s">
        <v>153</v>
      </c>
      <c r="K498" s="42" t="s">
        <v>154</v>
      </c>
      <c r="L498" s="44">
        <v>46108.881944444445</v>
      </c>
      <c r="M498" s="125" t="s">
        <v>59</v>
      </c>
      <c r="N498" s="125" t="s">
        <v>59</v>
      </c>
      <c r="O498" s="44"/>
      <c r="P498" s="44"/>
      <c r="Q498" s="58"/>
      <c r="R498" s="42"/>
      <c r="S498" s="42" t="s">
        <v>2150</v>
      </c>
      <c r="T498" s="55" t="s">
        <v>164</v>
      </c>
      <c r="U498" s="42"/>
      <c r="V498" s="53"/>
      <c r="W498" s="42"/>
      <c r="X498" s="42"/>
      <c r="Y498" s="42" t="s">
        <v>70</v>
      </c>
      <c r="Z498" s="42" t="s">
        <v>70</v>
      </c>
      <c r="AA498" s="42"/>
      <c r="AB498" s="42"/>
      <c r="AC498" s="42"/>
      <c r="AD498" s="42"/>
      <c r="AE498" s="54"/>
    </row>
    <row r="499" spans="1:31" s="29" customFormat="1" ht="15" hidden="1" customHeight="1">
      <c r="A499" s="111">
        <f>ROW() - ROW(Table1[[#Headers],[s]])</f>
        <v>498</v>
      </c>
      <c r="B499" s="122" t="s">
        <v>2151</v>
      </c>
      <c r="C499" s="149">
        <v>46082</v>
      </c>
      <c r="D499" s="150" t="s">
        <v>2152</v>
      </c>
      <c r="E499" s="148" t="e" vm="79">
        <v>#VALUE!</v>
      </c>
      <c r="F499" s="148" t="e" vm="25">
        <v>#VALUE!</v>
      </c>
      <c r="G499" s="114" t="s">
        <v>40</v>
      </c>
      <c r="H499" s="148" t="s">
        <v>747</v>
      </c>
      <c r="I499" s="160" t="s">
        <v>43</v>
      </c>
      <c r="J499" s="153" t="s">
        <v>253</v>
      </c>
      <c r="K499" s="148" t="s">
        <v>2153</v>
      </c>
      <c r="L499" s="151">
        <v>46108.47152777778</v>
      </c>
      <c r="M499" s="153" t="s">
        <v>2154</v>
      </c>
      <c r="N499" s="153" t="s">
        <v>2154</v>
      </c>
      <c r="O499" s="151"/>
      <c r="P499" s="151"/>
      <c r="Q499" s="152"/>
      <c r="R499" s="148"/>
      <c r="S499" s="42" t="s">
        <v>2150</v>
      </c>
      <c r="T499" s="153" t="s">
        <v>164</v>
      </c>
      <c r="U499" s="148"/>
      <c r="V499" s="154"/>
      <c r="W499" s="148"/>
      <c r="X499" s="148"/>
      <c r="Y499" s="148" t="s">
        <v>179</v>
      </c>
      <c r="Z499" s="148" t="s">
        <v>70</v>
      </c>
      <c r="AA499" s="148"/>
      <c r="AB499" s="148"/>
      <c r="AC499" s="148"/>
      <c r="AD499" s="148"/>
      <c r="AE499" s="193"/>
    </row>
    <row r="500" spans="1:31" ht="15" hidden="1" customHeight="1">
      <c r="A500" s="60">
        <f>ROW() - ROW(Table1[[#Headers],[s]])</f>
        <v>499</v>
      </c>
      <c r="B500" s="73" t="s">
        <v>2155</v>
      </c>
      <c r="C500" s="51">
        <v>46082</v>
      </c>
      <c r="D500" s="52" t="s">
        <v>2156</v>
      </c>
      <c r="E500" t="e" vm="196">
        <v>#VALUE!</v>
      </c>
      <c r="F500" s="42" t="e" vm="35">
        <v>#VALUE!</v>
      </c>
      <c r="G500" s="43" t="s">
        <v>42</v>
      </c>
      <c r="H500" s="42" t="s">
        <v>747</v>
      </c>
      <c r="I500" s="160" t="s">
        <v>43</v>
      </c>
      <c r="J500" s="55" t="s">
        <v>253</v>
      </c>
      <c r="K500" s="42" t="s">
        <v>154</v>
      </c>
      <c r="L500" s="44">
        <v>46108.540277777778</v>
      </c>
      <c r="M500" s="55" t="s">
        <v>227</v>
      </c>
      <c r="N500" s="55" t="s">
        <v>2157</v>
      </c>
      <c r="O500" s="44">
        <v>46109.57916666667</v>
      </c>
      <c r="P500" s="44">
        <v>46109.583333333336</v>
      </c>
      <c r="Q500" s="58">
        <v>46109.71597222222</v>
      </c>
      <c r="R500" s="42"/>
      <c r="S500" s="53" t="s">
        <v>1063</v>
      </c>
      <c r="T500" s="55" t="s">
        <v>164</v>
      </c>
      <c r="U500" s="42"/>
      <c r="V500" s="53" t="s">
        <v>2158</v>
      </c>
      <c r="W500" s="42"/>
      <c r="X500" s="42" t="s">
        <v>2159</v>
      </c>
      <c r="Y500" s="42" t="s">
        <v>70</v>
      </c>
      <c r="Z500" s="42" t="s">
        <v>70</v>
      </c>
      <c r="AA500" s="42"/>
      <c r="AB500" s="42"/>
      <c r="AC500" s="42"/>
      <c r="AD500" s="42"/>
      <c r="AE500" s="54"/>
    </row>
    <row r="501" spans="1:31" ht="15" hidden="1" customHeight="1">
      <c r="A501" s="60">
        <f>ROW() - ROW(Table1[[#Headers],[s]])</f>
        <v>500</v>
      </c>
      <c r="B501" s="73" t="s">
        <v>2160</v>
      </c>
      <c r="C501" s="51">
        <v>46082</v>
      </c>
      <c r="D501" s="182" t="s">
        <v>2161</v>
      </c>
      <c r="E501" s="42" t="e" vm="20">
        <v>#VALUE!</v>
      </c>
      <c r="F501" s="42" t="e" vm="21">
        <v>#VALUE!</v>
      </c>
      <c r="G501" s="43" t="s">
        <v>42</v>
      </c>
      <c r="H501" s="42" t="s">
        <v>747</v>
      </c>
      <c r="I501" s="160" t="s">
        <v>43</v>
      </c>
      <c r="J501" s="55" t="s">
        <v>253</v>
      </c>
      <c r="K501" s="42" t="s">
        <v>154</v>
      </c>
      <c r="L501" s="44">
        <v>46108.786805555559</v>
      </c>
      <c r="M501" s="55" t="s">
        <v>39</v>
      </c>
      <c r="N501" s="55" t="s">
        <v>39</v>
      </c>
      <c r="O501" s="44">
        <v>46109.333333333336</v>
      </c>
      <c r="P501" s="44">
        <v>46109.354166666664</v>
      </c>
      <c r="Q501" s="44">
        <v>46110.548611111109</v>
      </c>
      <c r="R501" s="42"/>
      <c r="S501" s="363" t="s">
        <v>2162</v>
      </c>
      <c r="T501" s="55" t="s">
        <v>164</v>
      </c>
      <c r="U501" s="42"/>
      <c r="V501" s="290" t="s">
        <v>2163</v>
      </c>
      <c r="W501" s="42"/>
      <c r="X501" s="42"/>
      <c r="Y501" s="42" t="s">
        <v>70</v>
      </c>
      <c r="Z501" s="42" t="s">
        <v>70</v>
      </c>
      <c r="AA501" s="42"/>
      <c r="AB501" s="42"/>
      <c r="AC501" s="42"/>
      <c r="AD501" s="42"/>
      <c r="AE501" s="54"/>
    </row>
    <row r="502" spans="1:31" ht="15" hidden="1" customHeight="1">
      <c r="A502" s="60">
        <f>ROW() - ROW(Table1[[#Headers],[s]])</f>
        <v>501</v>
      </c>
      <c r="B502" s="73" t="s">
        <v>2164</v>
      </c>
      <c r="C502" s="51">
        <v>46082</v>
      </c>
      <c r="D502" s="52"/>
      <c r="E502" s="42" t="e" vm="130">
        <v>#VALUE!</v>
      </c>
      <c r="F502" s="42" t="e" vm="35">
        <v>#VALUE!</v>
      </c>
      <c r="G502" s="43" t="s">
        <v>174</v>
      </c>
      <c r="H502" s="42" t="s">
        <v>245</v>
      </c>
      <c r="I502" s="42"/>
      <c r="J502" s="55" t="s">
        <v>253</v>
      </c>
      <c r="K502" s="42" t="s">
        <v>154</v>
      </c>
      <c r="L502" s="44">
        <v>46108.48541666667</v>
      </c>
      <c r="M502" s="55" t="s">
        <v>155</v>
      </c>
      <c r="N502" s="55" t="s">
        <v>155</v>
      </c>
      <c r="O502" s="44">
        <v>46108.53125</v>
      </c>
      <c r="P502" s="44">
        <v>46108.5625</v>
      </c>
      <c r="Q502" s="44">
        <v>46108.792361111111</v>
      </c>
      <c r="R502" s="42"/>
      <c r="S502" s="53" t="s">
        <v>1509</v>
      </c>
      <c r="T502" s="18" t="s">
        <v>2165</v>
      </c>
      <c r="U502" s="42"/>
      <c r="V502" s="53" t="s">
        <v>2166</v>
      </c>
      <c r="W502" s="42"/>
      <c r="X502" s="42"/>
      <c r="Y502" s="42" t="s">
        <v>158</v>
      </c>
      <c r="Z502" s="42" t="s">
        <v>67</v>
      </c>
      <c r="AB502" s="42"/>
      <c r="AC502" s="42"/>
      <c r="AD502" s="42"/>
      <c r="AE502" s="54"/>
    </row>
    <row r="503" spans="1:31" ht="15" hidden="1" customHeight="1">
      <c r="A503" s="60">
        <f>ROW() - ROW(Table1[[#Headers],[s]])</f>
        <v>502</v>
      </c>
      <c r="B503" s="73" t="s">
        <v>1258</v>
      </c>
      <c r="C503" s="51">
        <v>46082</v>
      </c>
      <c r="D503" s="73" t="s">
        <v>2167</v>
      </c>
      <c r="E503" s="42" t="e" vm="142">
        <v>#VALUE!</v>
      </c>
      <c r="F503" s="42" t="e" vm="2">
        <v>#VALUE!</v>
      </c>
      <c r="G503" s="43" t="s">
        <v>174</v>
      </c>
      <c r="H503" s="42" t="s">
        <v>747</v>
      </c>
      <c r="I503" s="42"/>
      <c r="J503" s="55" t="s">
        <v>253</v>
      </c>
      <c r="K503" s="42" t="s">
        <v>154</v>
      </c>
      <c r="L503" s="44">
        <v>46108.529861111114</v>
      </c>
      <c r="M503" s="55" t="s">
        <v>162</v>
      </c>
      <c r="N503" s="55" t="s">
        <v>162</v>
      </c>
      <c r="O503" s="44">
        <v>46108.5625</v>
      </c>
      <c r="P503" s="44">
        <v>46108.583333333336</v>
      </c>
      <c r="Q503" s="44">
        <v>46108.740277777775</v>
      </c>
      <c r="R503" s="42"/>
      <c r="S503" s="53" t="s">
        <v>1849</v>
      </c>
      <c r="T503" s="55" t="s">
        <v>266</v>
      </c>
      <c r="U503" s="42"/>
      <c r="V503" s="53" t="s">
        <v>2168</v>
      </c>
      <c r="W503" s="42"/>
      <c r="X503" s="42"/>
      <c r="Y503" s="42" t="s">
        <v>158</v>
      </c>
      <c r="Z503" s="42" t="s">
        <v>67</v>
      </c>
      <c r="AB503" s="42"/>
      <c r="AC503" s="42"/>
      <c r="AD503" s="42"/>
      <c r="AE503" s="54"/>
    </row>
    <row r="504" spans="1:31" s="29" customFormat="1" ht="17.25" hidden="1" customHeight="1">
      <c r="A504" s="111">
        <f>ROW() - ROW(Table1[[#Headers],[s]])</f>
        <v>503</v>
      </c>
      <c r="B504" s="194" t="s">
        <v>2169</v>
      </c>
      <c r="C504" s="149">
        <v>46082</v>
      </c>
      <c r="D504" s="148" t="s">
        <v>2170</v>
      </c>
      <c r="E504" s="148" t="e" vm="138">
        <v>#VALUE!</v>
      </c>
      <c r="F504" s="148" t="e" vm="5">
        <v>#VALUE!</v>
      </c>
      <c r="G504" s="114" t="s">
        <v>42</v>
      </c>
      <c r="H504" s="148" t="s">
        <v>747</v>
      </c>
      <c r="I504" s="42" t="s">
        <v>43</v>
      </c>
      <c r="J504" s="153" t="s">
        <v>2171</v>
      </c>
      <c r="K504" s="148" t="s">
        <v>154</v>
      </c>
      <c r="L504" s="151">
        <v>46109.479166666664</v>
      </c>
      <c r="M504" s="55" t="s">
        <v>55</v>
      </c>
      <c r="N504" s="55" t="s">
        <v>55</v>
      </c>
      <c r="O504" s="151">
        <v>46109.54583333333</v>
      </c>
      <c r="P504" s="151">
        <v>46109.549305555556</v>
      </c>
      <c r="Q504" s="151">
        <v>46109.720138888886</v>
      </c>
      <c r="R504" s="148"/>
      <c r="S504" s="154" t="s">
        <v>2172</v>
      </c>
      <c r="T504" s="153" t="s">
        <v>164</v>
      </c>
      <c r="U504" s="148"/>
      <c r="V504" s="154" t="s">
        <v>2173</v>
      </c>
      <c r="W504" s="148"/>
      <c r="X504" s="148"/>
      <c r="Y504" s="148" t="s">
        <v>158</v>
      </c>
      <c r="Z504" s="148" t="s">
        <v>67</v>
      </c>
      <c r="AB504" s="148"/>
      <c r="AC504" s="148"/>
      <c r="AD504" s="148"/>
      <c r="AE504" s="193"/>
    </row>
    <row r="505" spans="1:31" ht="15" hidden="1" customHeight="1">
      <c r="A505" s="60">
        <f>ROW() - ROW(Table1[[#Headers],[s]])</f>
        <v>504</v>
      </c>
      <c r="B505" s="42" t="s">
        <v>2174</v>
      </c>
      <c r="C505" s="51" t="s">
        <v>60</v>
      </c>
      <c r="D505" s="136" t="s">
        <v>2175</v>
      </c>
      <c r="E505" s="42" t="e" vm="138">
        <v>#VALUE!</v>
      </c>
      <c r="F505" s="42" t="e" vm="5">
        <v>#VALUE!</v>
      </c>
      <c r="G505" s="43" t="s">
        <v>42</v>
      </c>
      <c r="H505" s="42" t="s">
        <v>152</v>
      </c>
      <c r="I505" s="51" t="s">
        <v>60</v>
      </c>
      <c r="J505" s="55" t="s">
        <v>261</v>
      </c>
      <c r="K505" s="42" t="s">
        <v>154</v>
      </c>
      <c r="L505" s="44">
        <v>46109.479166666664</v>
      </c>
      <c r="M505" s="55" t="s">
        <v>55</v>
      </c>
      <c r="N505" s="55" t="s">
        <v>55</v>
      </c>
      <c r="O505" s="44"/>
      <c r="P505" s="44"/>
      <c r="Q505" s="58"/>
      <c r="R505" s="42"/>
      <c r="S505" s="42" t="s">
        <v>2176</v>
      </c>
      <c r="T505" s="55" t="s">
        <v>164</v>
      </c>
      <c r="U505" s="42"/>
      <c r="V505" s="53"/>
      <c r="W505" s="42"/>
      <c r="X505" s="42"/>
      <c r="Y505" s="42" t="s">
        <v>179</v>
      </c>
      <c r="Z505" s="42" t="s">
        <v>70</v>
      </c>
      <c r="AA505" s="42"/>
      <c r="AB505" s="42"/>
      <c r="AC505" s="42"/>
      <c r="AD505" s="42"/>
      <c r="AE505" s="54"/>
    </row>
    <row r="506" spans="1:31" ht="15" hidden="1" customHeight="1">
      <c r="A506" s="60">
        <f>ROW() - ROW(Table1[[#Headers],[s]])</f>
        <v>505</v>
      </c>
      <c r="B506" s="42" t="s">
        <v>2177</v>
      </c>
      <c r="C506" s="51">
        <v>46082</v>
      </c>
      <c r="D506" s="46" t="s">
        <v>2178</v>
      </c>
      <c r="E506" s="42" t="e" vm="197">
        <v>#VALUE!</v>
      </c>
      <c r="F506" s="42" t="e" vm="42">
        <v>#VALUE!</v>
      </c>
      <c r="G506" s="195" t="s">
        <v>42</v>
      </c>
      <c r="H506" s="42" t="s">
        <v>152</v>
      </c>
      <c r="I506" s="42" t="s">
        <v>43</v>
      </c>
      <c r="J506" s="55" t="s">
        <v>153</v>
      </c>
      <c r="K506" s="42" t="s">
        <v>154</v>
      </c>
      <c r="L506" s="44">
        <v>46109.663194444445</v>
      </c>
      <c r="M506" s="55" t="s">
        <v>155</v>
      </c>
      <c r="N506" s="55" t="s">
        <v>155</v>
      </c>
      <c r="O506" s="44">
        <v>46110.416666666664</v>
      </c>
      <c r="P506" s="44">
        <v>46110.458333333336</v>
      </c>
      <c r="Q506" s="44">
        <v>46110.666666666664</v>
      </c>
      <c r="R506" s="42"/>
      <c r="S506" s="53" t="s">
        <v>2179</v>
      </c>
      <c r="T506" s="55" t="s">
        <v>164</v>
      </c>
      <c r="U506" s="42"/>
      <c r="V506" s="164" t="s">
        <v>2180</v>
      </c>
      <c r="W506" s="42"/>
      <c r="X506" s="42"/>
      <c r="Y506" s="42" t="s">
        <v>158</v>
      </c>
      <c r="Z506" s="42" t="s">
        <v>70</v>
      </c>
      <c r="AA506" s="42"/>
      <c r="AB506" s="42"/>
      <c r="AC506" s="42"/>
      <c r="AD506" s="42"/>
      <c r="AE506" s="54"/>
    </row>
    <row r="507" spans="1:31" ht="15" hidden="1" customHeight="1">
      <c r="A507" s="60">
        <f>ROW() - ROW(Table1[[#Headers],[s]])</f>
        <v>506</v>
      </c>
      <c r="B507" s="42" t="s">
        <v>2181</v>
      </c>
      <c r="C507" s="51" t="s">
        <v>60</v>
      </c>
      <c r="D507" s="46" t="s">
        <v>2182</v>
      </c>
      <c r="E507" s="42" t="e" vm="20">
        <v>#VALUE!</v>
      </c>
      <c r="F507" s="42" t="e" vm="21">
        <v>#VALUE!</v>
      </c>
      <c r="G507" s="43" t="s">
        <v>42</v>
      </c>
      <c r="H507" s="42" t="s">
        <v>152</v>
      </c>
      <c r="I507" s="51" t="s">
        <v>60</v>
      </c>
      <c r="J507" s="55" t="s">
        <v>268</v>
      </c>
      <c r="K507" s="42" t="s">
        <v>154</v>
      </c>
      <c r="L507" s="44">
        <v>46109.833333333336</v>
      </c>
      <c r="M507" s="55"/>
      <c r="N507" s="55"/>
      <c r="O507" s="56"/>
      <c r="P507" s="57"/>
      <c r="Q507" s="132"/>
      <c r="R507" s="42"/>
      <c r="S507" s="42" t="s">
        <v>2176</v>
      </c>
      <c r="T507" s="55" t="s">
        <v>164</v>
      </c>
      <c r="U507" s="42"/>
      <c r="V507" s="53"/>
      <c r="W507" s="42"/>
      <c r="X507" s="42"/>
      <c r="Y507" s="42" t="s">
        <v>179</v>
      </c>
      <c r="Z507" s="42" t="s">
        <v>70</v>
      </c>
      <c r="AA507" s="42"/>
      <c r="AB507" s="42"/>
      <c r="AC507" s="42"/>
      <c r="AD507" s="42"/>
      <c r="AE507" s="54"/>
    </row>
    <row r="508" spans="1:31" ht="15" hidden="1" customHeight="1">
      <c r="A508" s="60">
        <f>ROW() - ROW(Table1[[#Headers],[s]])</f>
        <v>507</v>
      </c>
      <c r="B508" s="42" t="s">
        <v>2183</v>
      </c>
      <c r="C508" s="51" t="s">
        <v>60</v>
      </c>
      <c r="D508" s="182" t="s">
        <v>2184</v>
      </c>
      <c r="E508" s="42" t="s">
        <v>150</v>
      </c>
      <c r="F508" s="42" t="e" vm="1">
        <v>#VALUE!</v>
      </c>
      <c r="G508" s="43" t="s">
        <v>42</v>
      </c>
      <c r="H508" s="42" t="s">
        <v>152</v>
      </c>
      <c r="I508" s="51" t="s">
        <v>60</v>
      </c>
      <c r="J508" s="55" t="s">
        <v>153</v>
      </c>
      <c r="K508" s="42" t="s">
        <v>154</v>
      </c>
      <c r="L508" s="44">
        <v>46109.86041666667</v>
      </c>
      <c r="M508" s="55" t="s">
        <v>2185</v>
      </c>
      <c r="N508" s="55" t="s">
        <v>2185</v>
      </c>
      <c r="O508" s="56"/>
      <c r="P508" s="57"/>
      <c r="Q508" s="132"/>
      <c r="R508" s="42"/>
      <c r="S508" s="42" t="s">
        <v>2150</v>
      </c>
      <c r="T508" s="55" t="s">
        <v>164</v>
      </c>
      <c r="U508" s="42"/>
      <c r="V508" s="53"/>
      <c r="W508" s="42"/>
      <c r="X508" s="42"/>
      <c r="Y508" s="42" t="s">
        <v>179</v>
      </c>
      <c r="Z508" s="42" t="s">
        <v>70</v>
      </c>
      <c r="AA508" s="42"/>
      <c r="AB508" s="42"/>
      <c r="AC508" s="42"/>
      <c r="AD508" s="42"/>
      <c r="AE508" s="54"/>
    </row>
    <row r="509" spans="1:31" ht="15" hidden="1" customHeight="1">
      <c r="A509" s="60">
        <f>ROW() - ROW(Table1[[#Headers],[s]])</f>
        <v>508</v>
      </c>
      <c r="B509" s="42" t="s">
        <v>2186</v>
      </c>
      <c r="C509" s="163" t="s">
        <v>60</v>
      </c>
      <c r="D509" s="120" t="s">
        <v>2187</v>
      </c>
      <c r="E509" s="42" t="s">
        <v>150</v>
      </c>
      <c r="F509" s="42" t="e" vm="1">
        <v>#VALUE!</v>
      </c>
      <c r="G509" s="43" t="s">
        <v>42</v>
      </c>
      <c r="H509" s="42" t="s">
        <v>152</v>
      </c>
      <c r="I509" s="51" t="s">
        <v>60</v>
      </c>
      <c r="J509" s="55" t="s">
        <v>153</v>
      </c>
      <c r="K509" s="42" t="s">
        <v>154</v>
      </c>
      <c r="L509" s="44">
        <v>46109.861805555556</v>
      </c>
      <c r="M509" s="55" t="s">
        <v>2185</v>
      </c>
      <c r="N509" s="55" t="s">
        <v>2185</v>
      </c>
      <c r="O509" s="56"/>
      <c r="P509" s="57"/>
      <c r="Q509" s="132"/>
      <c r="R509" s="42"/>
      <c r="S509" s="42" t="s">
        <v>2150</v>
      </c>
      <c r="T509" s="55" t="s">
        <v>164</v>
      </c>
      <c r="U509" s="42"/>
      <c r="V509" s="53"/>
      <c r="W509" s="42"/>
      <c r="X509" s="42"/>
      <c r="Y509" s="42" t="s">
        <v>179</v>
      </c>
      <c r="Z509" s="42" t="s">
        <v>70</v>
      </c>
      <c r="AA509" s="42"/>
      <c r="AB509" s="42"/>
      <c r="AC509" s="42"/>
      <c r="AD509" s="42"/>
      <c r="AE509" s="54"/>
    </row>
    <row r="510" spans="1:31" ht="15" hidden="1" customHeight="1">
      <c r="A510" s="60">
        <f>ROW() - ROW(Table1[[#Headers],[s]])</f>
        <v>509</v>
      </c>
      <c r="B510" s="42" t="s">
        <v>2188</v>
      </c>
      <c r="C510" s="163">
        <v>46082</v>
      </c>
      <c r="D510" s="182" t="s">
        <v>2189</v>
      </c>
      <c r="E510" s="42" t="s">
        <v>150</v>
      </c>
      <c r="F510" s="42" t="e" vm="1">
        <v>#VALUE!</v>
      </c>
      <c r="G510" s="43" t="s">
        <v>42</v>
      </c>
      <c r="H510" s="42" t="s">
        <v>152</v>
      </c>
      <c r="I510" s="42" t="s">
        <v>43</v>
      </c>
      <c r="J510" s="55" t="s">
        <v>153</v>
      </c>
      <c r="K510" s="42" t="s">
        <v>154</v>
      </c>
      <c r="L510" s="44">
        <v>46109.863194444442</v>
      </c>
      <c r="M510" s="55" t="s">
        <v>2185</v>
      </c>
      <c r="N510" s="55" t="s">
        <v>2185</v>
      </c>
      <c r="O510" s="44">
        <v>46110.416666666664</v>
      </c>
      <c r="P510" s="44">
        <v>46110.458333333336</v>
      </c>
      <c r="Q510" s="44">
        <v>46110.625</v>
      </c>
      <c r="R510" s="42"/>
      <c r="S510" s="53" t="s">
        <v>2190</v>
      </c>
      <c r="T510" s="55" t="s">
        <v>164</v>
      </c>
      <c r="U510" s="42"/>
      <c r="V510" s="53" t="s">
        <v>2191</v>
      </c>
      <c r="W510" s="42"/>
      <c r="X510" s="42"/>
      <c r="Y510" s="42" t="s">
        <v>158</v>
      </c>
      <c r="Z510" s="42" t="s">
        <v>67</v>
      </c>
      <c r="AB510" s="42"/>
      <c r="AC510" s="42"/>
      <c r="AD510" s="42"/>
      <c r="AE510" s="54"/>
    </row>
    <row r="511" spans="1:31" ht="15" hidden="1" customHeight="1">
      <c r="A511" s="60">
        <f>ROW() - ROW(Table1[[#Headers],[s]])</f>
        <v>510</v>
      </c>
      <c r="B511" s="42" t="s">
        <v>2192</v>
      </c>
      <c r="C511" s="51">
        <v>46082</v>
      </c>
      <c r="D511" s="42" t="s">
        <v>2193</v>
      </c>
      <c r="E511" s="42" t="e" vm="9">
        <v>#VALUE!</v>
      </c>
      <c r="F511" s="42" t="e" vm="10">
        <v>#VALUE!</v>
      </c>
      <c r="G511" s="43" t="s">
        <v>42</v>
      </c>
      <c r="H511" s="42" t="s">
        <v>152</v>
      </c>
      <c r="I511" s="42" t="s">
        <v>43</v>
      </c>
      <c r="J511" s="55" t="s">
        <v>153</v>
      </c>
      <c r="K511" s="42" t="s">
        <v>154</v>
      </c>
      <c r="L511" s="44">
        <v>46110.647916666669</v>
      </c>
      <c r="M511" s="55" t="s">
        <v>2043</v>
      </c>
      <c r="N511" s="55" t="s">
        <v>78</v>
      </c>
      <c r="O511" s="44">
        <v>46110.847222222219</v>
      </c>
      <c r="P511" s="44">
        <v>46110.862500000003</v>
      </c>
      <c r="Q511" s="44">
        <v>46110.868055555555</v>
      </c>
      <c r="R511" s="42"/>
      <c r="S511" s="53" t="s">
        <v>2194</v>
      </c>
      <c r="T511" s="55" t="s">
        <v>164</v>
      </c>
      <c r="U511" s="42"/>
      <c r="V511" s="53" t="s">
        <v>183</v>
      </c>
      <c r="W511" s="42"/>
      <c r="X511" s="42"/>
      <c r="Y511" s="42" t="s">
        <v>158</v>
      </c>
      <c r="Z511" s="42" t="s">
        <v>70</v>
      </c>
      <c r="AA511" s="42"/>
      <c r="AB511" s="42"/>
      <c r="AC511" s="42"/>
      <c r="AD511" s="42"/>
      <c r="AE511" s="54"/>
    </row>
    <row r="512" spans="1:31" ht="15" hidden="1" customHeight="1">
      <c r="A512" s="60">
        <f>ROW() - ROW(Table1[[#Headers],[s]])</f>
        <v>511</v>
      </c>
      <c r="B512" s="42" t="s">
        <v>2195</v>
      </c>
      <c r="C512" s="163">
        <v>46113</v>
      </c>
      <c r="D512" s="52" t="s">
        <v>2196</v>
      </c>
      <c r="E512" s="42" t="e" vm="161">
        <v>#VALUE!</v>
      </c>
      <c r="F512" s="42" t="e" vm="39">
        <v>#VALUE!</v>
      </c>
      <c r="G512" s="43" t="s">
        <v>36</v>
      </c>
      <c r="H512" s="42" t="s">
        <v>152</v>
      </c>
      <c r="I512" s="42" t="s">
        <v>43</v>
      </c>
      <c r="J512" s="55" t="s">
        <v>153</v>
      </c>
      <c r="K512" s="42" t="s">
        <v>154</v>
      </c>
      <c r="L512" s="44">
        <v>46111.448611111111</v>
      </c>
      <c r="M512" s="55" t="s">
        <v>1275</v>
      </c>
      <c r="N512" s="55" t="s">
        <v>1275</v>
      </c>
      <c r="O512" s="56"/>
      <c r="P512" s="57"/>
      <c r="Q512" s="132">
        <v>46111.760416666664</v>
      </c>
      <c r="R512" s="42"/>
      <c r="S512" s="53" t="s">
        <v>2197</v>
      </c>
      <c r="T512" s="55" t="s">
        <v>164</v>
      </c>
      <c r="U512" s="42"/>
      <c r="V512" s="53" t="s">
        <v>2198</v>
      </c>
      <c r="W512" s="42"/>
      <c r="X512" s="42"/>
      <c r="Y512" s="42" t="s">
        <v>158</v>
      </c>
      <c r="Z512" s="42" t="s">
        <v>70</v>
      </c>
      <c r="AA512" s="42"/>
      <c r="AB512" s="42"/>
      <c r="AC512" s="42"/>
      <c r="AD512" s="42"/>
      <c r="AE512" s="54"/>
    </row>
    <row r="513" spans="1:31" ht="15" hidden="1" customHeight="1">
      <c r="A513" s="60">
        <f>ROW() - ROW(Table1[[#Headers],[s]])</f>
        <v>512</v>
      </c>
      <c r="B513" s="42" t="s">
        <v>2199</v>
      </c>
      <c r="C513" s="51">
        <v>46082</v>
      </c>
      <c r="D513" s="52" t="s">
        <v>2200</v>
      </c>
      <c r="E513" s="42" t="e" vm="198">
        <v>#VALUE!</v>
      </c>
      <c r="F513" s="42" t="e" vm="16">
        <v>#VALUE!</v>
      </c>
      <c r="G513" s="43" t="s">
        <v>36</v>
      </c>
      <c r="H513" s="42" t="s">
        <v>747</v>
      </c>
      <c r="I513" s="42" t="s">
        <v>43</v>
      </c>
      <c r="J513" s="55" t="s">
        <v>253</v>
      </c>
      <c r="K513" s="42" t="s">
        <v>154</v>
      </c>
      <c r="L513" s="44">
        <v>46111.488194444442</v>
      </c>
      <c r="M513" s="55" t="s">
        <v>58</v>
      </c>
      <c r="N513" s="55" t="s">
        <v>58</v>
      </c>
      <c r="O513" s="56"/>
      <c r="P513" s="57"/>
      <c r="Q513" s="132">
        <v>46111.726388888892</v>
      </c>
      <c r="R513" s="42"/>
      <c r="S513" s="53" t="s">
        <v>861</v>
      </c>
      <c r="T513" s="55" t="s">
        <v>164</v>
      </c>
      <c r="U513" s="42"/>
      <c r="V513" s="53" t="s">
        <v>2201</v>
      </c>
      <c r="W513" s="42"/>
      <c r="X513" s="42"/>
      <c r="Y513" s="42" t="s">
        <v>158</v>
      </c>
      <c r="Z513" s="42" t="s">
        <v>279</v>
      </c>
      <c r="AB513" s="42"/>
      <c r="AC513" s="42"/>
      <c r="AD513" s="42"/>
      <c r="AE513" s="54"/>
    </row>
    <row r="514" spans="1:31" ht="15" hidden="1" customHeight="1">
      <c r="A514" s="60">
        <f>ROW() - ROW(Table1[[#Headers],[s]])</f>
        <v>513</v>
      </c>
      <c r="B514" s="42" t="s">
        <v>2202</v>
      </c>
      <c r="C514" s="163">
        <v>46082</v>
      </c>
      <c r="D514" s="52" t="s">
        <v>2203</v>
      </c>
      <c r="E514" s="42" t="e" vm="24">
        <v>#VALUE!</v>
      </c>
      <c r="F514" s="42" t="e" vm="25">
        <v>#VALUE!</v>
      </c>
      <c r="G514" s="43" t="s">
        <v>36</v>
      </c>
      <c r="H514" s="42" t="s">
        <v>152</v>
      </c>
      <c r="I514" s="42" t="s">
        <v>43</v>
      </c>
      <c r="J514" s="55" t="s">
        <v>153</v>
      </c>
      <c r="K514" s="165" t="s">
        <v>154</v>
      </c>
      <c r="L514" s="44">
        <v>46111.52847222222</v>
      </c>
      <c r="M514" s="325" t="s">
        <v>72</v>
      </c>
      <c r="N514" s="325" t="s">
        <v>72</v>
      </c>
      <c r="O514" s="56"/>
      <c r="P514" s="57"/>
      <c r="Q514" s="132">
        <v>46111.576388888891</v>
      </c>
      <c r="R514" s="42"/>
      <c r="S514" s="53" t="s">
        <v>2204</v>
      </c>
      <c r="T514" s="55" t="s">
        <v>164</v>
      </c>
      <c r="U514" s="42"/>
      <c r="V514" s="53" t="s">
        <v>2205</v>
      </c>
      <c r="W514" s="42"/>
      <c r="X514" s="42"/>
      <c r="Y514" s="42" t="s">
        <v>158</v>
      </c>
      <c r="Z514" s="42" t="s">
        <v>70</v>
      </c>
      <c r="AA514" s="42"/>
      <c r="AB514" s="42"/>
      <c r="AC514" s="42"/>
      <c r="AD514" s="42"/>
      <c r="AE514" s="54"/>
    </row>
    <row r="515" spans="1:31" ht="15" hidden="1" customHeight="1">
      <c r="A515" s="60">
        <f>ROW() - ROW(Table1[[#Headers],[s]])</f>
        <v>514</v>
      </c>
      <c r="B515" s="42" t="s">
        <v>2206</v>
      </c>
      <c r="C515" s="51">
        <v>46113</v>
      </c>
      <c r="D515" s="52" t="s">
        <v>2207</v>
      </c>
      <c r="E515" s="42" t="e" vm="81">
        <v>#VALUE!</v>
      </c>
      <c r="F515" s="42" t="e" vm="42">
        <v>#VALUE!</v>
      </c>
      <c r="G515" s="43" t="s">
        <v>42</v>
      </c>
      <c r="H515" s="42" t="s">
        <v>152</v>
      </c>
      <c r="I515" s="42" t="s">
        <v>43</v>
      </c>
      <c r="J515" s="55" t="s">
        <v>153</v>
      </c>
      <c r="K515" s="165" t="s">
        <v>154</v>
      </c>
      <c r="L515" s="44">
        <v>46112.462500000001</v>
      </c>
      <c r="M515" s="55" t="s">
        <v>45</v>
      </c>
      <c r="N515" s="55" t="s">
        <v>45</v>
      </c>
      <c r="O515" s="44">
        <v>46112.601388888892</v>
      </c>
      <c r="P515" s="44">
        <v>46112.601388888892</v>
      </c>
      <c r="Q515" s="44">
        <v>46112.629166666666</v>
      </c>
      <c r="R515" s="42"/>
      <c r="S515" s="53" t="s">
        <v>2208</v>
      </c>
      <c r="T515" s="55" t="s">
        <v>164</v>
      </c>
      <c r="U515" s="42"/>
      <c r="V515" s="53" t="s">
        <v>2209</v>
      </c>
      <c r="W515" s="42"/>
      <c r="X515" s="42"/>
      <c r="Y515" s="42" t="s">
        <v>158</v>
      </c>
      <c r="Z515" s="42" t="s">
        <v>70</v>
      </c>
      <c r="AA515" s="42"/>
      <c r="AB515" s="42"/>
      <c r="AC515" s="42"/>
      <c r="AD515" s="42"/>
      <c r="AE515" s="54"/>
    </row>
    <row r="516" spans="1:31" s="36" customFormat="1" ht="15" hidden="1" customHeight="1">
      <c r="A516" s="60">
        <f>ROW() - ROW(Table1[[#Headers],[s]])</f>
        <v>515</v>
      </c>
      <c r="B516" t="s">
        <v>2210</v>
      </c>
      <c r="C516" s="23" t="s">
        <v>60</v>
      </c>
      <c r="D516" s="19" t="s">
        <v>2211</v>
      </c>
      <c r="E516" s="19" t="e" vm="94">
        <v>#VALUE!</v>
      </c>
      <c r="F516" t="e" vm="17">
        <v>#VALUE!</v>
      </c>
      <c r="G516" s="5" t="s">
        <v>42</v>
      </c>
      <c r="H516" t="s">
        <v>152</v>
      </c>
      <c r="I516" s="5" t="s">
        <v>2091</v>
      </c>
      <c r="J516" s="18" t="s">
        <v>153</v>
      </c>
      <c r="K516" s="42" t="s">
        <v>154</v>
      </c>
      <c r="L516" s="20">
        <v>46112.463888888888</v>
      </c>
      <c r="M516" s="67"/>
      <c r="N516" s="67"/>
      <c r="O516" s="3"/>
      <c r="P516" s="5"/>
      <c r="Q516" s="22">
        <v>46190.541666666664</v>
      </c>
      <c r="R516" s="22"/>
      <c r="S516" s="21" t="s">
        <v>2212</v>
      </c>
      <c r="T516" s="18" t="s">
        <v>164</v>
      </c>
      <c r="U516" s="18"/>
      <c r="V516" s="21" t="s">
        <v>2093</v>
      </c>
      <c r="W516" s="21"/>
      <c r="X516"/>
      <c r="Y516" t="s">
        <v>179</v>
      </c>
      <c r="Z516" t="s">
        <v>179</v>
      </c>
      <c r="AA516"/>
      <c r="AB516"/>
      <c r="AC516"/>
      <c r="AD516"/>
      <c r="AE516"/>
    </row>
    <row r="517" spans="1:31" ht="15" hidden="1" customHeight="1">
      <c r="A517" s="60">
        <f>ROW() - ROW(Table1[[#Headers],[s]])</f>
        <v>516</v>
      </c>
      <c r="B517" s="32" t="s">
        <v>2213</v>
      </c>
      <c r="C517" s="269">
        <v>46113</v>
      </c>
      <c r="D517" s="37" t="s">
        <v>2214</v>
      </c>
      <c r="E517" s="32" t="e" vm="130">
        <v>#VALUE!</v>
      </c>
      <c r="F517" s="42" t="e" vm="35">
        <v>#VALUE!</v>
      </c>
      <c r="G517" s="40" t="s">
        <v>1057</v>
      </c>
      <c r="H517" s="32" t="s">
        <v>747</v>
      </c>
      <c r="I517" s="42" t="s">
        <v>43</v>
      </c>
      <c r="J517" s="326" t="s">
        <v>153</v>
      </c>
      <c r="K517" s="32" t="s">
        <v>154</v>
      </c>
      <c r="L517" s="38">
        <v>46112.48333333333</v>
      </c>
      <c r="M517" s="326" t="s">
        <v>2185</v>
      </c>
      <c r="N517" s="326" t="s">
        <v>2185</v>
      </c>
      <c r="O517" s="38">
        <v>46112.48333333333</v>
      </c>
      <c r="P517" s="38">
        <v>46113.527777777781</v>
      </c>
      <c r="Q517" s="38">
        <v>46113.753472222219</v>
      </c>
      <c r="R517" s="32"/>
      <c r="S517" s="382" t="s">
        <v>1802</v>
      </c>
      <c r="T517" s="32" t="s">
        <v>164</v>
      </c>
      <c r="U517" s="32" t="s">
        <v>2215</v>
      </c>
      <c r="V517" s="382" t="s">
        <v>244</v>
      </c>
      <c r="W517" s="32"/>
      <c r="X517" s="32" t="s">
        <v>2216</v>
      </c>
      <c r="Y517" s="32" t="s">
        <v>70</v>
      </c>
      <c r="Z517" s="32" t="s">
        <v>158</v>
      </c>
      <c r="AA517" s="32"/>
      <c r="AB517" s="32"/>
      <c r="AC517" s="32"/>
      <c r="AD517" s="32"/>
      <c r="AE517" s="39"/>
    </row>
    <row r="518" spans="1:31" ht="15" hidden="1" customHeight="1">
      <c r="A518" s="60">
        <f>ROW() - ROW(Table1[[#Headers],[s]])</f>
        <v>517</v>
      </c>
      <c r="B518" s="42" t="s">
        <v>2217</v>
      </c>
      <c r="C518" s="161" t="s">
        <v>60</v>
      </c>
      <c r="D518" s="52" t="s">
        <v>2218</v>
      </c>
      <c r="E518" s="42" t="e" vm="144">
        <v>#VALUE!</v>
      </c>
      <c r="F518" s="42" t="e" vm="39">
        <v>#VALUE!</v>
      </c>
      <c r="G518" s="43" t="s">
        <v>42</v>
      </c>
      <c r="H518" s="42" t="s">
        <v>747</v>
      </c>
      <c r="I518" s="51" t="s">
        <v>60</v>
      </c>
      <c r="J518" s="55" t="s">
        <v>153</v>
      </c>
      <c r="K518" s="42" t="s">
        <v>2219</v>
      </c>
      <c r="L518" s="44">
        <v>46112.881944444445</v>
      </c>
      <c r="M518" s="55"/>
      <c r="N518" s="55"/>
      <c r="O518" s="43"/>
      <c r="P518" s="42"/>
      <c r="Q518" s="58"/>
      <c r="R518" s="42"/>
      <c r="S518" s="53" t="s">
        <v>2220</v>
      </c>
      <c r="T518" s="55" t="s">
        <v>164</v>
      </c>
      <c r="U518" s="42"/>
      <c r="V518" s="53"/>
      <c r="W518" s="42"/>
      <c r="X518" s="42"/>
      <c r="Y518" s="42" t="s">
        <v>179</v>
      </c>
      <c r="Z518" s="42" t="s">
        <v>179</v>
      </c>
      <c r="AA518" s="42"/>
      <c r="AB518" s="42"/>
      <c r="AC518" s="42"/>
      <c r="AD518" s="42"/>
      <c r="AE518" s="54"/>
    </row>
    <row r="519" spans="1:31" ht="15" hidden="1" customHeight="1">
      <c r="A519" s="60">
        <f>ROW() - ROW(Table1[[#Headers],[s]])</f>
        <v>518</v>
      </c>
      <c r="B519" s="162" t="s">
        <v>2221</v>
      </c>
      <c r="C519" s="51">
        <v>46113</v>
      </c>
      <c r="D519" s="52" t="s">
        <v>2222</v>
      </c>
      <c r="E519" s="42" t="e" vm="110">
        <v>#VALUE!</v>
      </c>
      <c r="F519" s="42" t="e" vm="49">
        <v>#VALUE!</v>
      </c>
      <c r="G519" s="43" t="s">
        <v>42</v>
      </c>
      <c r="H519" s="42" t="s">
        <v>747</v>
      </c>
      <c r="I519" s="42" t="s">
        <v>43</v>
      </c>
      <c r="J519" s="55" t="s">
        <v>153</v>
      </c>
      <c r="K519" s="165" t="s">
        <v>154</v>
      </c>
      <c r="L519" s="44">
        <v>46112.92291666667</v>
      </c>
      <c r="M519" s="55" t="s">
        <v>44</v>
      </c>
      <c r="N519" s="55" t="s">
        <v>44</v>
      </c>
      <c r="O519" s="44">
        <v>46113.018055555556</v>
      </c>
      <c r="P519" s="44">
        <v>46113.018055555556</v>
      </c>
      <c r="Q519" s="58">
        <v>46113.05972222222</v>
      </c>
      <c r="R519" s="42"/>
      <c r="S519" s="53" t="s">
        <v>2223</v>
      </c>
      <c r="T519" s="55" t="s">
        <v>164</v>
      </c>
      <c r="U519" s="42"/>
      <c r="V519" s="53" t="s">
        <v>2224</v>
      </c>
      <c r="W519" s="42"/>
      <c r="X519" s="42"/>
      <c r="Y519" s="42" t="s">
        <v>158</v>
      </c>
      <c r="Z519" s="42" t="s">
        <v>70</v>
      </c>
      <c r="AA519" s="42"/>
      <c r="AB519" s="42"/>
      <c r="AC519" s="42"/>
      <c r="AD519" s="42"/>
      <c r="AE519" s="54"/>
    </row>
    <row r="520" spans="1:31" ht="15" hidden="1" customHeight="1">
      <c r="A520" s="60">
        <f>ROW() - ROW(Table1[[#Headers],[s]])</f>
        <v>519</v>
      </c>
      <c r="B520" s="32" t="s">
        <v>2225</v>
      </c>
      <c r="C520" s="269">
        <v>46113</v>
      </c>
      <c r="D520" s="32" t="s">
        <v>2226</v>
      </c>
      <c r="E520" s="32" t="e" vm="199">
        <v>#VALUE!</v>
      </c>
      <c r="F520" s="42" t="e" vm="1">
        <v>#VALUE!</v>
      </c>
      <c r="G520" s="43" t="s">
        <v>1057</v>
      </c>
      <c r="H520" s="32" t="s">
        <v>152</v>
      </c>
      <c r="I520" s="42" t="s">
        <v>43</v>
      </c>
      <c r="J520" s="326" t="s">
        <v>153</v>
      </c>
      <c r="K520" s="41" t="s">
        <v>154</v>
      </c>
      <c r="L520" s="38">
        <v>46113.62777777778</v>
      </c>
      <c r="M520" s="326" t="s">
        <v>1937</v>
      </c>
      <c r="N520" s="326" t="s">
        <v>1937</v>
      </c>
      <c r="O520" s="38">
        <v>46113.756944444445</v>
      </c>
      <c r="P520" s="38">
        <v>46113.763888888891</v>
      </c>
      <c r="Q520" s="38">
        <v>46114.375</v>
      </c>
      <c r="R520" s="32"/>
      <c r="S520" s="382" t="s">
        <v>2227</v>
      </c>
      <c r="T520" s="32" t="s">
        <v>1845</v>
      </c>
      <c r="U520" s="32" t="s">
        <v>2228</v>
      </c>
      <c r="V520" s="382" t="s">
        <v>2229</v>
      </c>
      <c r="W520" s="32"/>
      <c r="X520" s="32"/>
      <c r="Y520" s="32" t="s">
        <v>158</v>
      </c>
      <c r="Z520" s="32" t="s">
        <v>158</v>
      </c>
      <c r="AA520" s="32"/>
      <c r="AB520" s="32"/>
      <c r="AC520" s="32"/>
      <c r="AD520" s="32"/>
      <c r="AE520" s="39"/>
    </row>
    <row r="521" spans="1:31" ht="15" hidden="1" customHeight="1">
      <c r="A521" s="60">
        <f>ROW() - ROW(Table1[[#Headers],[s]])</f>
        <v>520</v>
      </c>
      <c r="B521" s="32" t="s">
        <v>2230</v>
      </c>
      <c r="C521" s="283">
        <v>46113</v>
      </c>
      <c r="D521" s="32" t="s">
        <v>2231</v>
      </c>
      <c r="E521" s="32" t="e" vm="67">
        <v>#VALUE!</v>
      </c>
      <c r="F521" s="42" t="e" vm="21">
        <v>#VALUE!</v>
      </c>
      <c r="G521" s="43" t="s">
        <v>1057</v>
      </c>
      <c r="H521" s="32" t="s">
        <v>152</v>
      </c>
      <c r="I521" s="42" t="s">
        <v>43</v>
      </c>
      <c r="J521" s="326" t="s">
        <v>153</v>
      </c>
      <c r="K521" s="41" t="s">
        <v>154</v>
      </c>
      <c r="L521" s="38">
        <v>46113.680555555555</v>
      </c>
      <c r="M521" s="326" t="s">
        <v>39</v>
      </c>
      <c r="N521" s="326" t="s">
        <v>39</v>
      </c>
      <c r="O521" s="38">
        <v>46113.708333333336</v>
      </c>
      <c r="P521" s="38">
        <v>46113.732638888891</v>
      </c>
      <c r="Q521" s="38">
        <v>46113.802083333336</v>
      </c>
      <c r="R521" s="32"/>
      <c r="S521" s="382" t="s">
        <v>2232</v>
      </c>
      <c r="T521" s="32" t="s">
        <v>164</v>
      </c>
      <c r="U521" s="32" t="s">
        <v>2233</v>
      </c>
      <c r="V521" s="382" t="s">
        <v>2234</v>
      </c>
      <c r="W521" s="280"/>
      <c r="X521" s="280"/>
      <c r="Y521" s="32" t="s">
        <v>158</v>
      </c>
      <c r="Z521" s="32" t="s">
        <v>70</v>
      </c>
      <c r="AA521" s="32"/>
      <c r="AB521" s="32"/>
      <c r="AC521" s="32"/>
      <c r="AD521" s="32"/>
      <c r="AE521" s="39"/>
    </row>
    <row r="522" spans="1:31" ht="15" hidden="1" customHeight="1">
      <c r="A522" s="60">
        <f>ROW() - ROW(Table1[[#Headers],[s]])</f>
        <v>521</v>
      </c>
      <c r="B522" s="32" t="s">
        <v>2235</v>
      </c>
      <c r="C522" s="269">
        <v>46113</v>
      </c>
      <c r="D522" s="32" t="s">
        <v>2236</v>
      </c>
      <c r="E522" s="32" t="e" vm="69">
        <v>#VALUE!</v>
      </c>
      <c r="F522" s="42" t="e" vm="2">
        <v>#VALUE!</v>
      </c>
      <c r="G522" s="43" t="s">
        <v>1057</v>
      </c>
      <c r="H522" s="32" t="s">
        <v>152</v>
      </c>
      <c r="I522" s="42" t="s">
        <v>43</v>
      </c>
      <c r="J522" s="326" t="s">
        <v>153</v>
      </c>
      <c r="K522" s="41" t="s">
        <v>154</v>
      </c>
      <c r="L522" s="38">
        <v>46113.630555555559</v>
      </c>
      <c r="M522" s="326" t="s">
        <v>162</v>
      </c>
      <c r="N522" s="326" t="s">
        <v>162</v>
      </c>
      <c r="O522" s="38">
        <v>46113.75</v>
      </c>
      <c r="P522" s="38">
        <v>46113.760416666664</v>
      </c>
      <c r="Q522" s="38">
        <v>46113.802083333336</v>
      </c>
      <c r="R522" s="32"/>
      <c r="S522" s="382" t="s">
        <v>1607</v>
      </c>
      <c r="T522" s="32" t="s">
        <v>1608</v>
      </c>
      <c r="U522" s="32" t="s">
        <v>2237</v>
      </c>
      <c r="V522" s="395" t="s">
        <v>2238</v>
      </c>
      <c r="W522" s="32"/>
      <c r="X522" s="32"/>
      <c r="Y522" s="32" t="s">
        <v>158</v>
      </c>
      <c r="Z522" s="32" t="s">
        <v>70</v>
      </c>
      <c r="AA522" s="32"/>
      <c r="AB522" s="32"/>
      <c r="AC522" s="32"/>
      <c r="AD522" s="32"/>
      <c r="AE522" s="39"/>
    </row>
    <row r="523" spans="1:31" ht="15" hidden="1" customHeight="1">
      <c r="A523" s="60">
        <f>ROW() - ROW(Table1[[#Headers],[s]])</f>
        <v>522</v>
      </c>
      <c r="B523" s="32" t="s">
        <v>1719</v>
      </c>
      <c r="C523" s="269">
        <v>46113</v>
      </c>
      <c r="D523" s="32" t="s">
        <v>2239</v>
      </c>
      <c r="E523" s="32" t="e" vm="94">
        <v>#VALUE!</v>
      </c>
      <c r="F523" s="42" t="e" vm="17">
        <v>#VALUE!</v>
      </c>
      <c r="G523" s="43" t="s">
        <v>1057</v>
      </c>
      <c r="H523" s="32" t="s">
        <v>152</v>
      </c>
      <c r="I523" s="42" t="s">
        <v>43</v>
      </c>
      <c r="J523" s="326" t="s">
        <v>153</v>
      </c>
      <c r="K523" s="284" t="s">
        <v>154</v>
      </c>
      <c r="L523" s="38">
        <v>46113.629861111112</v>
      </c>
      <c r="M523" s="55" t="s">
        <v>155</v>
      </c>
      <c r="N523" s="55" t="s">
        <v>155</v>
      </c>
      <c r="O523" s="38">
        <v>46114.409722222219</v>
      </c>
      <c r="P523" s="285">
        <v>46114.416666666664</v>
      </c>
      <c r="Q523" s="285">
        <v>46114.479166666664</v>
      </c>
      <c r="R523" s="32"/>
      <c r="S523" s="382" t="s">
        <v>373</v>
      </c>
      <c r="T523" s="286" t="s">
        <v>164</v>
      </c>
      <c r="U523" s="32" t="s">
        <v>373</v>
      </c>
      <c r="V523" s="382" t="s">
        <v>2240</v>
      </c>
      <c r="W523" s="32"/>
      <c r="X523" s="32"/>
      <c r="Y523" s="32" t="s">
        <v>158</v>
      </c>
      <c r="Z523" s="32" t="s">
        <v>70</v>
      </c>
      <c r="AA523" s="32"/>
      <c r="AB523" s="32"/>
      <c r="AC523" s="32"/>
      <c r="AD523" s="32"/>
      <c r="AE523" s="39"/>
    </row>
    <row r="524" spans="1:31" ht="15" hidden="1" customHeight="1">
      <c r="A524" s="60">
        <f>ROW() - ROW(Table1[[#Headers],[s]])</f>
        <v>523</v>
      </c>
      <c r="B524" s="286" t="s">
        <v>2241</v>
      </c>
      <c r="C524" s="287">
        <v>46113</v>
      </c>
      <c r="D524" s="286" t="s">
        <v>2242</v>
      </c>
      <c r="E524" s="286" t="e" vm="138">
        <v>#VALUE!</v>
      </c>
      <c r="F524" s="42" t="e" vm="5">
        <v>#VALUE!</v>
      </c>
      <c r="G524" s="43" t="s">
        <v>1057</v>
      </c>
      <c r="H524" s="286" t="s">
        <v>747</v>
      </c>
      <c r="I524" s="42" t="s">
        <v>43</v>
      </c>
      <c r="J524" s="337" t="s">
        <v>153</v>
      </c>
      <c r="K524" s="284" t="s">
        <v>154</v>
      </c>
      <c r="L524" s="285">
        <v>46113.644444444442</v>
      </c>
      <c r="M524" s="55" t="s">
        <v>55</v>
      </c>
      <c r="N524" s="55" t="s">
        <v>55</v>
      </c>
      <c r="O524" s="285">
        <v>46113.673611111109</v>
      </c>
      <c r="P524" s="285">
        <v>46113.6875</v>
      </c>
      <c r="Q524" s="285">
        <v>46113.708333333336</v>
      </c>
      <c r="R524" s="286"/>
      <c r="S524" s="383" t="s">
        <v>1191</v>
      </c>
      <c r="T524" s="286" t="s">
        <v>164</v>
      </c>
      <c r="U524" s="286" t="s">
        <v>2243</v>
      </c>
      <c r="V524" s="383" t="s">
        <v>2244</v>
      </c>
      <c r="W524" s="280"/>
      <c r="X524" s="286"/>
      <c r="Y524" s="286" t="s">
        <v>158</v>
      </c>
      <c r="Z524" s="286" t="s">
        <v>70</v>
      </c>
      <c r="AA524" s="286"/>
      <c r="AB524" s="286"/>
      <c r="AC524" s="286"/>
      <c r="AD524" s="286"/>
      <c r="AE524" s="288"/>
    </row>
    <row r="525" spans="1:31" ht="15" hidden="1" customHeight="1">
      <c r="A525" s="60">
        <f>ROW() - ROW(Table1[[#Headers],[s]])</f>
        <v>524</v>
      </c>
      <c r="B525" s="196" t="s">
        <v>2245</v>
      </c>
      <c r="C525" s="277">
        <v>46113</v>
      </c>
      <c r="D525" s="197" t="s">
        <v>2246</v>
      </c>
      <c r="E525" s="196" t="e" vm="64">
        <v>#VALUE!</v>
      </c>
      <c r="F525" s="42" t="e" vm="26">
        <v>#VALUE!</v>
      </c>
      <c r="G525" s="43" t="s">
        <v>42</v>
      </c>
      <c r="H525" s="196" t="s">
        <v>152</v>
      </c>
      <c r="I525" s="196" t="s">
        <v>43</v>
      </c>
      <c r="J525" s="199" t="s">
        <v>153</v>
      </c>
      <c r="K525" s="196" t="s">
        <v>154</v>
      </c>
      <c r="L525" s="198">
        <v>46114.427777777775</v>
      </c>
      <c r="M525" s="199" t="s">
        <v>2247</v>
      </c>
      <c r="N525" s="199" t="s">
        <v>2247</v>
      </c>
      <c r="O525" s="198">
        <v>46114.534722222219</v>
      </c>
      <c r="P525" s="198">
        <v>46114.536805555559</v>
      </c>
      <c r="Q525" s="198">
        <v>46114.546527777777</v>
      </c>
      <c r="R525" s="196"/>
      <c r="S525" s="384" t="s">
        <v>2248</v>
      </c>
      <c r="T525" s="199" t="s">
        <v>164</v>
      </c>
      <c r="U525" s="196"/>
      <c r="V525" s="384" t="s">
        <v>2249</v>
      </c>
      <c r="W525" s="42"/>
      <c r="X525" s="196"/>
      <c r="Y525" s="196" t="s">
        <v>158</v>
      </c>
      <c r="Z525" s="196" t="s">
        <v>70</v>
      </c>
      <c r="AA525" s="196"/>
      <c r="AB525" s="196"/>
      <c r="AC525" s="196"/>
      <c r="AD525" s="196"/>
      <c r="AE525" s="200"/>
    </row>
    <row r="526" spans="1:31" ht="15" hidden="1" customHeight="1">
      <c r="A526" s="60">
        <f>ROW() - ROW(Table1[[#Headers],[s]])</f>
        <v>525</v>
      </c>
      <c r="B526" s="42" t="s">
        <v>2250</v>
      </c>
      <c r="C526" s="51">
        <v>46113</v>
      </c>
      <c r="D526" s="52" t="s">
        <v>2251</v>
      </c>
      <c r="E526" s="42" t="e" vm="9">
        <v>#VALUE!</v>
      </c>
      <c r="F526" s="42" t="e" vm="10">
        <v>#VALUE!</v>
      </c>
      <c r="G526" s="43" t="s">
        <v>174</v>
      </c>
      <c r="H526" s="42" t="s">
        <v>152</v>
      </c>
      <c r="I526" s="42"/>
      <c r="J526" s="55" t="s">
        <v>153</v>
      </c>
      <c r="K526" s="42" t="s">
        <v>154</v>
      </c>
      <c r="L526" s="44">
        <v>46114.434027777781</v>
      </c>
      <c r="M526" s="55" t="s">
        <v>78</v>
      </c>
      <c r="N526" s="55" t="s">
        <v>78</v>
      </c>
      <c r="O526" s="44">
        <v>46114.489583333336</v>
      </c>
      <c r="P526" s="44">
        <v>46114.520833333336</v>
      </c>
      <c r="Q526" s="44">
        <v>46114.559027777781</v>
      </c>
      <c r="R526" s="42"/>
      <c r="S526" s="53" t="s">
        <v>1077</v>
      </c>
      <c r="T526" s="55" t="s">
        <v>164</v>
      </c>
      <c r="U526" s="42"/>
      <c r="V526" s="53" t="s">
        <v>1078</v>
      </c>
      <c r="W526" s="42"/>
      <c r="X526" s="42"/>
      <c r="Y526" s="42" t="s">
        <v>158</v>
      </c>
      <c r="Z526" s="42" t="s">
        <v>70</v>
      </c>
      <c r="AA526" s="42"/>
      <c r="AB526" s="42"/>
      <c r="AC526" s="42"/>
      <c r="AD526" s="42"/>
      <c r="AE526" s="54"/>
    </row>
    <row r="527" spans="1:31" ht="15" hidden="1" customHeight="1">
      <c r="A527" s="60">
        <f>ROW() - ROW(Table1[[#Headers],[s]])</f>
        <v>526</v>
      </c>
      <c r="B527" s="162" t="s">
        <v>2252</v>
      </c>
      <c r="C527" s="51">
        <v>46113</v>
      </c>
      <c r="D527" s="42" t="s">
        <v>2253</v>
      </c>
      <c r="E527" s="42" t="s">
        <v>898</v>
      </c>
      <c r="F527" s="42" t="e" vm="16">
        <v>#VALUE!</v>
      </c>
      <c r="G527" s="43" t="s">
        <v>174</v>
      </c>
      <c r="H527" s="42" t="s">
        <v>245</v>
      </c>
      <c r="I527" s="42"/>
      <c r="J527" s="55" t="s">
        <v>253</v>
      </c>
      <c r="K527" s="42" t="s">
        <v>2254</v>
      </c>
      <c r="L527" s="44">
        <v>46114.470138888886</v>
      </c>
      <c r="M527" s="55" t="s">
        <v>58</v>
      </c>
      <c r="N527" s="55" t="s">
        <v>58</v>
      </c>
      <c r="O527" s="44">
        <v>46114.524305555555</v>
      </c>
      <c r="P527" s="44">
        <v>46114.565972222219</v>
      </c>
      <c r="Q527" s="58">
        <v>46114.686111111114</v>
      </c>
      <c r="R527" s="42"/>
      <c r="S527" s="53" t="s">
        <v>2255</v>
      </c>
      <c r="T527" s="55" t="s">
        <v>2256</v>
      </c>
      <c r="U527" s="42"/>
      <c r="V527" s="53" t="s">
        <v>2257</v>
      </c>
      <c r="W527" s="42"/>
      <c r="X527" s="42"/>
      <c r="Y527" s="42" t="s">
        <v>158</v>
      </c>
      <c r="Z527" s="42" t="s">
        <v>158</v>
      </c>
      <c r="AA527" s="42"/>
      <c r="AB527" s="42"/>
      <c r="AC527" s="42"/>
      <c r="AD527" s="42"/>
      <c r="AE527" s="54"/>
    </row>
    <row r="528" spans="1:31" ht="15" hidden="1" customHeight="1">
      <c r="A528" s="60">
        <f>ROW() - ROW(Table1[[#Headers],[s]])</f>
        <v>527</v>
      </c>
      <c r="B528" s="42" t="s">
        <v>2258</v>
      </c>
      <c r="C528" s="51">
        <v>46113</v>
      </c>
      <c r="D528" s="42" t="s">
        <v>2259</v>
      </c>
      <c r="E528" s="42" t="e" vm="90">
        <v>#VALUE!</v>
      </c>
      <c r="F528" s="42" t="e" vm="25">
        <v>#VALUE!</v>
      </c>
      <c r="G528" s="43" t="s">
        <v>174</v>
      </c>
      <c r="H528" s="42" t="s">
        <v>152</v>
      </c>
      <c r="I528" s="42"/>
      <c r="J528" s="55" t="s">
        <v>153</v>
      </c>
      <c r="K528" s="42" t="s">
        <v>154</v>
      </c>
      <c r="L528" s="44">
        <v>46114.477083333331</v>
      </c>
      <c r="M528" s="55" t="s">
        <v>72</v>
      </c>
      <c r="N528" s="55" t="s">
        <v>72</v>
      </c>
      <c r="O528" s="44">
        <v>46114.53125</v>
      </c>
      <c r="P528" s="44">
        <v>46114.572916666664</v>
      </c>
      <c r="Q528" s="44">
        <v>46114.604166666664</v>
      </c>
      <c r="R528" s="162" t="s">
        <v>2260</v>
      </c>
      <c r="S528" s="53" t="s">
        <v>2261</v>
      </c>
      <c r="T528" s="55" t="s">
        <v>164</v>
      </c>
      <c r="U528" s="42"/>
      <c r="V528" s="53" t="s">
        <v>2262</v>
      </c>
      <c r="W528" s="42"/>
      <c r="X528" s="42"/>
      <c r="Y528" s="42" t="s">
        <v>158</v>
      </c>
      <c r="Z528" s="42" t="s">
        <v>70</v>
      </c>
      <c r="AA528" s="42"/>
      <c r="AB528" s="42"/>
      <c r="AC528" s="42"/>
      <c r="AD528" s="42"/>
      <c r="AE528" s="54"/>
    </row>
    <row r="529" spans="1:31" ht="15" hidden="1" customHeight="1">
      <c r="A529" s="60">
        <f>ROW() - ROW(Table1[[#Headers],[s]])</f>
        <v>528</v>
      </c>
      <c r="B529" s="42" t="s">
        <v>2263</v>
      </c>
      <c r="C529" s="51">
        <v>46113</v>
      </c>
      <c r="D529" s="42" t="s">
        <v>2264</v>
      </c>
      <c r="E529" s="42" t="e" vm="9">
        <v>#VALUE!</v>
      </c>
      <c r="F529" s="42" t="e" vm="10">
        <v>#VALUE!</v>
      </c>
      <c r="G529" s="43" t="s">
        <v>174</v>
      </c>
      <c r="H529" s="42" t="s">
        <v>152</v>
      </c>
      <c r="I529" s="42"/>
      <c r="J529" s="55" t="s">
        <v>153</v>
      </c>
      <c r="K529" s="42" t="s">
        <v>154</v>
      </c>
      <c r="L529" s="44">
        <v>46114.478472222225</v>
      </c>
      <c r="M529" s="55" t="s">
        <v>78</v>
      </c>
      <c r="N529" s="55" t="s">
        <v>78</v>
      </c>
      <c r="O529" s="44">
        <v>46114.552083333336</v>
      </c>
      <c r="P529" s="44">
        <v>46114.572916666664</v>
      </c>
      <c r="Q529" s="44">
        <v>46114.604166666664</v>
      </c>
      <c r="R529" s="42"/>
      <c r="S529" s="53" t="s">
        <v>2265</v>
      </c>
      <c r="T529" s="55" t="s">
        <v>2266</v>
      </c>
      <c r="U529" s="42"/>
      <c r="V529" s="53" t="s">
        <v>2267</v>
      </c>
      <c r="W529" s="42"/>
      <c r="X529" s="42"/>
      <c r="Y529" s="42" t="s">
        <v>158</v>
      </c>
      <c r="Z529" s="42" t="s">
        <v>70</v>
      </c>
      <c r="AA529" s="42"/>
      <c r="AB529" s="42"/>
      <c r="AC529" s="42"/>
      <c r="AD529" s="42"/>
      <c r="AE529" s="54"/>
    </row>
    <row r="530" spans="1:31" ht="15" hidden="1" customHeight="1">
      <c r="A530" s="60">
        <f>ROW() - ROW(Table1[[#Headers],[s]])</f>
        <v>529</v>
      </c>
      <c r="B530" s="42" t="s">
        <v>2268</v>
      </c>
      <c r="C530" s="51">
        <v>46113</v>
      </c>
      <c r="D530" s="42" t="s">
        <v>2269</v>
      </c>
      <c r="E530" s="42" t="e" vm="20">
        <v>#VALUE!</v>
      </c>
      <c r="F530" s="42" t="e" vm="21">
        <v>#VALUE!</v>
      </c>
      <c r="G530" s="43" t="s">
        <v>174</v>
      </c>
      <c r="H530" s="42" t="s">
        <v>152</v>
      </c>
      <c r="I530" s="42"/>
      <c r="J530" s="55" t="s">
        <v>153</v>
      </c>
      <c r="K530" s="42" t="s">
        <v>154</v>
      </c>
      <c r="L530" s="44">
        <v>46114.482638888891</v>
      </c>
      <c r="M530" s="55" t="s">
        <v>39</v>
      </c>
      <c r="N530" s="55" t="s">
        <v>39</v>
      </c>
      <c r="O530" s="44">
        <v>46114.53125</v>
      </c>
      <c r="P530" s="44">
        <v>46114.555555555555</v>
      </c>
      <c r="Q530" s="44">
        <v>46114.583333333336</v>
      </c>
      <c r="R530" s="42"/>
      <c r="S530" s="53" t="s">
        <v>1077</v>
      </c>
      <c r="T530" s="55" t="s">
        <v>164</v>
      </c>
      <c r="U530" s="42"/>
      <c r="V530" s="53" t="s">
        <v>1078</v>
      </c>
      <c r="W530" s="42"/>
      <c r="X530" s="42"/>
      <c r="Y530" s="42" t="s">
        <v>158</v>
      </c>
      <c r="Z530" s="42" t="s">
        <v>70</v>
      </c>
      <c r="AA530" s="42"/>
      <c r="AB530" s="42"/>
      <c r="AC530" s="42"/>
      <c r="AD530" s="42"/>
      <c r="AE530" s="54"/>
    </row>
    <row r="531" spans="1:31" ht="15" hidden="1" customHeight="1">
      <c r="A531" s="60">
        <f>ROW() - ROW(Table1[[#Headers],[s]])</f>
        <v>530</v>
      </c>
      <c r="B531" s="236" t="s">
        <v>2270</v>
      </c>
      <c r="C531" s="51">
        <v>46113</v>
      </c>
      <c r="D531" s="52" t="s">
        <v>2271</v>
      </c>
      <c r="E531" s="42" t="e" vm="200">
        <v>#VALUE!</v>
      </c>
      <c r="F531" s="42" t="e" vm="17">
        <v>#VALUE!</v>
      </c>
      <c r="G531" s="43" t="s">
        <v>200</v>
      </c>
      <c r="H531" s="42" t="s">
        <v>152</v>
      </c>
      <c r="I531" s="42" t="s">
        <v>43</v>
      </c>
      <c r="J531" s="55" t="s">
        <v>153</v>
      </c>
      <c r="K531" s="42" t="s">
        <v>154</v>
      </c>
      <c r="L531" s="44">
        <v>46114.80972222222</v>
      </c>
      <c r="M531" s="55" t="s">
        <v>2272</v>
      </c>
      <c r="N531" s="55" t="s">
        <v>2272</v>
      </c>
      <c r="O531" s="56">
        <v>46115.416666666664</v>
      </c>
      <c r="P531" s="57">
        <v>46115.416666666664</v>
      </c>
      <c r="Q531" s="58">
        <v>46115.5625</v>
      </c>
      <c r="R531" s="42"/>
      <c r="S531" s="53" t="s">
        <v>2273</v>
      </c>
      <c r="T531" s="55" t="s">
        <v>164</v>
      </c>
      <c r="U531" s="42"/>
      <c r="V531" s="53" t="s">
        <v>2274</v>
      </c>
      <c r="W531" s="42"/>
      <c r="X531" s="42"/>
      <c r="Y531" s="42" t="s">
        <v>203</v>
      </c>
      <c r="Z531" s="42" t="s">
        <v>158</v>
      </c>
      <c r="AA531" s="42"/>
      <c r="AB531" s="42"/>
      <c r="AC531" s="42"/>
      <c r="AD531" s="42"/>
      <c r="AE531" s="54"/>
    </row>
    <row r="532" spans="1:31" ht="15" hidden="1" customHeight="1">
      <c r="A532" s="60">
        <f>ROW() - ROW(Table1[[#Headers],[s]])</f>
        <v>531</v>
      </c>
      <c r="B532" s="73" t="s">
        <v>2275</v>
      </c>
      <c r="C532" s="51">
        <v>46113</v>
      </c>
      <c r="D532" s="52" t="s">
        <v>2276</v>
      </c>
      <c r="E532" s="42" t="e" vm="147">
        <v>#VALUE!</v>
      </c>
      <c r="F532" s="42" t="e" vm="16">
        <v>#VALUE!</v>
      </c>
      <c r="G532" s="43" t="s">
        <v>200</v>
      </c>
      <c r="H532" s="42" t="s">
        <v>152</v>
      </c>
      <c r="I532" s="42" t="s">
        <v>43</v>
      </c>
      <c r="J532" s="55" t="s">
        <v>153</v>
      </c>
      <c r="K532" s="42" t="s">
        <v>154</v>
      </c>
      <c r="L532" s="44">
        <v>46114.679166666669</v>
      </c>
      <c r="M532" s="55" t="s">
        <v>58</v>
      </c>
      <c r="N532" s="55" t="s">
        <v>58</v>
      </c>
      <c r="O532" s="56">
        <v>46115.416666666664</v>
      </c>
      <c r="P532" s="57">
        <v>46115.416666666664</v>
      </c>
      <c r="Q532" s="58">
        <v>46115.625</v>
      </c>
      <c r="R532" s="42"/>
      <c r="S532" s="53" t="s">
        <v>1442</v>
      </c>
      <c r="T532" s="55" t="s">
        <v>2277</v>
      </c>
      <c r="U532" s="42"/>
      <c r="V532" s="53" t="s">
        <v>2278</v>
      </c>
      <c r="W532" s="42"/>
      <c r="X532" s="42"/>
      <c r="Y532" s="42" t="s">
        <v>158</v>
      </c>
      <c r="Z532" s="42" t="s">
        <v>70</v>
      </c>
      <c r="AA532" s="42"/>
      <c r="AB532" s="42"/>
      <c r="AC532" s="42"/>
      <c r="AD532" s="42"/>
      <c r="AE532" s="54"/>
    </row>
    <row r="533" spans="1:31" ht="15" hidden="1" customHeight="1">
      <c r="A533" s="60">
        <f>ROW() - ROW(Table1[[#Headers],[s]])</f>
        <v>532</v>
      </c>
      <c r="B533" s="42" t="s">
        <v>2279</v>
      </c>
      <c r="C533" s="51">
        <v>46113</v>
      </c>
      <c r="D533" s="52" t="s">
        <v>2279</v>
      </c>
      <c r="E533" s="42" t="e" vm="121">
        <v>#VALUE!</v>
      </c>
      <c r="F533" s="42" t="e" vm="17">
        <v>#VALUE!</v>
      </c>
      <c r="G533" s="43" t="s">
        <v>200</v>
      </c>
      <c r="H533" s="42" t="s">
        <v>747</v>
      </c>
      <c r="I533" s="42" t="s">
        <v>43</v>
      </c>
      <c r="J533" s="55" t="s">
        <v>253</v>
      </c>
      <c r="K533" s="42" t="s">
        <v>2280</v>
      </c>
      <c r="L533" s="44">
        <v>46114.792361111111</v>
      </c>
      <c r="M533" s="169" t="s">
        <v>1484</v>
      </c>
      <c r="N533" s="169" t="s">
        <v>1484</v>
      </c>
      <c r="O533" s="56">
        <v>46115.416666666664</v>
      </c>
      <c r="P533" s="57">
        <v>46115.458333333336</v>
      </c>
      <c r="Q533" s="58">
        <v>46115.875</v>
      </c>
      <c r="R533" s="42"/>
      <c r="S533" s="53" t="s">
        <v>2281</v>
      </c>
      <c r="T533" s="55" t="s">
        <v>478</v>
      </c>
      <c r="U533" s="42"/>
      <c r="V533" s="53" t="s">
        <v>2282</v>
      </c>
      <c r="W533" s="42"/>
      <c r="X533" s="42"/>
      <c r="Y533" s="42" t="s">
        <v>158</v>
      </c>
      <c r="Z533" s="42" t="s">
        <v>158</v>
      </c>
      <c r="AA533" s="42"/>
      <c r="AB533" s="42"/>
      <c r="AC533" s="42"/>
      <c r="AD533" s="42"/>
      <c r="AE533" s="54"/>
    </row>
    <row r="534" spans="1:31" ht="15" hidden="1" customHeight="1">
      <c r="A534" s="60">
        <f>ROW() - ROW(Table1[[#Headers],[s]])</f>
        <v>533</v>
      </c>
      <c r="B534" s="42" t="s">
        <v>2283</v>
      </c>
      <c r="C534" s="51">
        <v>46113</v>
      </c>
      <c r="D534" s="52" t="s">
        <v>2284</v>
      </c>
      <c r="E534" s="42" t="e" vm="83">
        <v>#VALUE!</v>
      </c>
      <c r="F534" s="42" t="e" vm="37">
        <v>#VALUE!</v>
      </c>
      <c r="G534" s="43" t="s">
        <v>200</v>
      </c>
      <c r="H534" s="42" t="s">
        <v>152</v>
      </c>
      <c r="I534" s="42" t="s">
        <v>43</v>
      </c>
      <c r="J534" s="55" t="s">
        <v>153</v>
      </c>
      <c r="K534" s="42" t="s">
        <v>154</v>
      </c>
      <c r="L534" s="44">
        <v>46114.492361111108</v>
      </c>
      <c r="M534" s="55" t="s">
        <v>1023</v>
      </c>
      <c r="N534" s="55" t="s">
        <v>1023</v>
      </c>
      <c r="O534" s="56">
        <v>46115.666666666664</v>
      </c>
      <c r="P534" s="57">
        <v>46115.6875</v>
      </c>
      <c r="Q534" s="58">
        <v>46115.708333333336</v>
      </c>
      <c r="R534" s="42"/>
      <c r="S534" s="53" t="s">
        <v>2285</v>
      </c>
      <c r="T534" s="55" t="s">
        <v>179</v>
      </c>
      <c r="U534" s="42"/>
      <c r="V534" s="53" t="s">
        <v>513</v>
      </c>
      <c r="W534" s="42"/>
      <c r="X534" s="42"/>
      <c r="Y534" s="42" t="s">
        <v>203</v>
      </c>
      <c r="Z534" s="42" t="s">
        <v>70</v>
      </c>
      <c r="AA534" s="42"/>
      <c r="AB534" s="42"/>
      <c r="AC534" s="42"/>
      <c r="AD534" s="42"/>
      <c r="AE534" s="54"/>
    </row>
    <row r="535" spans="1:31" ht="15" hidden="1" customHeight="1">
      <c r="A535" s="60">
        <f>ROW() - ROW(Table1[[#Headers],[s]])</f>
        <v>534</v>
      </c>
      <c r="B535" s="42" t="s">
        <v>2225</v>
      </c>
      <c r="C535" s="161" t="s">
        <v>60</v>
      </c>
      <c r="D535" s="52" t="s">
        <v>2286</v>
      </c>
      <c r="E535" s="47" t="e" vm="199">
        <v>#VALUE!</v>
      </c>
      <c r="F535" s="42" t="e" vm="1">
        <v>#VALUE!</v>
      </c>
      <c r="G535" s="43" t="s">
        <v>174</v>
      </c>
      <c r="H535" s="42" t="s">
        <v>152</v>
      </c>
      <c r="I535" s="42"/>
      <c r="J535" s="55" t="s">
        <v>153</v>
      </c>
      <c r="K535" s="42" t="s">
        <v>154</v>
      </c>
      <c r="L535" s="44">
        <v>46115.60833333333</v>
      </c>
      <c r="M535" s="55"/>
      <c r="N535" s="55"/>
      <c r="O535" s="43"/>
      <c r="P535" s="42"/>
      <c r="Q535" s="58"/>
      <c r="R535" s="42"/>
      <c r="S535" s="53" t="s">
        <v>2287</v>
      </c>
      <c r="T535" s="55" t="s">
        <v>179</v>
      </c>
      <c r="U535" s="42"/>
      <c r="V535" s="53"/>
      <c r="W535" s="42"/>
      <c r="X535" s="42"/>
      <c r="Y535" s="42" t="s">
        <v>179</v>
      </c>
      <c r="Z535" s="42" t="s">
        <v>179</v>
      </c>
      <c r="AA535" s="42"/>
      <c r="AB535" s="42"/>
      <c r="AC535" s="42"/>
      <c r="AD535" s="42"/>
      <c r="AE535" s="54"/>
    </row>
    <row r="536" spans="1:31" ht="15" hidden="1" customHeight="1">
      <c r="A536" s="60">
        <f>ROW() - ROW(Table1[[#Headers],[s]])</f>
        <v>535</v>
      </c>
      <c r="B536" s="42" t="s">
        <v>2288</v>
      </c>
      <c r="C536" s="51">
        <v>46113</v>
      </c>
      <c r="D536" s="52" t="s">
        <v>2289</v>
      </c>
      <c r="E536" s="46" t="e" vm="9">
        <v>#VALUE!</v>
      </c>
      <c r="F536" s="42" t="e" vm="10">
        <v>#VALUE!</v>
      </c>
      <c r="G536" s="43" t="s">
        <v>200</v>
      </c>
      <c r="H536" s="42" t="s">
        <v>152</v>
      </c>
      <c r="I536" s="42" t="s">
        <v>43</v>
      </c>
      <c r="J536" s="55" t="s">
        <v>153</v>
      </c>
      <c r="K536" s="42" t="s">
        <v>154</v>
      </c>
      <c r="L536" s="44">
        <v>46115.602083333331</v>
      </c>
      <c r="M536" s="55" t="s">
        <v>78</v>
      </c>
      <c r="N536" s="55" t="s">
        <v>78</v>
      </c>
      <c r="O536" s="56">
        <v>46115.708333333336</v>
      </c>
      <c r="P536" s="57">
        <v>46115.729166666664</v>
      </c>
      <c r="Q536" s="58">
        <v>46115.75</v>
      </c>
      <c r="R536" s="42"/>
      <c r="S536" s="53" t="s">
        <v>2290</v>
      </c>
      <c r="T536" s="55" t="s">
        <v>179</v>
      </c>
      <c r="U536" s="42"/>
      <c r="V536" s="53" t="s">
        <v>374</v>
      </c>
      <c r="W536" s="42"/>
      <c r="X536" s="42"/>
      <c r="Y536" s="42" t="s">
        <v>203</v>
      </c>
      <c r="Z536" s="42" t="s">
        <v>70</v>
      </c>
      <c r="AA536" s="42"/>
      <c r="AB536" s="42"/>
      <c r="AC536" s="42"/>
      <c r="AD536" s="42"/>
      <c r="AE536" s="54"/>
    </row>
    <row r="537" spans="1:31" ht="15" hidden="1" customHeight="1">
      <c r="A537" s="60">
        <f>ROW() - ROW(Table1[[#Headers],[s]])</f>
        <v>536</v>
      </c>
      <c r="B537" s="42" t="s">
        <v>2291</v>
      </c>
      <c r="C537" s="51">
        <v>46113</v>
      </c>
      <c r="D537" s="52" t="s">
        <v>2292</v>
      </c>
      <c r="E537" s="42" t="e" vm="201">
        <v>#VALUE!</v>
      </c>
      <c r="F537" s="42" t="e" vm="16">
        <v>#VALUE!</v>
      </c>
      <c r="G537" s="43" t="s">
        <v>200</v>
      </c>
      <c r="H537" s="42" t="s">
        <v>152</v>
      </c>
      <c r="I537" s="42" t="s">
        <v>43</v>
      </c>
      <c r="J537" s="55" t="s">
        <v>153</v>
      </c>
      <c r="K537" s="42" t="s">
        <v>154</v>
      </c>
      <c r="L537" s="44">
        <v>46115.604166666664</v>
      </c>
      <c r="M537" s="55" t="s">
        <v>58</v>
      </c>
      <c r="N537" s="55" t="s">
        <v>58</v>
      </c>
      <c r="O537" s="56">
        <v>46115.708333333336</v>
      </c>
      <c r="P537" s="57">
        <v>46115.708333333336</v>
      </c>
      <c r="Q537" s="58">
        <v>46115.729166666664</v>
      </c>
      <c r="R537" s="42"/>
      <c r="S537" s="53" t="s">
        <v>2293</v>
      </c>
      <c r="T537" s="55" t="s">
        <v>478</v>
      </c>
      <c r="U537" s="42"/>
      <c r="V537" s="53" t="s">
        <v>2293</v>
      </c>
      <c r="W537" s="42"/>
      <c r="X537" s="42"/>
      <c r="Y537" s="42" t="s">
        <v>158</v>
      </c>
      <c r="Z537" s="42" t="s">
        <v>70</v>
      </c>
      <c r="AA537" s="42"/>
      <c r="AB537" s="42"/>
      <c r="AC537" s="42"/>
      <c r="AD537" s="42"/>
      <c r="AE537" s="54"/>
    </row>
    <row r="538" spans="1:31" ht="15" hidden="1" customHeight="1">
      <c r="A538" s="60">
        <f>ROW() - ROW(Table1[[#Headers],[s]])</f>
        <v>537</v>
      </c>
      <c r="B538" s="42" t="s">
        <v>2294</v>
      </c>
      <c r="C538" s="51">
        <v>46113</v>
      </c>
      <c r="D538" s="52" t="s">
        <v>2295</v>
      </c>
      <c r="E538" s="42" t="e" vm="202">
        <v>#VALUE!</v>
      </c>
      <c r="F538" s="42" t="e" vm="21">
        <v>#VALUE!</v>
      </c>
      <c r="G538" s="43" t="s">
        <v>200</v>
      </c>
      <c r="H538" s="42" t="s">
        <v>152</v>
      </c>
      <c r="I538" s="42" t="s">
        <v>43</v>
      </c>
      <c r="J538" s="55" t="s">
        <v>153</v>
      </c>
      <c r="K538" s="42" t="s">
        <v>154</v>
      </c>
      <c r="L538" s="44">
        <v>46115.508333333331</v>
      </c>
      <c r="M538" s="55" t="s">
        <v>39</v>
      </c>
      <c r="N538" s="55" t="s">
        <v>39</v>
      </c>
      <c r="O538" s="56">
        <v>46115.541666666664</v>
      </c>
      <c r="P538" s="57">
        <v>46115.5625</v>
      </c>
      <c r="Q538" s="58">
        <v>46115.645833333336</v>
      </c>
      <c r="R538" s="42"/>
      <c r="S538" s="53" t="s">
        <v>2296</v>
      </c>
      <c r="T538" s="55" t="s">
        <v>478</v>
      </c>
      <c r="U538" s="42" t="s">
        <v>2297</v>
      </c>
      <c r="V538" s="53" t="s">
        <v>2298</v>
      </c>
      <c r="W538" s="42"/>
      <c r="X538" s="42"/>
      <c r="Y538" s="42" t="s">
        <v>203</v>
      </c>
      <c r="Z538" s="42" t="s">
        <v>70</v>
      </c>
      <c r="AA538" s="42"/>
      <c r="AB538" s="42"/>
      <c r="AC538" s="42"/>
      <c r="AD538" s="42"/>
      <c r="AE538" s="54"/>
    </row>
    <row r="539" spans="1:31" ht="15" hidden="1" customHeight="1">
      <c r="A539" s="60">
        <f>ROW() - ROW(Table1[[#Headers],[s]])</f>
        <v>538</v>
      </c>
      <c r="B539" s="42" t="s">
        <v>2299</v>
      </c>
      <c r="C539" s="161" t="s">
        <v>60</v>
      </c>
      <c r="D539" s="52" t="s">
        <v>2300</v>
      </c>
      <c r="E539" s="46" t="e" vm="9">
        <v>#VALUE!</v>
      </c>
      <c r="F539" s="42" t="e" vm="10">
        <v>#VALUE!</v>
      </c>
      <c r="G539" s="43" t="s">
        <v>200</v>
      </c>
      <c r="H539" s="42" t="s">
        <v>152</v>
      </c>
      <c r="I539" s="42" t="s">
        <v>60</v>
      </c>
      <c r="J539" s="55" t="s">
        <v>153</v>
      </c>
      <c r="K539" s="42" t="s">
        <v>154</v>
      </c>
      <c r="L539" s="44">
        <v>46115.536111111112</v>
      </c>
      <c r="M539" s="55"/>
      <c r="N539" s="55"/>
      <c r="O539" s="43"/>
      <c r="P539" s="42"/>
      <c r="Q539" s="58"/>
      <c r="R539" s="42"/>
      <c r="S539" s="53" t="s">
        <v>2301</v>
      </c>
      <c r="T539" s="55" t="s">
        <v>179</v>
      </c>
      <c r="U539" s="42"/>
      <c r="V539" s="53"/>
      <c r="W539" s="42"/>
      <c r="X539" s="42"/>
      <c r="Y539" s="42" t="s">
        <v>179</v>
      </c>
      <c r="Z539" s="42" t="s">
        <v>179</v>
      </c>
      <c r="AA539" s="42"/>
      <c r="AB539" s="42"/>
      <c r="AC539" s="42"/>
      <c r="AD539" s="42"/>
      <c r="AE539" s="54"/>
    </row>
    <row r="540" spans="1:31" ht="15" hidden="1" customHeight="1">
      <c r="A540" s="60">
        <f>ROW() - ROW(Table1[[#Headers],[s]])</f>
        <v>539</v>
      </c>
      <c r="B540" s="42" t="s">
        <v>2302</v>
      </c>
      <c r="C540" s="161" t="s">
        <v>60</v>
      </c>
      <c r="D540" s="52" t="s">
        <v>2303</v>
      </c>
      <c r="E540" s="46" t="e" vm="9">
        <v>#VALUE!</v>
      </c>
      <c r="F540" s="42" t="e" vm="10">
        <v>#VALUE!</v>
      </c>
      <c r="G540" s="43" t="s">
        <v>200</v>
      </c>
      <c r="H540" s="42" t="s">
        <v>152</v>
      </c>
      <c r="I540" s="42" t="s">
        <v>60</v>
      </c>
      <c r="J540" s="55" t="s">
        <v>153</v>
      </c>
      <c r="K540" s="42" t="s">
        <v>154</v>
      </c>
      <c r="L540" s="44">
        <v>46115.552777777775</v>
      </c>
      <c r="M540" s="55"/>
      <c r="N540" s="55"/>
      <c r="O540" s="43"/>
      <c r="P540" s="42"/>
      <c r="Q540" s="58"/>
      <c r="R540" s="42"/>
      <c r="S540" s="53" t="s">
        <v>2301</v>
      </c>
      <c r="T540" s="55" t="s">
        <v>179</v>
      </c>
      <c r="U540" s="42"/>
      <c r="V540" s="53"/>
      <c r="W540" s="42"/>
      <c r="X540" s="42"/>
      <c r="Y540" s="42" t="s">
        <v>179</v>
      </c>
      <c r="Z540" s="42" t="s">
        <v>179</v>
      </c>
      <c r="AA540" s="42"/>
      <c r="AB540" s="42"/>
      <c r="AC540" s="42"/>
      <c r="AD540" s="42"/>
      <c r="AE540" s="54"/>
    </row>
    <row r="541" spans="1:31" ht="15" hidden="1" customHeight="1">
      <c r="A541" s="60">
        <f>ROW() - ROW(Table1[[#Headers],[s]])</f>
        <v>540</v>
      </c>
      <c r="B541" s="42" t="s">
        <v>2304</v>
      </c>
      <c r="C541" s="51">
        <v>46113</v>
      </c>
      <c r="D541" s="52" t="s">
        <v>2305</v>
      </c>
      <c r="E541" s="46" t="e" vm="9">
        <v>#VALUE!</v>
      </c>
      <c r="F541" s="42" t="e" vm="10">
        <v>#VALUE!</v>
      </c>
      <c r="G541" s="43" t="s">
        <v>200</v>
      </c>
      <c r="H541" s="42" t="s">
        <v>152</v>
      </c>
      <c r="I541" s="42" t="s">
        <v>43</v>
      </c>
      <c r="J541" s="55" t="s">
        <v>153</v>
      </c>
      <c r="K541" s="42" t="s">
        <v>371</v>
      </c>
      <c r="L541" s="44">
        <v>46115.60833333333</v>
      </c>
      <c r="M541" s="55" t="s">
        <v>78</v>
      </c>
      <c r="N541" s="55" t="s">
        <v>78</v>
      </c>
      <c r="O541" s="56">
        <v>46115.75</v>
      </c>
      <c r="P541" s="57">
        <v>46115.75</v>
      </c>
      <c r="Q541" s="58">
        <v>46115.854166666664</v>
      </c>
      <c r="R541" s="42"/>
      <c r="S541" s="53" t="s">
        <v>2306</v>
      </c>
      <c r="T541" s="55" t="s">
        <v>478</v>
      </c>
      <c r="U541" s="42"/>
      <c r="V541" s="53" t="s">
        <v>2306</v>
      </c>
      <c r="W541" s="42"/>
      <c r="X541" s="42"/>
      <c r="Y541" s="42" t="s">
        <v>158</v>
      </c>
      <c r="Z541" s="42" t="s">
        <v>70</v>
      </c>
      <c r="AA541" s="42"/>
      <c r="AB541" s="42"/>
      <c r="AC541" s="42"/>
      <c r="AD541" s="42"/>
      <c r="AE541" s="54"/>
    </row>
    <row r="542" spans="1:31" ht="15" hidden="1" customHeight="1">
      <c r="A542" s="60">
        <f>ROW() - ROW(Table1[[#Headers],[s]])</f>
        <v>541</v>
      </c>
      <c r="B542" s="42" t="s">
        <v>2307</v>
      </c>
      <c r="C542" s="51">
        <v>46113</v>
      </c>
      <c r="D542" s="52" t="s">
        <v>2308</v>
      </c>
      <c r="E542" s="46" t="e" vm="9">
        <v>#VALUE!</v>
      </c>
      <c r="F542" s="42" t="e" vm="10">
        <v>#VALUE!</v>
      </c>
      <c r="G542" s="43" t="s">
        <v>200</v>
      </c>
      <c r="H542" s="42" t="s">
        <v>152</v>
      </c>
      <c r="I542" s="42" t="s">
        <v>43</v>
      </c>
      <c r="J542" s="55" t="s">
        <v>153</v>
      </c>
      <c r="K542" s="42" t="s">
        <v>154</v>
      </c>
      <c r="L542" s="44">
        <v>46115.619444444441</v>
      </c>
      <c r="M542" s="55" t="s">
        <v>78</v>
      </c>
      <c r="N542" s="55" t="s">
        <v>78</v>
      </c>
      <c r="O542" s="56">
        <v>46115.875</v>
      </c>
      <c r="P542" s="57">
        <v>46115.895833333336</v>
      </c>
      <c r="Q542" s="58">
        <v>46115.916666666664</v>
      </c>
      <c r="R542" s="42"/>
      <c r="S542" s="53" t="s">
        <v>2309</v>
      </c>
      <c r="T542" s="55" t="s">
        <v>50</v>
      </c>
      <c r="U542" s="42"/>
      <c r="V542" s="53" t="s">
        <v>2310</v>
      </c>
      <c r="W542" s="42"/>
      <c r="X542" s="42"/>
      <c r="Y542" s="42" t="s">
        <v>158</v>
      </c>
      <c r="Z542" s="42" t="s">
        <v>70</v>
      </c>
      <c r="AA542" s="42"/>
      <c r="AB542" s="42"/>
      <c r="AC542" s="42"/>
      <c r="AD542" s="42"/>
      <c r="AE542" s="54"/>
    </row>
    <row r="543" spans="1:31" ht="15" hidden="1" customHeight="1">
      <c r="A543" s="60">
        <f>ROW() - ROW(Table1[[#Headers],[s]])</f>
        <v>542</v>
      </c>
      <c r="B543" s="42" t="s">
        <v>2311</v>
      </c>
      <c r="C543" s="161" t="s">
        <v>60</v>
      </c>
      <c r="D543" s="52" t="s">
        <v>2312</v>
      </c>
      <c r="E543" s="47" t="e" vm="199">
        <v>#VALUE!</v>
      </c>
      <c r="F543" s="42" t="e" vm="1">
        <v>#VALUE!</v>
      </c>
      <c r="G543" s="43" t="s">
        <v>174</v>
      </c>
      <c r="H543" s="42" t="s">
        <v>152</v>
      </c>
      <c r="I543" s="42"/>
      <c r="J543" s="55" t="s">
        <v>153</v>
      </c>
      <c r="K543" s="42" t="s">
        <v>154</v>
      </c>
      <c r="L543" s="44">
        <v>46115.612500000003</v>
      </c>
      <c r="M543" s="55" t="s">
        <v>2313</v>
      </c>
      <c r="N543" s="55" t="s">
        <v>2313</v>
      </c>
      <c r="O543" s="56">
        <v>46116.333333333336</v>
      </c>
      <c r="P543" s="56">
        <v>46116.354166666664</v>
      </c>
      <c r="Q543" s="56">
        <v>46116.395833333336</v>
      </c>
      <c r="R543" s="42"/>
      <c r="S543" s="42" t="s">
        <v>2314</v>
      </c>
      <c r="T543" s="55" t="s">
        <v>478</v>
      </c>
      <c r="U543" s="42"/>
      <c r="V543" s="53" t="s">
        <v>2315</v>
      </c>
      <c r="W543" s="42"/>
      <c r="X543" s="42"/>
      <c r="Y543" s="42" t="s">
        <v>158</v>
      </c>
      <c r="Z543" s="42" t="s">
        <v>158</v>
      </c>
      <c r="AA543" s="42"/>
      <c r="AB543" s="42"/>
      <c r="AC543" s="42"/>
      <c r="AD543" s="42"/>
      <c r="AE543" s="54"/>
    </row>
    <row r="544" spans="1:31" ht="15" hidden="1" customHeight="1">
      <c r="A544" s="60">
        <f>ROW() - ROW(Table1[[#Headers],[s]])</f>
        <v>543</v>
      </c>
      <c r="B544" s="42" t="s">
        <v>2316</v>
      </c>
      <c r="C544" s="51">
        <v>46113</v>
      </c>
      <c r="D544" s="52" t="s">
        <v>2317</v>
      </c>
      <c r="E544" s="42" t="e" vm="121">
        <v>#VALUE!</v>
      </c>
      <c r="F544" s="42" t="e" vm="17">
        <v>#VALUE!</v>
      </c>
      <c r="G544" s="43" t="s">
        <v>174</v>
      </c>
      <c r="H544" s="42" t="s">
        <v>747</v>
      </c>
      <c r="I544" s="42"/>
      <c r="J544" s="55" t="s">
        <v>253</v>
      </c>
      <c r="K544" s="42" t="s">
        <v>154</v>
      </c>
      <c r="L544" s="44">
        <v>46115.541666666664</v>
      </c>
      <c r="M544" s="55" t="s">
        <v>44</v>
      </c>
      <c r="N544" s="55" t="s">
        <v>44</v>
      </c>
      <c r="O544" s="56">
        <v>46116.333333333336</v>
      </c>
      <c r="P544" s="56">
        <v>46116.4375</v>
      </c>
      <c r="Q544" s="56">
        <v>46116.836805555555</v>
      </c>
      <c r="R544" s="42"/>
      <c r="S544" s="53" t="s">
        <v>2318</v>
      </c>
      <c r="T544" s="55" t="s">
        <v>50</v>
      </c>
      <c r="U544" s="42"/>
      <c r="V544" s="53" t="s">
        <v>2319</v>
      </c>
      <c r="W544" s="42"/>
      <c r="X544" s="42"/>
      <c r="Y544" s="42" t="s">
        <v>70</v>
      </c>
      <c r="Z544" s="42" t="s">
        <v>67</v>
      </c>
      <c r="AA544" s="42"/>
      <c r="AB544" s="42"/>
      <c r="AC544" s="42"/>
      <c r="AD544" s="42"/>
      <c r="AE544" s="54"/>
    </row>
    <row r="545" spans="1:31" ht="15" hidden="1" customHeight="1">
      <c r="A545" s="60">
        <f>ROW() - ROW(Table1[[#Headers],[s]])</f>
        <v>544</v>
      </c>
      <c r="B545" s="42" t="s">
        <v>2320</v>
      </c>
      <c r="C545" s="163">
        <v>46113</v>
      </c>
      <c r="D545" s="52" t="s">
        <v>2321</v>
      </c>
      <c r="E545" s="46" t="e" vm="9">
        <v>#VALUE!</v>
      </c>
      <c r="F545" s="42" t="e" vm="10">
        <v>#VALUE!</v>
      </c>
      <c r="G545" s="43" t="s">
        <v>200</v>
      </c>
      <c r="H545" s="42" t="s">
        <v>152</v>
      </c>
      <c r="I545" s="42" t="s">
        <v>43</v>
      </c>
      <c r="J545" s="55" t="s">
        <v>153</v>
      </c>
      <c r="K545" s="42" t="s">
        <v>371</v>
      </c>
      <c r="L545" s="44">
        <v>46115.645833333336</v>
      </c>
      <c r="M545" s="55" t="s">
        <v>78</v>
      </c>
      <c r="N545" s="55" t="s">
        <v>78</v>
      </c>
      <c r="O545" s="56">
        <v>46115.666666666664</v>
      </c>
      <c r="P545" s="57">
        <v>46115.666666666664</v>
      </c>
      <c r="Q545" s="58">
        <v>46115.673611111109</v>
      </c>
      <c r="R545" s="42"/>
      <c r="S545" s="53" t="s">
        <v>2322</v>
      </c>
      <c r="T545" s="55" t="s">
        <v>478</v>
      </c>
      <c r="U545" s="42"/>
      <c r="V545" s="53" t="s">
        <v>2322</v>
      </c>
      <c r="W545" s="42"/>
      <c r="X545" s="42"/>
      <c r="Y545" s="42" t="s">
        <v>203</v>
      </c>
      <c r="Z545" s="42" t="s">
        <v>70</v>
      </c>
      <c r="AA545" s="42"/>
      <c r="AB545" s="42"/>
      <c r="AC545" s="42"/>
      <c r="AD545" s="42"/>
      <c r="AE545" s="54"/>
    </row>
    <row r="546" spans="1:31" ht="15" hidden="1" customHeight="1">
      <c r="A546" s="60">
        <f>ROW() - ROW(Table1[[#Headers],[s]])</f>
        <v>545</v>
      </c>
      <c r="B546" s="42" t="s">
        <v>2323</v>
      </c>
      <c r="C546" s="163">
        <v>46113</v>
      </c>
      <c r="D546" s="52" t="s">
        <v>2324</v>
      </c>
      <c r="E546" s="42" t="e" vm="203">
        <v>#VALUE!</v>
      </c>
      <c r="F546" s="42" t="e" vm="17">
        <v>#VALUE!</v>
      </c>
      <c r="G546" s="43" t="s">
        <v>174</v>
      </c>
      <c r="H546" s="42" t="s">
        <v>747</v>
      </c>
      <c r="I546" s="42"/>
      <c r="J546" s="55" t="s">
        <v>253</v>
      </c>
      <c r="K546" s="42" t="s">
        <v>154</v>
      </c>
      <c r="L546" s="44">
        <v>46116.059027777781</v>
      </c>
      <c r="M546" s="55" t="s">
        <v>68</v>
      </c>
      <c r="N546" s="55" t="s">
        <v>68</v>
      </c>
      <c r="O546" s="44">
        <v>46116.309027777781</v>
      </c>
      <c r="P546" s="44">
        <v>46116.392361111109</v>
      </c>
      <c r="Q546" s="58">
        <v>46116.727083333331</v>
      </c>
      <c r="R546" s="42"/>
      <c r="S546" s="53" t="s">
        <v>2325</v>
      </c>
      <c r="T546" s="55" t="s">
        <v>2326</v>
      </c>
      <c r="U546" s="42"/>
      <c r="V546" s="53" t="s">
        <v>2327</v>
      </c>
      <c r="W546" s="42"/>
      <c r="X546" s="42"/>
      <c r="Y546" s="42" t="s">
        <v>70</v>
      </c>
      <c r="Z546" s="42" t="s">
        <v>158</v>
      </c>
      <c r="AA546" s="42"/>
      <c r="AB546" s="42"/>
      <c r="AC546" s="42"/>
      <c r="AD546" s="42"/>
      <c r="AE546" s="54"/>
    </row>
    <row r="547" spans="1:31" ht="15" hidden="1" customHeight="1">
      <c r="A547" s="60">
        <f>ROW() - ROW(Table1[[#Headers],[s]])</f>
        <v>546</v>
      </c>
      <c r="B547" s="42"/>
      <c r="C547" s="163">
        <v>46113</v>
      </c>
      <c r="D547" s="52" t="s">
        <v>2328</v>
      </c>
      <c r="E547" s="42"/>
      <c r="F547" s="42"/>
      <c r="G547" s="43" t="s">
        <v>174</v>
      </c>
      <c r="H547" s="42"/>
      <c r="I547" s="42"/>
      <c r="J547" s="55"/>
      <c r="K547" s="42"/>
      <c r="L547" s="44"/>
      <c r="M547" s="55"/>
      <c r="N547" s="55"/>
      <c r="O547" s="56"/>
      <c r="P547" s="44"/>
      <c r="Q547" s="58"/>
      <c r="R547" s="42"/>
      <c r="S547" s="53"/>
      <c r="T547" s="55"/>
      <c r="U547" s="42"/>
      <c r="V547" s="53"/>
      <c r="W547" s="42"/>
      <c r="X547" s="42"/>
      <c r="Y547" s="42"/>
      <c r="Z547" s="42"/>
      <c r="AA547" s="42"/>
      <c r="AB547" s="42"/>
      <c r="AC547" s="42"/>
      <c r="AD547" s="42"/>
      <c r="AE547" s="54"/>
    </row>
    <row r="548" spans="1:31" ht="15" hidden="1" customHeight="1">
      <c r="A548" s="60">
        <f>ROW() - ROW(Table1[[#Headers],[s]])</f>
        <v>547</v>
      </c>
      <c r="B548" s="42" t="s">
        <v>2329</v>
      </c>
      <c r="C548" s="51">
        <v>46113</v>
      </c>
      <c r="D548" s="52" t="s">
        <v>2330</v>
      </c>
      <c r="E548" s="42" t="e" vm="9">
        <v>#VALUE!</v>
      </c>
      <c r="F548" s="42" t="e" vm="10">
        <v>#VALUE!</v>
      </c>
      <c r="G548" s="43" t="s">
        <v>42</v>
      </c>
      <c r="H548" s="42" t="s">
        <v>152</v>
      </c>
      <c r="I548" s="42" t="s">
        <v>43</v>
      </c>
      <c r="J548" s="55" t="s">
        <v>153</v>
      </c>
      <c r="K548" s="42" t="s">
        <v>154</v>
      </c>
      <c r="L548" s="44">
        <v>46118.452777777777</v>
      </c>
      <c r="M548" s="55" t="s">
        <v>78</v>
      </c>
      <c r="N548" s="55" t="s">
        <v>78</v>
      </c>
      <c r="O548" s="44">
        <v>46118.817361111112</v>
      </c>
      <c r="P548" s="44">
        <v>46118.817361111112</v>
      </c>
      <c r="Q548" s="44">
        <v>46118.824999999997</v>
      </c>
      <c r="R548" s="42"/>
      <c r="S548" s="53" t="s">
        <v>2331</v>
      </c>
      <c r="T548" s="55" t="s">
        <v>478</v>
      </c>
      <c r="U548" s="42"/>
      <c r="V548" s="53" t="s">
        <v>2332</v>
      </c>
      <c r="W548" s="42"/>
      <c r="X548" s="42"/>
      <c r="Y548" s="42" t="s">
        <v>158</v>
      </c>
      <c r="Z548" s="42" t="s">
        <v>70</v>
      </c>
      <c r="AA548" s="42"/>
      <c r="AB548" s="42"/>
      <c r="AC548" s="42"/>
      <c r="AD548" s="42"/>
      <c r="AE548" s="54"/>
    </row>
    <row r="549" spans="1:31" ht="15" hidden="1" customHeight="1">
      <c r="A549" s="60">
        <f>ROW() - ROW(Table1[[#Headers],[s]])</f>
        <v>548</v>
      </c>
      <c r="B549" s="42" t="s">
        <v>2333</v>
      </c>
      <c r="C549" s="51">
        <v>46113</v>
      </c>
      <c r="D549" s="42" t="s">
        <v>2334</v>
      </c>
      <c r="E549" s="42" t="e" vm="127">
        <v>#VALUE!</v>
      </c>
      <c r="F549" s="42" t="e" vm="21">
        <v>#VALUE!</v>
      </c>
      <c r="G549" s="43" t="s">
        <v>42</v>
      </c>
      <c r="H549" s="42" t="s">
        <v>152</v>
      </c>
      <c r="I549" s="42" t="s">
        <v>43</v>
      </c>
      <c r="J549" s="55" t="s">
        <v>253</v>
      </c>
      <c r="K549" s="42" t="s">
        <v>154</v>
      </c>
      <c r="L549" s="44">
        <v>46118.462500000001</v>
      </c>
      <c r="M549" s="55" t="s">
        <v>39</v>
      </c>
      <c r="N549" s="55" t="s">
        <v>39</v>
      </c>
      <c r="O549" s="44">
        <v>46118.645833333336</v>
      </c>
      <c r="P549" s="44">
        <v>46118.65347222222</v>
      </c>
      <c r="Q549" s="44">
        <v>46118.719444444447</v>
      </c>
      <c r="R549" s="42"/>
      <c r="S549" s="53" t="s">
        <v>2335</v>
      </c>
      <c r="T549" s="55" t="s">
        <v>478</v>
      </c>
      <c r="U549" s="42"/>
      <c r="V549" s="290" t="s">
        <v>2336</v>
      </c>
      <c r="W549" s="42"/>
      <c r="X549" s="42"/>
      <c r="Y549" s="42" t="s">
        <v>158</v>
      </c>
      <c r="Z549" s="42" t="s">
        <v>158</v>
      </c>
      <c r="AA549" s="42"/>
      <c r="AB549" s="42"/>
      <c r="AC549" s="42"/>
      <c r="AD549" s="42"/>
      <c r="AE549" s="54"/>
    </row>
    <row r="550" spans="1:31" ht="15" hidden="1" customHeight="1">
      <c r="A550" s="60">
        <f>ROW() - ROW(Table1[[#Headers],[s]])</f>
        <v>549</v>
      </c>
      <c r="B550" s="42" t="s">
        <v>2337</v>
      </c>
      <c r="C550" s="51">
        <v>46113</v>
      </c>
      <c r="D550" s="42" t="s">
        <v>2338</v>
      </c>
      <c r="E550" s="42" t="e" vm="204">
        <v>#VALUE!</v>
      </c>
      <c r="F550" s="42" t="e" vm="2">
        <v>#VALUE!</v>
      </c>
      <c r="G550" s="43" t="s">
        <v>42</v>
      </c>
      <c r="H550" s="42" t="s">
        <v>152</v>
      </c>
      <c r="I550" s="42" t="s">
        <v>43</v>
      </c>
      <c r="J550" s="55" t="s">
        <v>253</v>
      </c>
      <c r="K550" s="42" t="s">
        <v>154</v>
      </c>
      <c r="L550" s="44">
        <v>46118.463194444441</v>
      </c>
      <c r="M550" s="55" t="s">
        <v>162</v>
      </c>
      <c r="N550" s="55" t="s">
        <v>162</v>
      </c>
      <c r="O550" s="44">
        <v>46118.73541666667</v>
      </c>
      <c r="P550" s="44">
        <v>46118.73541666667</v>
      </c>
      <c r="Q550" s="44">
        <v>46118.768750000003</v>
      </c>
      <c r="R550" s="42"/>
      <c r="S550" s="53" t="s">
        <v>2339</v>
      </c>
      <c r="T550" s="55" t="s">
        <v>478</v>
      </c>
      <c r="U550" s="42"/>
      <c r="V550" s="53" t="s">
        <v>2340</v>
      </c>
      <c r="W550" s="42"/>
      <c r="X550" s="42"/>
      <c r="Y550" s="42" t="s">
        <v>158</v>
      </c>
      <c r="Z550" s="42" t="s">
        <v>70</v>
      </c>
      <c r="AA550" s="42"/>
      <c r="AB550" s="42"/>
      <c r="AC550" s="42"/>
      <c r="AD550" s="42"/>
      <c r="AE550" s="54"/>
    </row>
    <row r="551" spans="1:31" ht="15" hidden="1" customHeight="1">
      <c r="A551" s="60">
        <f>ROW() - ROW(Table1[[#Headers],[s]])</f>
        <v>550</v>
      </c>
      <c r="B551" s="42" t="s">
        <v>2341</v>
      </c>
      <c r="C551" s="51">
        <v>46113</v>
      </c>
      <c r="D551" s="42" t="s">
        <v>2342</v>
      </c>
      <c r="E551" s="42" t="e" vm="15">
        <v>#VALUE!</v>
      </c>
      <c r="F551" s="42" t="e" vm="16">
        <v>#VALUE!</v>
      </c>
      <c r="G551" s="43" t="s">
        <v>42</v>
      </c>
      <c r="H551" s="42" t="s">
        <v>152</v>
      </c>
      <c r="I551" s="42" t="s">
        <v>43</v>
      </c>
      <c r="J551" s="55" t="s">
        <v>253</v>
      </c>
      <c r="K551" s="42" t="s">
        <v>154</v>
      </c>
      <c r="L551" s="44">
        <v>46118.465277777781</v>
      </c>
      <c r="M551" s="55" t="s">
        <v>58</v>
      </c>
      <c r="N551" s="55" t="s">
        <v>58</v>
      </c>
      <c r="O551" s="44">
        <v>46118.520833333336</v>
      </c>
      <c r="P551" s="44">
        <v>46118.520833333336</v>
      </c>
      <c r="Q551" s="44">
        <v>46118.5625</v>
      </c>
      <c r="R551" s="42"/>
      <c r="S551" s="53" t="s">
        <v>2343</v>
      </c>
      <c r="T551" s="55" t="s">
        <v>478</v>
      </c>
      <c r="U551" s="42"/>
      <c r="V551" s="53" t="s">
        <v>2344</v>
      </c>
      <c r="W551" s="42"/>
      <c r="X551" s="42"/>
      <c r="Y551" s="42" t="s">
        <v>158</v>
      </c>
      <c r="Z551" s="42" t="s">
        <v>70</v>
      </c>
      <c r="AA551" s="42"/>
      <c r="AB551" s="42"/>
      <c r="AC551" s="42"/>
      <c r="AD551" s="42"/>
      <c r="AE551" s="54"/>
    </row>
    <row r="552" spans="1:31" ht="15" hidden="1" customHeight="1">
      <c r="A552" s="60">
        <f>ROW() - ROW(Table1[[#Headers],[s]])</f>
        <v>551</v>
      </c>
      <c r="B552" s="42" t="s">
        <v>2345</v>
      </c>
      <c r="C552" s="51">
        <v>46113</v>
      </c>
      <c r="D552" s="42" t="s">
        <v>2346</v>
      </c>
      <c r="E552" s="42" t="e" vm="205">
        <v>#VALUE!</v>
      </c>
      <c r="F552" s="42" t="e" vm="10">
        <v>#VALUE!</v>
      </c>
      <c r="G552" s="43" t="s">
        <v>42</v>
      </c>
      <c r="H552" s="42" t="s">
        <v>152</v>
      </c>
      <c r="I552" s="42" t="s">
        <v>43</v>
      </c>
      <c r="J552" s="55" t="s">
        <v>253</v>
      </c>
      <c r="K552" s="42" t="s">
        <v>154</v>
      </c>
      <c r="L552" s="44">
        <v>46118.470833333333</v>
      </c>
      <c r="M552" s="55" t="s">
        <v>78</v>
      </c>
      <c r="N552" s="55" t="s">
        <v>78</v>
      </c>
      <c r="O552" s="44">
        <v>46118.777083333334</v>
      </c>
      <c r="P552" s="44">
        <v>46118.777083333334</v>
      </c>
      <c r="Q552" s="44">
        <v>46118.793055555558</v>
      </c>
      <c r="R552" s="42"/>
      <c r="S552" s="53" t="s">
        <v>373</v>
      </c>
      <c r="T552" s="55" t="s">
        <v>478</v>
      </c>
      <c r="U552" s="42"/>
      <c r="V552" s="53" t="s">
        <v>2347</v>
      </c>
      <c r="W552" s="42"/>
      <c r="X552" s="42"/>
      <c r="Y552" s="42" t="s">
        <v>158</v>
      </c>
      <c r="Z552" s="42" t="s">
        <v>70</v>
      </c>
      <c r="AA552" s="42"/>
      <c r="AB552" s="42"/>
      <c r="AC552" s="42"/>
      <c r="AD552" s="42"/>
      <c r="AE552" s="54"/>
    </row>
    <row r="553" spans="1:31" ht="15" hidden="1" customHeight="1">
      <c r="A553" s="60">
        <f>ROW() - ROW(Table1[[#Headers],[s]])</f>
        <v>552</v>
      </c>
      <c r="B553" s="42" t="s">
        <v>2348</v>
      </c>
      <c r="C553" s="51">
        <v>46113</v>
      </c>
      <c r="D553" s="42" t="s">
        <v>2349</v>
      </c>
      <c r="E553" s="42" t="e" vm="173">
        <v>#VALUE!</v>
      </c>
      <c r="F553" s="42" t="e" vm="42">
        <v>#VALUE!</v>
      </c>
      <c r="G553" s="43" t="s">
        <v>42</v>
      </c>
      <c r="H553" s="42" t="s">
        <v>152</v>
      </c>
      <c r="I553" s="42" t="s">
        <v>43</v>
      </c>
      <c r="J553" s="55" t="s">
        <v>253</v>
      </c>
      <c r="K553" s="42" t="s">
        <v>154</v>
      </c>
      <c r="L553" s="44">
        <v>46118.570138888892</v>
      </c>
      <c r="M553" s="55" t="s">
        <v>2350</v>
      </c>
      <c r="N553" s="55" t="s">
        <v>2350</v>
      </c>
      <c r="O553" s="44">
        <v>46118.662499999999</v>
      </c>
      <c r="P553" s="44">
        <v>46118.662499999999</v>
      </c>
      <c r="Q553" s="44">
        <v>46118.702777777777</v>
      </c>
      <c r="R553" s="42"/>
      <c r="S553" s="53" t="s">
        <v>2351</v>
      </c>
      <c r="T553" s="55" t="s">
        <v>478</v>
      </c>
      <c r="U553" s="42"/>
      <c r="V553" s="290" t="s">
        <v>2352</v>
      </c>
      <c r="W553" s="42"/>
      <c r="X553" s="42"/>
      <c r="Y553" s="42" t="s">
        <v>158</v>
      </c>
      <c r="Z553" s="42" t="s">
        <v>70</v>
      </c>
      <c r="AA553" s="42"/>
      <c r="AB553" s="42"/>
      <c r="AC553" s="42"/>
      <c r="AD553" s="42"/>
      <c r="AE553" s="54"/>
    </row>
    <row r="554" spans="1:31" ht="15" customHeight="1">
      <c r="A554" s="60">
        <f>ROW() - ROW(Table1[[#Headers],[s]])</f>
        <v>553</v>
      </c>
      <c r="B554" s="42" t="s">
        <v>2353</v>
      </c>
      <c r="C554" s="51">
        <v>46113</v>
      </c>
      <c r="D554" s="42" t="s">
        <v>2354</v>
      </c>
      <c r="E554" s="42" t="e" vm="107">
        <v>#VALUE!</v>
      </c>
      <c r="F554" s="42" t="e" vm="23">
        <v>#VALUE!</v>
      </c>
      <c r="G554" s="43" t="s">
        <v>186</v>
      </c>
      <c r="H554" s="42" t="s">
        <v>152</v>
      </c>
      <c r="I554" s="160" t="s">
        <v>43</v>
      </c>
      <c r="J554" s="55" t="s">
        <v>253</v>
      </c>
      <c r="K554" s="42" t="s">
        <v>154</v>
      </c>
      <c r="L554" s="44">
        <v>46118.572222222225</v>
      </c>
      <c r="M554" s="55" t="s">
        <v>58</v>
      </c>
      <c r="N554" s="55" t="s">
        <v>58</v>
      </c>
      <c r="O554" s="56">
        <v>46119.541666666664</v>
      </c>
      <c r="P554" s="57">
        <v>46119.548611111109</v>
      </c>
      <c r="Q554" s="58">
        <v>46119.56527777778</v>
      </c>
      <c r="R554" s="42"/>
      <c r="S554" s="53" t="s">
        <v>2355</v>
      </c>
      <c r="T554" s="55" t="s">
        <v>478</v>
      </c>
      <c r="U554" s="42"/>
      <c r="V554" s="53" t="s">
        <v>581</v>
      </c>
      <c r="W554" s="42"/>
      <c r="X554" s="42"/>
      <c r="Y554" s="42" t="s">
        <v>158</v>
      </c>
      <c r="Z554" s="42" t="s">
        <v>70</v>
      </c>
      <c r="AA554" s="42"/>
      <c r="AB554" s="42"/>
      <c r="AC554" s="42"/>
      <c r="AD554" s="42"/>
      <c r="AE554" s="54"/>
    </row>
    <row r="555" spans="1:31" ht="15" hidden="1" customHeight="1">
      <c r="A555" s="60">
        <f>ROW() - ROW(Table1[[#Headers],[s]])</f>
        <v>554</v>
      </c>
      <c r="B555" s="42" t="s">
        <v>2356</v>
      </c>
      <c r="C555" s="51">
        <v>46113</v>
      </c>
      <c r="D555" s="42" t="s">
        <v>2357</v>
      </c>
      <c r="E555" s="42" t="e" vm="206">
        <v>#VALUE!</v>
      </c>
      <c r="F555" s="42" t="e" vm="10">
        <v>#VALUE!</v>
      </c>
      <c r="G555" s="43" t="s">
        <v>42</v>
      </c>
      <c r="H555" s="42" t="s">
        <v>152</v>
      </c>
      <c r="I555" s="42" t="s">
        <v>43</v>
      </c>
      <c r="J555" s="55" t="s">
        <v>253</v>
      </c>
      <c r="K555" s="42" t="s">
        <v>154</v>
      </c>
      <c r="L555" s="44">
        <v>46118.640277777777</v>
      </c>
      <c r="M555" s="55" t="s">
        <v>78</v>
      </c>
      <c r="N555" s="55" t="s">
        <v>78</v>
      </c>
      <c r="O555" s="44">
        <v>46118.739583333336</v>
      </c>
      <c r="P555" s="44">
        <v>46118.739583333336</v>
      </c>
      <c r="Q555" s="44">
        <v>46118.765277777777</v>
      </c>
      <c r="R555" s="42"/>
      <c r="S555" s="53" t="s">
        <v>373</v>
      </c>
      <c r="T555" s="55" t="s">
        <v>478</v>
      </c>
      <c r="U555" s="42"/>
      <c r="V555" s="53" t="s">
        <v>2347</v>
      </c>
      <c r="W555" s="42"/>
      <c r="X555" s="42"/>
      <c r="Y555" s="42" t="s">
        <v>158</v>
      </c>
      <c r="Z555" s="42" t="s">
        <v>70</v>
      </c>
      <c r="AA555" s="42"/>
      <c r="AB555" s="42"/>
      <c r="AC555" s="42"/>
      <c r="AD555" s="42"/>
      <c r="AE555" s="54"/>
    </row>
    <row r="556" spans="1:31" ht="15" hidden="1" customHeight="1">
      <c r="A556" s="60">
        <f>ROW() - ROW(Table1[[#Headers],[s]])</f>
        <v>555</v>
      </c>
      <c r="B556" s="42" t="s">
        <v>2358</v>
      </c>
      <c r="C556" s="51">
        <v>46113</v>
      </c>
      <c r="D556" s="42" t="s">
        <v>2359</v>
      </c>
      <c r="E556" s="42" t="e" vm="69">
        <v>#VALUE!</v>
      </c>
      <c r="F556" s="42" t="e" vm="2">
        <v>#VALUE!</v>
      </c>
      <c r="G556" s="43" t="s">
        <v>42</v>
      </c>
      <c r="H556" s="42" t="s">
        <v>152</v>
      </c>
      <c r="I556" s="42" t="s">
        <v>43</v>
      </c>
      <c r="J556" s="55" t="s">
        <v>253</v>
      </c>
      <c r="K556" s="42" t="s">
        <v>154</v>
      </c>
      <c r="L556" s="44">
        <v>46118.774305555555</v>
      </c>
      <c r="M556" s="55" t="s">
        <v>162</v>
      </c>
      <c r="N556" s="55" t="s">
        <v>162</v>
      </c>
      <c r="O556" s="44">
        <v>46118.875694444447</v>
      </c>
      <c r="P556" s="44">
        <v>46118.875694444447</v>
      </c>
      <c r="Q556" s="44">
        <v>46118.887499999997</v>
      </c>
      <c r="R556" s="42"/>
      <c r="S556" s="53" t="s">
        <v>467</v>
      </c>
      <c r="T556" s="55" t="s">
        <v>478</v>
      </c>
      <c r="U556" s="42"/>
      <c r="V556" s="53" t="s">
        <v>2360</v>
      </c>
      <c r="W556" s="42"/>
      <c r="X556" s="42"/>
      <c r="Y556" s="42" t="s">
        <v>158</v>
      </c>
      <c r="Z556" s="42" t="s">
        <v>70</v>
      </c>
      <c r="AA556" s="42"/>
      <c r="AB556" s="42"/>
      <c r="AC556" s="42"/>
      <c r="AD556" s="42"/>
      <c r="AE556" s="54"/>
    </row>
    <row r="557" spans="1:31" ht="15" customHeight="1">
      <c r="A557" s="60">
        <f>ROW() - ROW(Table1[[#Headers],[s]])</f>
        <v>556</v>
      </c>
      <c r="B557" s="42" t="s">
        <v>2361</v>
      </c>
      <c r="C557" s="51">
        <v>46113</v>
      </c>
      <c r="D557" s="52" t="s">
        <v>2362</v>
      </c>
      <c r="E557" s="42" t="e" vm="72">
        <v>#VALUE!</v>
      </c>
      <c r="F557" s="42" t="e" vm="25">
        <v>#VALUE!</v>
      </c>
      <c r="G557" s="43" t="s">
        <v>186</v>
      </c>
      <c r="H557" s="42" t="s">
        <v>152</v>
      </c>
      <c r="I557" s="160" t="s">
        <v>43</v>
      </c>
      <c r="J557" s="55" t="s">
        <v>253</v>
      </c>
      <c r="K557" s="42" t="s">
        <v>154</v>
      </c>
      <c r="L557" s="44">
        <v>46119.522222222222</v>
      </c>
      <c r="M557" s="55" t="s">
        <v>72</v>
      </c>
      <c r="N557" s="55" t="s">
        <v>72</v>
      </c>
      <c r="O557" s="56">
        <v>46119.583333333336</v>
      </c>
      <c r="P557" s="57">
        <v>46119.586805555555</v>
      </c>
      <c r="Q557" s="58">
        <v>46119.708333333336</v>
      </c>
      <c r="R557" s="42"/>
      <c r="S557" s="53" t="s">
        <v>2363</v>
      </c>
      <c r="T557" s="55" t="s">
        <v>478</v>
      </c>
      <c r="U557" s="42"/>
      <c r="V557" s="53" t="s">
        <v>2364</v>
      </c>
      <c r="W557" s="42"/>
      <c r="X557" s="42"/>
      <c r="Y557" s="42" t="s">
        <v>158</v>
      </c>
      <c r="Z557" s="42" t="s">
        <v>70</v>
      </c>
      <c r="AA557" s="42"/>
      <c r="AB557" s="42"/>
      <c r="AC557" s="42"/>
      <c r="AD557" s="42"/>
      <c r="AE557" s="54"/>
    </row>
    <row r="558" spans="1:31" s="24" customFormat="1" ht="15.75" customHeight="1">
      <c r="A558" s="87">
        <f>ROW() - ROW(Table1[[#Headers],[s]])</f>
        <v>557</v>
      </c>
      <c r="B558" s="47" t="s">
        <v>2365</v>
      </c>
      <c r="C558" s="270">
        <v>46113</v>
      </c>
      <c r="D558" s="59" t="s">
        <v>2366</v>
      </c>
      <c r="E558" s="47" t="e" vm="207">
        <v>#VALUE!</v>
      </c>
      <c r="F558" s="47" t="e" vm="11">
        <v>#VALUE!</v>
      </c>
      <c r="G558" s="90" t="s">
        <v>83</v>
      </c>
      <c r="H558" s="47" t="s">
        <v>245</v>
      </c>
      <c r="I558" s="170" t="s">
        <v>43</v>
      </c>
      <c r="J558" s="134" t="s">
        <v>253</v>
      </c>
      <c r="K558" s="47" t="s">
        <v>2367</v>
      </c>
      <c r="L558" s="142">
        <v>46119.538194444445</v>
      </c>
      <c r="M558" s="134" t="s">
        <v>1643</v>
      </c>
      <c r="N558" s="134" t="s">
        <v>1643</v>
      </c>
      <c r="O558" s="143">
        <v>46119.583333333336</v>
      </c>
      <c r="P558" s="144">
        <v>46119.590277777781</v>
      </c>
      <c r="Q558" s="213">
        <v>46119.959722222222</v>
      </c>
      <c r="R558" s="47"/>
      <c r="S558" s="378" t="s">
        <v>2368</v>
      </c>
      <c r="T558" s="55" t="s">
        <v>478</v>
      </c>
      <c r="U558" s="47"/>
      <c r="V558" s="378" t="s">
        <v>2369</v>
      </c>
      <c r="W558" s="47"/>
      <c r="X558" s="47" t="s">
        <v>2370</v>
      </c>
      <c r="Y558" s="47" t="s">
        <v>70</v>
      </c>
      <c r="Z558" s="47" t="s">
        <v>158</v>
      </c>
      <c r="AA558" s="47"/>
      <c r="AB558" s="47"/>
      <c r="AC558" s="47"/>
      <c r="AD558" s="47"/>
      <c r="AE558" s="214"/>
    </row>
    <row r="559" spans="1:31" ht="15.75" customHeight="1">
      <c r="A559" s="60">
        <f>ROW() - ROW(Table1[[#Headers],[s]])</f>
        <v>558</v>
      </c>
      <c r="B559" s="42" t="s">
        <v>2371</v>
      </c>
      <c r="C559" s="51">
        <v>46113</v>
      </c>
      <c r="D559" s="42" t="s">
        <v>2372</v>
      </c>
      <c r="E559" s="42" t="e" vm="9">
        <v>#VALUE!</v>
      </c>
      <c r="F559" s="42" t="e" vm="10">
        <v>#VALUE!</v>
      </c>
      <c r="G559" s="43" t="s">
        <v>83</v>
      </c>
      <c r="H559" s="42" t="s">
        <v>245</v>
      </c>
      <c r="I559" s="160" t="s">
        <v>43</v>
      </c>
      <c r="J559" s="55" t="s">
        <v>253</v>
      </c>
      <c r="K559" s="42" t="s">
        <v>2373</v>
      </c>
      <c r="L559" s="44">
        <v>46119.609722222223</v>
      </c>
      <c r="M559" s="55" t="s">
        <v>78</v>
      </c>
      <c r="N559" s="55" t="s">
        <v>78</v>
      </c>
      <c r="O559" s="56">
        <v>46119.708333333336</v>
      </c>
      <c r="P559" s="57">
        <v>46119.715277777781</v>
      </c>
      <c r="Q559" s="58">
        <v>46119.854166666664</v>
      </c>
      <c r="R559" s="42"/>
      <c r="S559" s="224" t="s">
        <v>2374</v>
      </c>
      <c r="T559" s="55" t="s">
        <v>478</v>
      </c>
      <c r="U559" s="42"/>
      <c r="V559" s="224" t="s">
        <v>2375</v>
      </c>
      <c r="W559" s="42"/>
      <c r="X559" s="42"/>
      <c r="Y559" s="42" t="s">
        <v>158</v>
      </c>
      <c r="Z559" s="42" t="s">
        <v>70</v>
      </c>
      <c r="AA559" s="42"/>
      <c r="AB559" s="42"/>
      <c r="AC559" s="42"/>
      <c r="AD559" s="42"/>
      <c r="AE559" s="54"/>
    </row>
    <row r="560" spans="1:31" ht="15" customHeight="1">
      <c r="A560" s="60">
        <f>ROW() - ROW(Table1[[#Headers],[s]])</f>
        <v>559</v>
      </c>
      <c r="B560" s="42" t="s">
        <v>2376</v>
      </c>
      <c r="C560" s="51">
        <v>46113</v>
      </c>
      <c r="D560" s="42" t="s">
        <v>2377</v>
      </c>
      <c r="E560" s="42" t="e" vm="9">
        <v>#VALUE!</v>
      </c>
      <c r="F560" s="42" t="e" vm="10">
        <v>#VALUE!</v>
      </c>
      <c r="G560" s="43" t="s">
        <v>83</v>
      </c>
      <c r="H560" s="42" t="s">
        <v>152</v>
      </c>
      <c r="I560" s="160" t="s">
        <v>43</v>
      </c>
      <c r="J560" s="55" t="s">
        <v>153</v>
      </c>
      <c r="K560" s="42" t="s">
        <v>154</v>
      </c>
      <c r="L560" s="44">
        <v>46119.613194444442</v>
      </c>
      <c r="M560" s="55" t="s">
        <v>78</v>
      </c>
      <c r="N560" s="55" t="s">
        <v>78</v>
      </c>
      <c r="O560" s="56">
        <v>46119.625</v>
      </c>
      <c r="P560" s="57">
        <v>46119.631944444445</v>
      </c>
      <c r="Q560" s="58">
        <v>46119.800694444442</v>
      </c>
      <c r="R560" s="42"/>
      <c r="S560" s="53" t="s">
        <v>2378</v>
      </c>
      <c r="T560" s="55" t="s">
        <v>478</v>
      </c>
      <c r="U560" s="42"/>
      <c r="V560" s="53" t="s">
        <v>581</v>
      </c>
      <c r="W560" s="42"/>
      <c r="X560" s="42"/>
      <c r="Y560" s="42" t="s">
        <v>158</v>
      </c>
      <c r="Z560" s="42" t="s">
        <v>70</v>
      </c>
      <c r="AA560" s="42"/>
      <c r="AB560" s="42"/>
      <c r="AC560" s="42"/>
      <c r="AD560" s="42"/>
      <c r="AE560" s="54"/>
    </row>
    <row r="561" spans="1:31" ht="15" customHeight="1">
      <c r="A561" s="60">
        <f>ROW() - ROW(Table1[[#Headers],[s]])</f>
        <v>560</v>
      </c>
      <c r="B561" s="42" t="s">
        <v>2073</v>
      </c>
      <c r="C561" s="51">
        <v>46113</v>
      </c>
      <c r="D561" s="52" t="s">
        <v>2379</v>
      </c>
      <c r="E561" s="42" t="e" vm="208">
        <v>#VALUE!</v>
      </c>
      <c r="F561" s="42" t="e" vm="17">
        <v>#VALUE!</v>
      </c>
      <c r="G561" s="43" t="s">
        <v>83</v>
      </c>
      <c r="H561" s="42" t="s">
        <v>152</v>
      </c>
      <c r="I561" s="160" t="s">
        <v>43</v>
      </c>
      <c r="J561" s="55" t="s">
        <v>153</v>
      </c>
      <c r="K561" s="42" t="s">
        <v>154</v>
      </c>
      <c r="L561" s="44">
        <v>46119.643055555556</v>
      </c>
      <c r="M561" s="169" t="s">
        <v>1484</v>
      </c>
      <c r="N561" s="169" t="s">
        <v>1484</v>
      </c>
      <c r="O561" s="56">
        <v>46119.75</v>
      </c>
      <c r="P561" s="57">
        <v>46119.756944444445</v>
      </c>
      <c r="Q561" s="58">
        <v>46119.958333333336</v>
      </c>
      <c r="R561" s="42"/>
      <c r="S561" s="53" t="s">
        <v>2380</v>
      </c>
      <c r="T561" s="55" t="s">
        <v>478</v>
      </c>
      <c r="U561" s="42"/>
      <c r="V561" s="53" t="s">
        <v>2381</v>
      </c>
      <c r="W561" s="42"/>
      <c r="X561" s="42"/>
      <c r="Y561" s="42" t="s">
        <v>158</v>
      </c>
      <c r="Z561" s="42" t="s">
        <v>158</v>
      </c>
      <c r="AA561" s="42"/>
      <c r="AB561" s="42"/>
      <c r="AC561" s="42"/>
      <c r="AD561" s="42"/>
      <c r="AE561" s="54"/>
    </row>
    <row r="562" spans="1:31" ht="15.75" customHeight="1">
      <c r="A562" s="60">
        <f>ROW() - ROW(Table1[[#Headers],[s]])</f>
        <v>561</v>
      </c>
      <c r="B562" s="230" t="s">
        <v>2111</v>
      </c>
      <c r="C562" s="51">
        <v>46113</v>
      </c>
      <c r="D562" s="52" t="s">
        <v>2382</v>
      </c>
      <c r="E562" s="42" t="e" vm="24">
        <v>#VALUE!</v>
      </c>
      <c r="F562" s="42" t="e" vm="25">
        <v>#VALUE!</v>
      </c>
      <c r="G562" s="43" t="s">
        <v>83</v>
      </c>
      <c r="H562" s="42" t="s">
        <v>152</v>
      </c>
      <c r="I562" s="160" t="s">
        <v>43</v>
      </c>
      <c r="J562" s="55" t="s">
        <v>153</v>
      </c>
      <c r="K562" s="42" t="s">
        <v>154</v>
      </c>
      <c r="L562" s="44">
        <v>46119.64166666667</v>
      </c>
      <c r="M562" s="55" t="s">
        <v>72</v>
      </c>
      <c r="N562" s="55" t="s">
        <v>72</v>
      </c>
      <c r="O562" s="56">
        <v>46119.708333333336</v>
      </c>
      <c r="P562" s="57">
        <v>46119.715277777781</v>
      </c>
      <c r="Q562" s="58">
        <v>46119.833333333336</v>
      </c>
      <c r="R562" s="42"/>
      <c r="S562" s="53" t="s">
        <v>1317</v>
      </c>
      <c r="T562" s="55" t="s">
        <v>478</v>
      </c>
      <c r="U562" s="42"/>
      <c r="V562" s="53" t="s">
        <v>2383</v>
      </c>
      <c r="W562" s="42"/>
      <c r="X562" s="42"/>
      <c r="Y562" s="42" t="s">
        <v>158</v>
      </c>
      <c r="Z562" s="42" t="s">
        <v>158</v>
      </c>
      <c r="AA562" s="42"/>
      <c r="AB562" s="42"/>
      <c r="AC562" s="42"/>
      <c r="AD562" s="42"/>
      <c r="AE562" s="54"/>
    </row>
    <row r="563" spans="1:31" ht="15.75" customHeight="1">
      <c r="A563" s="60">
        <f>ROW() - ROW(Table1[[#Headers],[s]])</f>
        <v>562</v>
      </c>
      <c r="B563" s="42" t="s">
        <v>2384</v>
      </c>
      <c r="C563" s="51">
        <v>46113</v>
      </c>
      <c r="D563" s="52" t="s">
        <v>2385</v>
      </c>
      <c r="E563" s="42" t="e" vm="142">
        <v>#VALUE!</v>
      </c>
      <c r="F563" s="42" t="e" vm="2">
        <v>#VALUE!</v>
      </c>
      <c r="G563" s="43" t="s">
        <v>83</v>
      </c>
      <c r="H563" s="42" t="s">
        <v>245</v>
      </c>
      <c r="I563" s="160" t="s">
        <v>43</v>
      </c>
      <c r="J563" s="55" t="s">
        <v>253</v>
      </c>
      <c r="K563" s="42" t="s">
        <v>154</v>
      </c>
      <c r="L563" s="201">
        <v>46119.76666666667</v>
      </c>
      <c r="M563" s="55" t="s">
        <v>2386</v>
      </c>
      <c r="N563" s="55" t="s">
        <v>2386</v>
      </c>
      <c r="O563" s="56">
        <v>46119.833333333336</v>
      </c>
      <c r="P563" s="57">
        <v>46119.854166666664</v>
      </c>
      <c r="Q563" s="58">
        <v>46119.931944444441</v>
      </c>
      <c r="R563" s="42"/>
      <c r="S563" s="224" t="s">
        <v>2387</v>
      </c>
      <c r="T563" s="55" t="s">
        <v>478</v>
      </c>
      <c r="U563" s="42"/>
      <c r="V563" s="224" t="s">
        <v>2388</v>
      </c>
      <c r="W563" s="42"/>
      <c r="X563" s="42"/>
      <c r="Y563" s="42" t="s">
        <v>158</v>
      </c>
      <c r="Z563" s="42" t="s">
        <v>158</v>
      </c>
      <c r="AA563" s="42"/>
      <c r="AB563" s="42"/>
      <c r="AC563" s="42"/>
      <c r="AD563" s="42"/>
      <c r="AE563" s="54"/>
    </row>
    <row r="564" spans="1:31" ht="15.75" customHeight="1">
      <c r="A564" s="60">
        <f>ROW() - ROW(Table1[[#Headers],[s]])</f>
        <v>563</v>
      </c>
      <c r="B564" s="42" t="s">
        <v>2389</v>
      </c>
      <c r="C564" s="163">
        <v>46113</v>
      </c>
      <c r="D564" s="52" t="s">
        <v>2390</v>
      </c>
      <c r="E564" s="42" t="e" vm="83">
        <v>#VALUE!</v>
      </c>
      <c r="F564" s="47" t="e" vm="37">
        <v>#VALUE!</v>
      </c>
      <c r="G564" s="43" t="s">
        <v>83</v>
      </c>
      <c r="H564" s="42" t="s">
        <v>245</v>
      </c>
      <c r="I564" s="160" t="s">
        <v>43</v>
      </c>
      <c r="J564" s="55" t="s">
        <v>2171</v>
      </c>
      <c r="K564" s="42" t="s">
        <v>154</v>
      </c>
      <c r="L564" s="65">
        <v>46119.719444444447</v>
      </c>
      <c r="M564" s="55" t="s">
        <v>2391</v>
      </c>
      <c r="N564" s="55" t="s">
        <v>2391</v>
      </c>
      <c r="O564" s="56">
        <v>46119.763888888891</v>
      </c>
      <c r="P564" s="57">
        <v>46119.791666666664</v>
      </c>
      <c r="Q564" s="58">
        <v>46119.851388888892</v>
      </c>
      <c r="R564" s="42"/>
      <c r="S564" s="224" t="s">
        <v>2392</v>
      </c>
      <c r="T564" s="55" t="s">
        <v>478</v>
      </c>
      <c r="U564" s="42"/>
      <c r="V564" s="224" t="s">
        <v>2393</v>
      </c>
      <c r="W564" s="42"/>
      <c r="X564" s="42"/>
      <c r="Y564" s="42" t="s">
        <v>158</v>
      </c>
      <c r="Z564" s="42" t="s">
        <v>70</v>
      </c>
      <c r="AA564" s="42"/>
      <c r="AB564" s="42"/>
      <c r="AC564" s="42"/>
      <c r="AD564" s="42"/>
      <c r="AE564" s="54"/>
    </row>
    <row r="565" spans="1:31" ht="15" hidden="1" customHeight="1">
      <c r="A565" s="60">
        <f>ROW() - ROW(Table1[[#Headers],[s]])</f>
        <v>564</v>
      </c>
      <c r="B565" s="42" t="s">
        <v>2394</v>
      </c>
      <c r="C565" s="51">
        <v>46113</v>
      </c>
      <c r="D565" s="202" t="s">
        <v>2395</v>
      </c>
      <c r="E565" s="42" t="e" vm="15">
        <v>#VALUE!</v>
      </c>
      <c r="F565" s="42" t="e" vm="16">
        <v>#VALUE!</v>
      </c>
      <c r="G565" s="43" t="s">
        <v>174</v>
      </c>
      <c r="H565" s="42" t="s">
        <v>245</v>
      </c>
      <c r="I565" s="42"/>
      <c r="J565" s="55" t="s">
        <v>253</v>
      </c>
      <c r="K565" s="42" t="s">
        <v>154</v>
      </c>
      <c r="L565" s="44">
        <v>46119.700694444444</v>
      </c>
      <c r="M565" s="55" t="s">
        <v>58</v>
      </c>
      <c r="N565" s="55" t="s">
        <v>58</v>
      </c>
      <c r="O565" s="56">
        <v>46120.333333333336</v>
      </c>
      <c r="P565" s="56">
        <v>46120.40625</v>
      </c>
      <c r="Q565" s="56">
        <v>46120.954861111109</v>
      </c>
      <c r="R565" s="42"/>
      <c r="S565" s="53" t="s">
        <v>2396</v>
      </c>
      <c r="T565" s="55"/>
      <c r="U565" s="42"/>
      <c r="V565" s="53" t="s">
        <v>1985</v>
      </c>
      <c r="W565" s="42"/>
      <c r="X565" s="42" t="s">
        <v>2397</v>
      </c>
      <c r="Y565" s="42" t="s">
        <v>70</v>
      </c>
      <c r="Z565" s="42" t="s">
        <v>158</v>
      </c>
      <c r="AA565" s="42"/>
      <c r="AB565" s="42"/>
      <c r="AC565" s="42"/>
      <c r="AD565" s="42"/>
      <c r="AE565" s="54"/>
    </row>
    <row r="566" spans="1:31" s="221" customFormat="1" ht="15" hidden="1" customHeight="1">
      <c r="A566" s="60">
        <f>ROW() - ROW(Table1[[#Headers],[s]])</f>
        <v>565</v>
      </c>
      <c r="B566" s="215" t="s">
        <v>2398</v>
      </c>
      <c r="C566" s="271">
        <v>46113</v>
      </c>
      <c r="D566" s="216" t="s">
        <v>2399</v>
      </c>
      <c r="E566" s="215" t="e" vm="107">
        <v>#VALUE!</v>
      </c>
      <c r="F566" s="215" t="e" vm="23">
        <v>#VALUE!</v>
      </c>
      <c r="G566" s="188" t="s">
        <v>174</v>
      </c>
      <c r="H566" s="215" t="s">
        <v>747</v>
      </c>
      <c r="I566" s="215"/>
      <c r="J566" s="327" t="s">
        <v>253</v>
      </c>
      <c r="K566" s="215" t="s">
        <v>2400</v>
      </c>
      <c r="L566" s="217">
        <v>46119.789583333331</v>
      </c>
      <c r="M566" s="327" t="s">
        <v>2401</v>
      </c>
      <c r="N566" s="327" t="s">
        <v>2401</v>
      </c>
      <c r="O566" s="218">
        <v>46120.333333333336</v>
      </c>
      <c r="P566" s="218">
        <v>46120.4375</v>
      </c>
      <c r="Q566" s="218">
        <v>46120.621527777781</v>
      </c>
      <c r="R566" s="215"/>
      <c r="S566" s="219" t="s">
        <v>2402</v>
      </c>
      <c r="T566" s="55" t="s">
        <v>478</v>
      </c>
      <c r="U566" s="215"/>
      <c r="V566" s="219" t="s">
        <v>2403</v>
      </c>
      <c r="W566" s="215"/>
      <c r="X566" s="215"/>
      <c r="Y566" s="215" t="s">
        <v>70</v>
      </c>
      <c r="Z566" s="215" t="s">
        <v>158</v>
      </c>
      <c r="AA566" s="215"/>
      <c r="AB566" s="215"/>
      <c r="AC566" s="215"/>
      <c r="AD566" s="215"/>
      <c r="AE566" s="220"/>
    </row>
    <row r="567" spans="1:31" ht="15" hidden="1" customHeight="1">
      <c r="A567" s="60">
        <f>ROW() - ROW(Table1[[#Headers],[s]])</f>
        <v>566</v>
      </c>
      <c r="B567" s="53" t="s">
        <v>2404</v>
      </c>
      <c r="C567" s="51">
        <v>46113</v>
      </c>
      <c r="D567" s="52" t="s">
        <v>2405</v>
      </c>
      <c r="E567" s="42" t="e" vm="209">
        <v>#VALUE!</v>
      </c>
      <c r="F567" s="42" t="e" vm="12">
        <v>#VALUE!</v>
      </c>
      <c r="G567" s="32" t="s">
        <v>2406</v>
      </c>
      <c r="H567" s="42" t="s">
        <v>152</v>
      </c>
      <c r="I567" s="32" t="s">
        <v>43</v>
      </c>
      <c r="J567" s="55" t="s">
        <v>253</v>
      </c>
      <c r="K567" s="42" t="s">
        <v>154</v>
      </c>
      <c r="L567" s="44">
        <v>46120.615972222222</v>
      </c>
      <c r="M567" s="55" t="s">
        <v>72</v>
      </c>
      <c r="N567" s="55" t="s">
        <v>72</v>
      </c>
      <c r="O567" s="56">
        <v>46121.513888888891</v>
      </c>
      <c r="P567" s="57">
        <v>46121.517361111109</v>
      </c>
      <c r="Q567" s="58">
        <v>46121.548611111109</v>
      </c>
      <c r="R567" s="42"/>
      <c r="S567" s="53" t="s">
        <v>2407</v>
      </c>
      <c r="T567" s="55" t="s">
        <v>164</v>
      </c>
      <c r="U567" s="42"/>
      <c r="V567" s="53" t="s">
        <v>2408</v>
      </c>
      <c r="W567" s="42"/>
      <c r="X567" s="42"/>
      <c r="Y567" s="42" t="s">
        <v>158</v>
      </c>
      <c r="Z567" s="42" t="s">
        <v>70</v>
      </c>
      <c r="AA567" s="42"/>
      <c r="AB567" s="42"/>
      <c r="AC567" s="42"/>
      <c r="AD567" s="42"/>
      <c r="AE567" s="54"/>
    </row>
    <row r="568" spans="1:31" ht="15" hidden="1" customHeight="1">
      <c r="A568" s="60">
        <f>ROW() - ROW(Table1[[#Headers],[s]])</f>
        <v>567</v>
      </c>
      <c r="B568" s="42" t="s">
        <v>2409</v>
      </c>
      <c r="C568" s="51">
        <v>46113</v>
      </c>
      <c r="D568" s="52" t="s">
        <v>2410</v>
      </c>
      <c r="E568" s="42" t="e" vm="210">
        <v>#VALUE!</v>
      </c>
      <c r="F568" s="42" t="e" vm="2">
        <v>#VALUE!</v>
      </c>
      <c r="G568" s="32" t="s">
        <v>2406</v>
      </c>
      <c r="H568" s="42" t="s">
        <v>152</v>
      </c>
      <c r="I568" s="32" t="s">
        <v>43</v>
      </c>
      <c r="J568" s="55" t="s">
        <v>253</v>
      </c>
      <c r="K568" s="42" t="s">
        <v>154</v>
      </c>
      <c r="L568" s="44">
        <v>46120.620138888888</v>
      </c>
      <c r="M568" s="55" t="s">
        <v>162</v>
      </c>
      <c r="N568" s="55" t="s">
        <v>162</v>
      </c>
      <c r="O568" s="56">
        <v>46121.375</v>
      </c>
      <c r="P568" s="57">
        <v>46121.4</v>
      </c>
      <c r="Q568" s="58">
        <v>46121.423611111109</v>
      </c>
      <c r="R568" s="42"/>
      <c r="S568" s="53" t="s">
        <v>2411</v>
      </c>
      <c r="T568" s="55" t="s">
        <v>179</v>
      </c>
      <c r="U568" s="42"/>
      <c r="V568" s="53" t="s">
        <v>2412</v>
      </c>
      <c r="W568" s="42"/>
      <c r="X568" s="42"/>
      <c r="Y568" s="42" t="s">
        <v>158</v>
      </c>
      <c r="Z568" s="42" t="s">
        <v>70</v>
      </c>
      <c r="AA568" s="42"/>
      <c r="AB568" s="42"/>
      <c r="AC568" s="42"/>
      <c r="AD568" s="42"/>
      <c r="AE568" s="54"/>
    </row>
    <row r="569" spans="1:31" ht="15" hidden="1" customHeight="1">
      <c r="A569" s="60">
        <f>ROW() - ROW(Table1[[#Headers],[s]])</f>
        <v>568</v>
      </c>
      <c r="B569" s="42" t="s">
        <v>2413</v>
      </c>
      <c r="C569" s="163">
        <v>46113</v>
      </c>
      <c r="D569" s="52" t="s">
        <v>2414</v>
      </c>
      <c r="E569" s="42" t="e" vm="173">
        <v>#VALUE!</v>
      </c>
      <c r="F569" s="42" t="e" vm="42">
        <v>#VALUE!</v>
      </c>
      <c r="G569" s="32" t="s">
        <v>2406</v>
      </c>
      <c r="H569" s="42" t="s">
        <v>152</v>
      </c>
      <c r="I569" s="32" t="s">
        <v>43</v>
      </c>
      <c r="J569" s="55" t="s">
        <v>253</v>
      </c>
      <c r="K569" s="42" t="s">
        <v>154</v>
      </c>
      <c r="L569" s="44">
        <v>46120.68472222222</v>
      </c>
      <c r="M569" s="55" t="s">
        <v>602</v>
      </c>
      <c r="N569" s="55" t="s">
        <v>602</v>
      </c>
      <c r="O569" s="56">
        <v>46121.527777777781</v>
      </c>
      <c r="P569" s="57">
        <v>46121.530555555553</v>
      </c>
      <c r="Q569" s="58">
        <v>46121.611111111109</v>
      </c>
      <c r="R569" s="42"/>
      <c r="S569" s="53" t="s">
        <v>2415</v>
      </c>
      <c r="T569" s="55" t="s">
        <v>164</v>
      </c>
      <c r="U569" s="42"/>
      <c r="V569" s="53" t="s">
        <v>2416</v>
      </c>
      <c r="W569" s="42"/>
      <c r="X569" s="42"/>
      <c r="Y569" s="42" t="s">
        <v>158</v>
      </c>
      <c r="Z569" s="42" t="s">
        <v>70</v>
      </c>
      <c r="AA569" s="42"/>
      <c r="AB569" s="42"/>
      <c r="AC569" s="42"/>
      <c r="AD569" s="42"/>
      <c r="AE569" s="54"/>
    </row>
    <row r="570" spans="1:31" ht="15" hidden="1" customHeight="1">
      <c r="A570" s="60">
        <f>ROW() - ROW(Table1[[#Headers],[s]])</f>
        <v>569</v>
      </c>
      <c r="B570" s="42" t="s">
        <v>2417</v>
      </c>
      <c r="C570" s="163">
        <v>46113</v>
      </c>
      <c r="D570" s="52" t="s">
        <v>2418</v>
      </c>
      <c r="E570" s="42" t="e" vm="99">
        <v>#VALUE!</v>
      </c>
      <c r="F570" s="42" t="e" vm="35">
        <v>#VALUE!</v>
      </c>
      <c r="G570" s="32" t="s">
        <v>2406</v>
      </c>
      <c r="H570" s="42" t="s">
        <v>152</v>
      </c>
      <c r="I570" s="32" t="s">
        <v>43</v>
      </c>
      <c r="J570" s="55" t="s">
        <v>253</v>
      </c>
      <c r="K570" s="42" t="s">
        <v>154</v>
      </c>
      <c r="L570" s="44">
        <v>46120.711111111108</v>
      </c>
      <c r="M570" s="55" t="s">
        <v>155</v>
      </c>
      <c r="N570" s="55" t="s">
        <v>155</v>
      </c>
      <c r="O570" s="56">
        <v>46120.854166666664</v>
      </c>
      <c r="P570" s="57">
        <v>46120.916666666664</v>
      </c>
      <c r="Q570" s="58">
        <v>46121.982638888891</v>
      </c>
      <c r="R570" s="42"/>
      <c r="S570" s="53" t="s">
        <v>2419</v>
      </c>
      <c r="T570" s="55" t="s">
        <v>164</v>
      </c>
      <c r="U570" s="42"/>
      <c r="V570" s="53" t="s">
        <v>2420</v>
      </c>
      <c r="W570" s="42"/>
      <c r="X570" s="42"/>
      <c r="Y570" s="42" t="s">
        <v>70</v>
      </c>
      <c r="Z570" s="42" t="s">
        <v>158</v>
      </c>
      <c r="AA570" s="42"/>
      <c r="AB570" s="42"/>
      <c r="AC570" s="42"/>
      <c r="AD570" s="42"/>
      <c r="AE570" s="54"/>
    </row>
    <row r="571" spans="1:31" ht="15" hidden="1" customHeight="1">
      <c r="A571" s="60">
        <f>ROW() - ROW(Table1[[#Headers],[s]])</f>
        <v>570</v>
      </c>
      <c r="B571" s="42" t="s">
        <v>2421</v>
      </c>
      <c r="C571" s="163">
        <v>46113</v>
      </c>
      <c r="D571" s="52" t="s">
        <v>2422</v>
      </c>
      <c r="E571" s="42" t="e" vm="205">
        <v>#VALUE!</v>
      </c>
      <c r="F571" s="42" t="e" vm="10">
        <v>#VALUE!</v>
      </c>
      <c r="G571" s="32" t="s">
        <v>2406</v>
      </c>
      <c r="H571" s="42" t="s">
        <v>152</v>
      </c>
      <c r="I571" s="32" t="s">
        <v>43</v>
      </c>
      <c r="J571" s="55" t="s">
        <v>253</v>
      </c>
      <c r="K571" s="42" t="s">
        <v>154</v>
      </c>
      <c r="L571" s="44">
        <v>46120.716666666667</v>
      </c>
      <c r="M571" s="55" t="s">
        <v>78</v>
      </c>
      <c r="N571" s="55" t="s">
        <v>78</v>
      </c>
      <c r="O571" s="56">
        <v>46121.756944444445</v>
      </c>
      <c r="P571" s="57">
        <v>46121.761805555558</v>
      </c>
      <c r="Q571" s="58">
        <v>46121.805555555555</v>
      </c>
      <c r="R571" s="42"/>
      <c r="S571" s="53" t="s">
        <v>2423</v>
      </c>
      <c r="T571" s="55" t="s">
        <v>164</v>
      </c>
      <c r="U571" s="42"/>
      <c r="V571" s="53" t="s">
        <v>2424</v>
      </c>
      <c r="W571" s="42"/>
      <c r="X571" s="42"/>
      <c r="Y571" s="42" t="s">
        <v>158</v>
      </c>
      <c r="Z571" s="42" t="s">
        <v>70</v>
      </c>
      <c r="AA571" s="42"/>
      <c r="AB571" s="42"/>
      <c r="AC571" s="42"/>
      <c r="AD571" s="42"/>
      <c r="AE571" s="54"/>
    </row>
    <row r="572" spans="1:31" ht="15" hidden="1" customHeight="1">
      <c r="A572" s="60">
        <f>ROW() - ROW(Table1[[#Headers],[s]])</f>
        <v>571</v>
      </c>
      <c r="B572" s="52" t="s">
        <v>2425</v>
      </c>
      <c r="C572" s="163">
        <v>46113</v>
      </c>
      <c r="D572" s="52" t="s">
        <v>2426</v>
      </c>
      <c r="E572" s="42" t="e" vm="211">
        <v>#VALUE!</v>
      </c>
      <c r="F572" s="42" t="e" vm="16">
        <v>#VALUE!</v>
      </c>
      <c r="G572" s="32" t="s">
        <v>2406</v>
      </c>
      <c r="H572" s="42" t="s">
        <v>152</v>
      </c>
      <c r="I572" s="32" t="s">
        <v>43</v>
      </c>
      <c r="J572" s="55" t="s">
        <v>253</v>
      </c>
      <c r="K572" s="42" t="s">
        <v>154</v>
      </c>
      <c r="L572" s="44">
        <v>46120.702777777777</v>
      </c>
      <c r="M572" s="55" t="s">
        <v>58</v>
      </c>
      <c r="N572" s="55" t="s">
        <v>58</v>
      </c>
      <c r="O572" s="56">
        <v>46121.416666666664</v>
      </c>
      <c r="P572" s="57">
        <v>46121.427083333336</v>
      </c>
      <c r="Q572" s="58">
        <v>46121.444444444445</v>
      </c>
      <c r="R572" s="42"/>
      <c r="S572" s="53" t="s">
        <v>2427</v>
      </c>
      <c r="T572" s="55" t="s">
        <v>179</v>
      </c>
      <c r="U572" s="42"/>
      <c r="V572" s="53" t="s">
        <v>2428</v>
      </c>
      <c r="W572" s="42"/>
      <c r="X572" s="42"/>
      <c r="Y572" s="42" t="s">
        <v>158</v>
      </c>
      <c r="Z572" s="42" t="s">
        <v>70</v>
      </c>
      <c r="AA572" s="42"/>
      <c r="AB572" s="42"/>
      <c r="AC572" s="42"/>
      <c r="AD572" s="42"/>
      <c r="AE572" s="54"/>
    </row>
    <row r="573" spans="1:31" ht="15.75" hidden="1" customHeight="1">
      <c r="A573" s="60">
        <f>ROW() - ROW(Table1[[#Headers],[s]])</f>
        <v>572</v>
      </c>
      <c r="B573" s="74" t="s">
        <v>2429</v>
      </c>
      <c r="C573" s="51">
        <v>46113</v>
      </c>
      <c r="D573" s="52" t="s">
        <v>2430</v>
      </c>
      <c r="E573" s="42" t="e" vm="24">
        <v>#VALUE!</v>
      </c>
      <c r="F573" s="42" t="e" vm="25">
        <v>#VALUE!</v>
      </c>
      <c r="G573" s="43" t="s">
        <v>174</v>
      </c>
      <c r="H573" s="42" t="s">
        <v>152</v>
      </c>
      <c r="I573" s="42"/>
      <c r="J573" s="55" t="s">
        <v>253</v>
      </c>
      <c r="K573" s="42" t="s">
        <v>154</v>
      </c>
      <c r="L573" s="44">
        <v>46120.532638888886</v>
      </c>
      <c r="M573" s="55" t="s">
        <v>72</v>
      </c>
      <c r="N573" s="55" t="s">
        <v>72</v>
      </c>
      <c r="O573" s="44">
        <v>46120.572916666664</v>
      </c>
      <c r="P573" s="44">
        <v>46120.590277777781</v>
      </c>
      <c r="Q573" s="44">
        <v>46120.645833333336</v>
      </c>
      <c r="R573" s="42"/>
      <c r="S573" s="53" t="s">
        <v>2431</v>
      </c>
      <c r="T573" s="55" t="s">
        <v>164</v>
      </c>
      <c r="U573" s="42"/>
      <c r="V573" s="53" t="s">
        <v>2432</v>
      </c>
      <c r="W573" s="42"/>
      <c r="X573" s="42"/>
      <c r="Y573" s="42" t="s">
        <v>158</v>
      </c>
      <c r="Z573" s="42" t="s">
        <v>70</v>
      </c>
      <c r="AA573" s="42"/>
      <c r="AB573" s="42"/>
      <c r="AC573" s="42"/>
      <c r="AD573" s="42"/>
      <c r="AE573" s="54"/>
    </row>
    <row r="574" spans="1:31" ht="15" hidden="1" customHeight="1">
      <c r="A574" s="60">
        <f>ROW() - ROW(Table1[[#Headers],[s]])</f>
        <v>573</v>
      </c>
      <c r="B574" s="52" t="s">
        <v>2433</v>
      </c>
      <c r="C574" s="51">
        <v>46113</v>
      </c>
      <c r="D574" s="52" t="s">
        <v>2434</v>
      </c>
      <c r="E574" s="42" t="e" vm="80">
        <v>#VALUE!</v>
      </c>
      <c r="F574" s="42" t="e" vm="10">
        <v>#VALUE!</v>
      </c>
      <c r="G574" s="43" t="s">
        <v>174</v>
      </c>
      <c r="H574" s="42" t="s">
        <v>747</v>
      </c>
      <c r="I574" s="42"/>
      <c r="J574" s="55" t="s">
        <v>253</v>
      </c>
      <c r="K574" s="42" t="s">
        <v>154</v>
      </c>
      <c r="L574" s="44">
        <v>46120.686111111114</v>
      </c>
      <c r="M574" s="55" t="s">
        <v>78</v>
      </c>
      <c r="N574" s="55" t="s">
        <v>78</v>
      </c>
      <c r="O574" s="44">
        <v>46120.729166666664</v>
      </c>
      <c r="P574" s="44">
        <v>46120.770833333336</v>
      </c>
      <c r="Q574" s="44">
        <v>46120.8125</v>
      </c>
      <c r="R574" s="42"/>
      <c r="S574" s="53" t="s">
        <v>2435</v>
      </c>
      <c r="T574" s="55" t="s">
        <v>164</v>
      </c>
      <c r="U574" s="42"/>
      <c r="V574" s="53" t="s">
        <v>2436</v>
      </c>
      <c r="W574" s="42"/>
      <c r="X574" s="42"/>
      <c r="Y574" s="42" t="s">
        <v>158</v>
      </c>
      <c r="Z574" s="42" t="s">
        <v>70</v>
      </c>
      <c r="AA574" s="42"/>
      <c r="AB574" s="42"/>
      <c r="AC574" s="42"/>
      <c r="AD574" s="42"/>
      <c r="AE574" s="54"/>
    </row>
    <row r="575" spans="1:31" ht="15" hidden="1" customHeight="1">
      <c r="A575" s="60">
        <f>ROW() - ROW(Table1[[#Headers],[s]])</f>
        <v>574</v>
      </c>
      <c r="B575" s="52" t="s">
        <v>2437</v>
      </c>
      <c r="C575" s="51">
        <v>46113</v>
      </c>
      <c r="D575" s="52" t="s">
        <v>2438</v>
      </c>
      <c r="E575" s="42" t="e" vm="118">
        <v>#VALUE!</v>
      </c>
      <c r="F575" s="42" t="e" vm="25">
        <v>#VALUE!</v>
      </c>
      <c r="G575" s="43" t="s">
        <v>200</v>
      </c>
      <c r="H575" s="42" t="s">
        <v>747</v>
      </c>
      <c r="I575" s="42" t="s">
        <v>43</v>
      </c>
      <c r="J575" s="55" t="s">
        <v>253</v>
      </c>
      <c r="K575" s="42" t="s">
        <v>154</v>
      </c>
      <c r="L575" s="44">
        <v>46120.756249999999</v>
      </c>
      <c r="M575" s="55" t="s">
        <v>72</v>
      </c>
      <c r="N575" s="55" t="s">
        <v>72</v>
      </c>
      <c r="O575" s="43"/>
      <c r="P575" s="44" t="s">
        <v>2439</v>
      </c>
      <c r="Q575" s="44"/>
      <c r="R575" s="42"/>
      <c r="S575" s="53" t="s">
        <v>2440</v>
      </c>
      <c r="T575" s="55" t="s">
        <v>164</v>
      </c>
      <c r="U575" s="42"/>
      <c r="V575" s="53" t="s">
        <v>2441</v>
      </c>
      <c r="W575" s="42"/>
      <c r="X575" s="42"/>
      <c r="Y575" s="42" t="s">
        <v>70</v>
      </c>
      <c r="Z575" s="42" t="s">
        <v>70</v>
      </c>
      <c r="AA575" s="42"/>
      <c r="AB575" s="42"/>
      <c r="AC575" s="42"/>
      <c r="AD575" s="42"/>
      <c r="AE575" s="54"/>
    </row>
    <row r="576" spans="1:31" ht="15" hidden="1" customHeight="1">
      <c r="A576" s="60">
        <f>ROW() - ROW(Table1[[#Headers],[s]])</f>
        <v>575</v>
      </c>
      <c r="B576" s="59" t="s">
        <v>2442</v>
      </c>
      <c r="C576" s="161" t="s">
        <v>60</v>
      </c>
      <c r="D576" s="59" t="s">
        <v>2443</v>
      </c>
      <c r="E576" s="47" t="s">
        <v>975</v>
      </c>
      <c r="F576" s="47" t="e" vm="25">
        <v>#VALUE!</v>
      </c>
      <c r="G576" s="43" t="s">
        <v>174</v>
      </c>
      <c r="H576" s="47" t="s">
        <v>152</v>
      </c>
      <c r="I576" s="47"/>
      <c r="J576" s="134" t="s">
        <v>153</v>
      </c>
      <c r="K576" s="42" t="s">
        <v>154</v>
      </c>
      <c r="L576" s="44">
        <v>46121.472916666666</v>
      </c>
      <c r="M576" s="55" t="s">
        <v>72</v>
      </c>
      <c r="N576" s="55" t="s">
        <v>72</v>
      </c>
      <c r="O576" s="56">
        <v>46121.666666666664</v>
      </c>
      <c r="P576" s="38">
        <v>46121.745138888888</v>
      </c>
      <c r="Q576" s="38">
        <v>46122.385416666664</v>
      </c>
      <c r="R576" s="42"/>
      <c r="S576" s="53" t="s">
        <v>2444</v>
      </c>
      <c r="T576" s="55" t="s">
        <v>164</v>
      </c>
      <c r="U576" s="42" t="s">
        <v>2445</v>
      </c>
      <c r="V576" s="53" t="s">
        <v>2446</v>
      </c>
      <c r="W576" s="42"/>
      <c r="X576" s="42"/>
      <c r="Y576" s="42" t="s">
        <v>70</v>
      </c>
      <c r="Z576" s="42" t="s">
        <v>70</v>
      </c>
      <c r="AA576" s="42"/>
      <c r="AB576" s="42"/>
      <c r="AC576" s="42"/>
      <c r="AD576" s="42"/>
      <c r="AE576" s="54"/>
    </row>
    <row r="577" spans="1:31" ht="15" hidden="1" customHeight="1">
      <c r="A577" s="60">
        <f>ROW() - ROW(Table1[[#Headers],[s]])</f>
        <v>576</v>
      </c>
      <c r="B577" s="52" t="s">
        <v>2447</v>
      </c>
      <c r="C577" s="161" t="s">
        <v>60</v>
      </c>
      <c r="D577" s="52" t="s">
        <v>2448</v>
      </c>
      <c r="E577" s="42" t="s">
        <v>975</v>
      </c>
      <c r="F577" s="42" t="e" vm="25">
        <v>#VALUE!</v>
      </c>
      <c r="G577" s="43" t="s">
        <v>174</v>
      </c>
      <c r="H577" s="42" t="s">
        <v>152</v>
      </c>
      <c r="I577" s="42"/>
      <c r="J577" s="55" t="s">
        <v>153</v>
      </c>
      <c r="K577" s="42" t="s">
        <v>154</v>
      </c>
      <c r="L577" s="44">
        <v>46121.474999999999</v>
      </c>
      <c r="M577" s="55" t="s">
        <v>72</v>
      </c>
      <c r="N577" s="55" t="s">
        <v>72</v>
      </c>
      <c r="O577" s="43"/>
      <c r="P577" s="32"/>
      <c r="Q577" s="32"/>
      <c r="R577" s="42"/>
      <c r="S577" s="53" t="s">
        <v>2449</v>
      </c>
      <c r="T577" s="55" t="s">
        <v>164</v>
      </c>
      <c r="U577" s="42"/>
      <c r="V577" s="53"/>
      <c r="W577" s="42"/>
      <c r="X577" s="42"/>
      <c r="Y577" s="42" t="s">
        <v>179</v>
      </c>
      <c r="Z577" s="42" t="s">
        <v>179</v>
      </c>
      <c r="AA577" s="42"/>
      <c r="AB577" s="42"/>
      <c r="AC577" s="42"/>
      <c r="AD577" s="42"/>
      <c r="AE577" s="54"/>
    </row>
    <row r="578" spans="1:31" ht="15" hidden="1" customHeight="1">
      <c r="A578" s="60">
        <f>ROW() - ROW(Table1[[#Headers],[s]])</f>
        <v>577</v>
      </c>
      <c r="B578" s="52" t="s">
        <v>2450</v>
      </c>
      <c r="C578" s="51">
        <v>46113</v>
      </c>
      <c r="D578" s="52" t="s">
        <v>2451</v>
      </c>
      <c r="E578" s="42" t="s">
        <v>975</v>
      </c>
      <c r="F578" s="42" t="e" vm="25">
        <v>#VALUE!</v>
      </c>
      <c r="G578" s="43" t="s">
        <v>174</v>
      </c>
      <c r="H578" s="42" t="s">
        <v>152</v>
      </c>
      <c r="I578" s="42"/>
      <c r="J578" s="55" t="s">
        <v>153</v>
      </c>
      <c r="K578" s="42" t="s">
        <v>154</v>
      </c>
      <c r="L578" s="44">
        <v>46121.537499999999</v>
      </c>
      <c r="M578" s="55" t="s">
        <v>72</v>
      </c>
      <c r="N578" s="55" t="s">
        <v>72</v>
      </c>
      <c r="O578" s="43"/>
      <c r="P578" s="32"/>
      <c r="Q578" s="32"/>
      <c r="R578" s="42"/>
      <c r="S578" s="53" t="s">
        <v>2449</v>
      </c>
      <c r="T578" s="55" t="s">
        <v>164</v>
      </c>
      <c r="U578" s="42"/>
      <c r="V578" s="53"/>
      <c r="W578" s="42"/>
      <c r="X578" s="42"/>
      <c r="Y578" s="42" t="s">
        <v>179</v>
      </c>
      <c r="Z578" s="42" t="s">
        <v>179</v>
      </c>
      <c r="AA578" s="42"/>
      <c r="AB578" s="42"/>
      <c r="AC578" s="42"/>
      <c r="AD578" s="42"/>
      <c r="AE578" s="54"/>
    </row>
    <row r="579" spans="1:31" ht="15" hidden="1" customHeight="1">
      <c r="A579" s="60">
        <f>ROW() - ROW(Table1[[#Headers],[s]])</f>
        <v>578</v>
      </c>
      <c r="B579" s="52" t="s">
        <v>2452</v>
      </c>
      <c r="C579" s="51">
        <v>46113</v>
      </c>
      <c r="D579" s="52" t="s">
        <v>2453</v>
      </c>
      <c r="E579" s="42" t="e" vm="210">
        <v>#VALUE!</v>
      </c>
      <c r="F579" s="42" t="e" vm="2">
        <v>#VALUE!</v>
      </c>
      <c r="G579" s="43" t="s">
        <v>1057</v>
      </c>
      <c r="H579" s="42" t="s">
        <v>152</v>
      </c>
      <c r="I579" s="32" t="s">
        <v>43</v>
      </c>
      <c r="J579" s="55" t="s">
        <v>153</v>
      </c>
      <c r="K579" s="42" t="s">
        <v>154</v>
      </c>
      <c r="L579" s="44">
        <v>46121.513888888891</v>
      </c>
      <c r="M579" s="55" t="s">
        <v>162</v>
      </c>
      <c r="N579" s="55" t="s">
        <v>162</v>
      </c>
      <c r="O579" s="56">
        <v>46121.631944444445</v>
      </c>
      <c r="P579" s="38">
        <v>46121.708333333336</v>
      </c>
      <c r="Q579" s="38">
        <v>46121.765972222223</v>
      </c>
      <c r="R579" s="42"/>
      <c r="S579" s="53" t="s">
        <v>2454</v>
      </c>
      <c r="T579" s="55" t="s">
        <v>164</v>
      </c>
      <c r="U579" s="42"/>
      <c r="V579" s="53" t="s">
        <v>2455</v>
      </c>
      <c r="W579" s="42"/>
      <c r="X579" s="42"/>
      <c r="Y579" s="42" t="s">
        <v>158</v>
      </c>
      <c r="Z579" s="42" t="s">
        <v>70</v>
      </c>
      <c r="AA579" s="42"/>
      <c r="AB579" s="42"/>
      <c r="AC579" s="42"/>
      <c r="AD579" s="42"/>
      <c r="AE579" s="54"/>
    </row>
    <row r="580" spans="1:31" ht="15" hidden="1" customHeight="1">
      <c r="A580" s="60">
        <f>ROW() - ROW(Table1[[#Headers],[s]])</f>
        <v>579</v>
      </c>
      <c r="B580" s="52" t="s">
        <v>2456</v>
      </c>
      <c r="C580" s="51">
        <v>46113</v>
      </c>
      <c r="D580" s="52" t="s">
        <v>2457</v>
      </c>
      <c r="E580" s="42" t="e" vm="205">
        <v>#VALUE!</v>
      </c>
      <c r="F580" s="42" t="e" vm="10">
        <v>#VALUE!</v>
      </c>
      <c r="G580" s="43" t="s">
        <v>1057</v>
      </c>
      <c r="H580" s="42" t="s">
        <v>152</v>
      </c>
      <c r="I580" s="32" t="s">
        <v>43</v>
      </c>
      <c r="J580" s="55" t="s">
        <v>153</v>
      </c>
      <c r="K580" s="42" t="s">
        <v>154</v>
      </c>
      <c r="L580" s="44">
        <v>46121.520833333336</v>
      </c>
      <c r="M580" s="55" t="s">
        <v>78</v>
      </c>
      <c r="N580" s="55" t="s">
        <v>78</v>
      </c>
      <c r="O580" s="56">
        <v>46121.722222222219</v>
      </c>
      <c r="P580" s="38">
        <v>46121.732638888891</v>
      </c>
      <c r="Q580" s="38">
        <v>46121.74722222222</v>
      </c>
      <c r="R580" s="42"/>
      <c r="S580" s="53" t="s">
        <v>2458</v>
      </c>
      <c r="T580" s="55" t="s">
        <v>164</v>
      </c>
      <c r="U580" s="42"/>
      <c r="V580" s="53" t="s">
        <v>2459</v>
      </c>
      <c r="W580" s="42"/>
      <c r="X580" s="42"/>
      <c r="Y580" s="42" t="s">
        <v>158</v>
      </c>
      <c r="Z580" s="42" t="s">
        <v>70</v>
      </c>
      <c r="AA580" s="42"/>
      <c r="AB580" s="42"/>
      <c r="AC580" s="42"/>
      <c r="AD580" s="42"/>
      <c r="AE580" s="54"/>
    </row>
    <row r="581" spans="1:31" ht="15" hidden="1" customHeight="1">
      <c r="A581" s="60">
        <f>ROW() - ROW(Table1[[#Headers],[s]])</f>
        <v>580</v>
      </c>
      <c r="B581" s="59" t="s">
        <v>2460</v>
      </c>
      <c r="C581" s="270">
        <v>46113</v>
      </c>
      <c r="D581" s="59" t="s">
        <v>2461</v>
      </c>
      <c r="E581" s="47" t="e" vm="20">
        <v>#VALUE!</v>
      </c>
      <c r="F581" s="47" t="e" vm="21">
        <v>#VALUE!</v>
      </c>
      <c r="G581" s="43" t="s">
        <v>174</v>
      </c>
      <c r="H581" s="47" t="s">
        <v>152</v>
      </c>
      <c r="I581" s="47"/>
      <c r="J581" s="134" t="s">
        <v>153</v>
      </c>
      <c r="K581" s="42" t="s">
        <v>154</v>
      </c>
      <c r="L581" s="44">
        <v>46121.611805555556</v>
      </c>
      <c r="M581" s="55" t="s">
        <v>39</v>
      </c>
      <c r="N581" s="55" t="s">
        <v>39</v>
      </c>
      <c r="O581" s="56">
        <v>46122.333333333336</v>
      </c>
      <c r="P581" s="56">
        <v>46122.354166666664</v>
      </c>
      <c r="Q581" s="56">
        <v>46122.375</v>
      </c>
      <c r="R581" s="42"/>
      <c r="S581" s="53" t="s">
        <v>2462</v>
      </c>
      <c r="T581" s="55" t="s">
        <v>164</v>
      </c>
      <c r="U581" s="42"/>
      <c r="V581" s="53" t="s">
        <v>930</v>
      </c>
      <c r="W581" s="42"/>
      <c r="X581" s="42"/>
      <c r="Y581" s="42" t="s">
        <v>158</v>
      </c>
      <c r="Z581" s="42" t="s">
        <v>70</v>
      </c>
      <c r="AA581" s="42"/>
      <c r="AB581" s="42"/>
      <c r="AC581" s="42"/>
      <c r="AD581" s="42"/>
      <c r="AE581" s="54"/>
    </row>
    <row r="582" spans="1:31" ht="15" hidden="1" customHeight="1">
      <c r="A582" s="60">
        <f>ROW() - ROW(Table1[[#Headers],[s]])</f>
        <v>581</v>
      </c>
      <c r="B582" s="52" t="s">
        <v>2463</v>
      </c>
      <c r="C582" s="163">
        <v>46113</v>
      </c>
      <c r="D582" s="52" t="s">
        <v>2464</v>
      </c>
      <c r="E582" s="42" t="e" vm="27">
        <v>#VALUE!</v>
      </c>
      <c r="F582" s="42" t="e" vm="10">
        <v>#VALUE!</v>
      </c>
      <c r="G582" s="43" t="s">
        <v>174</v>
      </c>
      <c r="H582" s="42" t="s">
        <v>747</v>
      </c>
      <c r="I582" s="42"/>
      <c r="J582" s="55" t="s">
        <v>253</v>
      </c>
      <c r="K582" s="42" t="s">
        <v>154</v>
      </c>
      <c r="L582" s="44">
        <v>46122.570833333331</v>
      </c>
      <c r="M582" s="55" t="s">
        <v>78</v>
      </c>
      <c r="N582" s="55" t="s">
        <v>78</v>
      </c>
      <c r="O582" s="44">
        <v>46122.645833333336</v>
      </c>
      <c r="P582" s="44">
        <v>46122.666666666664</v>
      </c>
      <c r="Q582" s="44">
        <v>46122.872916666667</v>
      </c>
      <c r="R582" s="42"/>
      <c r="S582" s="53" t="s">
        <v>1509</v>
      </c>
      <c r="T582" s="18" t="s">
        <v>2165</v>
      </c>
      <c r="U582" s="42"/>
      <c r="V582" s="53" t="s">
        <v>404</v>
      </c>
      <c r="W582" s="42"/>
      <c r="X582" s="42"/>
      <c r="Y582" s="42" t="s">
        <v>158</v>
      </c>
      <c r="Z582" s="42" t="s">
        <v>158</v>
      </c>
      <c r="AA582" s="42"/>
      <c r="AB582" s="42"/>
      <c r="AC582" s="42"/>
      <c r="AD582" s="42"/>
      <c r="AE582" s="54"/>
    </row>
    <row r="583" spans="1:31" ht="15" hidden="1" customHeight="1">
      <c r="A583" s="60">
        <f>ROW() - ROW(Table1[[#Headers],[s]])</f>
        <v>582</v>
      </c>
      <c r="B583" s="203" t="s">
        <v>2465</v>
      </c>
      <c r="C583" s="275">
        <v>46113</v>
      </c>
      <c r="D583" s="204" t="s">
        <v>2466</v>
      </c>
      <c r="E583" s="203" t="e" vm="152">
        <v>#VALUE!</v>
      </c>
      <c r="F583" s="203" t="e" vm="2">
        <v>#VALUE!</v>
      </c>
      <c r="G583" s="45" t="s">
        <v>174</v>
      </c>
      <c r="H583" s="203" t="s">
        <v>747</v>
      </c>
      <c r="I583" s="203"/>
      <c r="J583" s="328" t="s">
        <v>253</v>
      </c>
      <c r="K583" s="42" t="s">
        <v>154</v>
      </c>
      <c r="L583" s="205">
        <v>46122.377083333333</v>
      </c>
      <c r="M583" s="328" t="s">
        <v>162</v>
      </c>
      <c r="N583" s="328" t="s">
        <v>162</v>
      </c>
      <c r="O583" s="205">
        <v>46122.461805555555</v>
      </c>
      <c r="P583" s="205">
        <v>46122.493055555555</v>
      </c>
      <c r="Q583" s="205">
        <v>46122.570138888892</v>
      </c>
      <c r="R583" s="203"/>
      <c r="S583" s="208" t="s">
        <v>2467</v>
      </c>
      <c r="T583" s="55" t="s">
        <v>164</v>
      </c>
      <c r="U583" s="203"/>
      <c r="V583" s="208" t="s">
        <v>183</v>
      </c>
      <c r="W583" s="203"/>
      <c r="X583" s="203"/>
      <c r="Y583" s="42" t="s">
        <v>158</v>
      </c>
      <c r="Z583" s="42" t="s">
        <v>70</v>
      </c>
      <c r="AA583" s="203"/>
      <c r="AB583" s="203"/>
      <c r="AC583" s="203"/>
      <c r="AD583" s="203"/>
      <c r="AE583" s="209"/>
    </row>
    <row r="584" spans="1:31" ht="15" hidden="1" customHeight="1">
      <c r="A584" s="60">
        <f>ROW() - ROW(Table1[[#Headers],[s]])</f>
        <v>583</v>
      </c>
      <c r="B584" s="203" t="s">
        <v>2468</v>
      </c>
      <c r="C584" s="275">
        <v>46113</v>
      </c>
      <c r="D584" s="204" t="s">
        <v>2469</v>
      </c>
      <c r="E584" s="203" t="e" vm="210">
        <v>#VALUE!</v>
      </c>
      <c r="F584" s="203" t="e" vm="2">
        <v>#VALUE!</v>
      </c>
      <c r="G584" s="45" t="s">
        <v>36</v>
      </c>
      <c r="H584" s="203" t="s">
        <v>152</v>
      </c>
      <c r="I584" s="203" t="s">
        <v>43</v>
      </c>
      <c r="J584" s="328" t="s">
        <v>153</v>
      </c>
      <c r="K584" s="42" t="s">
        <v>154</v>
      </c>
      <c r="L584" s="205">
        <v>46123.420138888891</v>
      </c>
      <c r="M584" s="328" t="s">
        <v>162</v>
      </c>
      <c r="N584" s="328" t="s">
        <v>162</v>
      </c>
      <c r="O584" s="206"/>
      <c r="P584" s="205"/>
      <c r="Q584" s="207">
        <v>46123.614583333336</v>
      </c>
      <c r="R584" s="203"/>
      <c r="S584" s="208" t="s">
        <v>259</v>
      </c>
      <c r="T584" s="55" t="s">
        <v>164</v>
      </c>
      <c r="U584" s="203"/>
      <c r="V584" s="291" t="s">
        <v>1713</v>
      </c>
      <c r="W584" s="203"/>
      <c r="X584" s="203"/>
      <c r="Y584" s="203" t="s">
        <v>158</v>
      </c>
      <c r="Z584" t="s">
        <v>67</v>
      </c>
      <c r="AB584" s="203"/>
      <c r="AC584" s="203"/>
      <c r="AD584" s="203"/>
      <c r="AE584" s="209"/>
    </row>
    <row r="585" spans="1:31" ht="15" hidden="1" customHeight="1">
      <c r="A585" s="60">
        <f>ROW() - ROW(Table1[[#Headers],[s]])</f>
        <v>584</v>
      </c>
      <c r="B585" s="52" t="s">
        <v>2470</v>
      </c>
      <c r="C585" s="163">
        <v>46113</v>
      </c>
      <c r="D585" s="52" t="s">
        <v>2471</v>
      </c>
      <c r="E585" s="42" t="e" vm="70">
        <v>#VALUE!</v>
      </c>
      <c r="F585" s="42" t="e" vm="37">
        <v>#VALUE!</v>
      </c>
      <c r="G585" s="43" t="s">
        <v>36</v>
      </c>
      <c r="H585" s="42" t="s">
        <v>152</v>
      </c>
      <c r="I585" s="42" t="s">
        <v>43</v>
      </c>
      <c r="J585" s="55" t="s">
        <v>153</v>
      </c>
      <c r="K585" s="42" t="s">
        <v>154</v>
      </c>
      <c r="L585" s="44">
        <v>46123.418749999997</v>
      </c>
      <c r="M585" s="55" t="s">
        <v>81</v>
      </c>
      <c r="N585" s="55" t="s">
        <v>81</v>
      </c>
      <c r="O585" s="56"/>
      <c r="P585" s="44"/>
      <c r="Q585" s="58">
        <v>46123.583333333336</v>
      </c>
      <c r="R585" s="42"/>
      <c r="S585" s="53" t="s">
        <v>2472</v>
      </c>
      <c r="T585" s="55" t="s">
        <v>164</v>
      </c>
      <c r="U585" s="42"/>
      <c r="V585" s="53" t="s">
        <v>2473</v>
      </c>
      <c r="W585" s="42"/>
      <c r="X585" s="42"/>
      <c r="Y585" s="42" t="s">
        <v>203</v>
      </c>
      <c r="Z585" s="42" t="s">
        <v>70</v>
      </c>
      <c r="AA585" s="42"/>
      <c r="AB585" s="42"/>
      <c r="AC585" s="42"/>
      <c r="AD585" s="42"/>
      <c r="AE585" s="54"/>
    </row>
    <row r="586" spans="1:31" ht="15" hidden="1" customHeight="1">
      <c r="A586" s="60">
        <f>ROW() - ROW(Table1[[#Headers],[s]])</f>
        <v>585</v>
      </c>
      <c r="B586" s="52" t="s">
        <v>2474</v>
      </c>
      <c r="C586" s="163">
        <v>46113</v>
      </c>
      <c r="D586" s="52" t="s">
        <v>2475</v>
      </c>
      <c r="E586" s="42" t="s">
        <v>898</v>
      </c>
      <c r="F586" s="42" t="e" vm="25">
        <v>#VALUE!</v>
      </c>
      <c r="G586" s="43" t="s">
        <v>36</v>
      </c>
      <c r="H586" s="42" t="s">
        <v>152</v>
      </c>
      <c r="I586" s="42" t="s">
        <v>43</v>
      </c>
      <c r="J586" s="55" t="s">
        <v>153</v>
      </c>
      <c r="K586" s="42" t="s">
        <v>154</v>
      </c>
      <c r="L586" s="44">
        <v>46123.431250000001</v>
      </c>
      <c r="M586" s="55" t="s">
        <v>72</v>
      </c>
      <c r="N586" s="55" t="s">
        <v>72</v>
      </c>
      <c r="O586" s="56"/>
      <c r="P586" s="44"/>
      <c r="Q586" s="58">
        <v>46123.576388888891</v>
      </c>
      <c r="R586" s="42"/>
      <c r="S586" s="53" t="s">
        <v>921</v>
      </c>
      <c r="T586" s="55" t="s">
        <v>164</v>
      </c>
      <c r="U586" s="42"/>
      <c r="V586" s="53" t="s">
        <v>2476</v>
      </c>
      <c r="W586" s="42"/>
      <c r="X586" s="42"/>
      <c r="Y586" s="42" t="s">
        <v>203</v>
      </c>
      <c r="Z586" s="42" t="s">
        <v>70</v>
      </c>
      <c r="AA586" s="42"/>
      <c r="AB586" s="42"/>
      <c r="AC586" s="42"/>
      <c r="AD586" s="42"/>
      <c r="AE586" s="54"/>
    </row>
    <row r="587" spans="1:31" ht="15" hidden="1" customHeight="1">
      <c r="A587" s="60">
        <f>ROW() - ROW(Table1[[#Headers],[s]])</f>
        <v>586</v>
      </c>
      <c r="B587" t="s">
        <v>2477</v>
      </c>
      <c r="C587" s="272">
        <v>46113</v>
      </c>
      <c r="D587" s="19" t="s">
        <v>2478</v>
      </c>
      <c r="E587" t="e" vm="212">
        <v>#VALUE!</v>
      </c>
      <c r="F587" t="e" vm="26">
        <v>#VALUE!</v>
      </c>
      <c r="G587" s="5" t="s">
        <v>36</v>
      </c>
      <c r="H587" t="s">
        <v>152</v>
      </c>
      <c r="I587" t="s">
        <v>43</v>
      </c>
      <c r="J587" s="18" t="s">
        <v>153</v>
      </c>
      <c r="K587" s="42" t="s">
        <v>154</v>
      </c>
      <c r="L587" s="20">
        <v>46123.604861111111</v>
      </c>
      <c r="M587" s="55" t="s">
        <v>81</v>
      </c>
      <c r="N587" s="55" t="s">
        <v>81</v>
      </c>
      <c r="Q587" s="22">
        <v>46123.722222222219</v>
      </c>
      <c r="S587" s="21" t="s">
        <v>2479</v>
      </c>
      <c r="T587" s="55" t="s">
        <v>164</v>
      </c>
      <c r="V587" s="21" t="s">
        <v>2480</v>
      </c>
      <c r="Y587" t="s">
        <v>158</v>
      </c>
      <c r="Z587" t="s">
        <v>70</v>
      </c>
    </row>
    <row r="588" spans="1:31" ht="15" hidden="1" customHeight="1">
      <c r="A588" s="60">
        <f>ROW() - ROW(Table1[[#Headers],[s]])</f>
        <v>587</v>
      </c>
      <c r="B588" s="210" t="s">
        <v>2481</v>
      </c>
      <c r="C588" s="163">
        <v>46113</v>
      </c>
      <c r="D588" s="52" t="s">
        <v>2482</v>
      </c>
      <c r="E588" t="e" vm="213">
        <v>#VALUE!</v>
      </c>
      <c r="F588" t="e" vm="40">
        <v>#VALUE!</v>
      </c>
      <c r="G588" s="43" t="s">
        <v>36</v>
      </c>
      <c r="H588" t="s">
        <v>152</v>
      </c>
      <c r="I588" t="s">
        <v>43</v>
      </c>
      <c r="J588" s="18" t="s">
        <v>153</v>
      </c>
      <c r="K588" s="42" t="s">
        <v>154</v>
      </c>
      <c r="L588" s="44">
        <v>46123.638194444444</v>
      </c>
      <c r="M588" s="55" t="s">
        <v>55</v>
      </c>
      <c r="N588" s="55" t="s">
        <v>55</v>
      </c>
      <c r="O588" s="56"/>
      <c r="Q588" s="58">
        <v>46123.875</v>
      </c>
      <c r="S588" s="21" t="s">
        <v>2483</v>
      </c>
      <c r="T588" s="55" t="s">
        <v>2484</v>
      </c>
      <c r="V588" s="53" t="s">
        <v>2485</v>
      </c>
      <c r="Y588" t="s">
        <v>158</v>
      </c>
      <c r="Z588" t="s">
        <v>70</v>
      </c>
    </row>
    <row r="589" spans="1:31" ht="15" customHeight="1">
      <c r="A589" s="60">
        <f>ROW() - ROW(Table1[[#Headers],[s]])</f>
        <v>588</v>
      </c>
      <c r="B589" t="s">
        <v>2486</v>
      </c>
      <c r="C589" s="163">
        <v>46113</v>
      </c>
      <c r="D589" s="52" t="s">
        <v>2487</v>
      </c>
      <c r="E589" t="e" vm="107">
        <v>#VALUE!</v>
      </c>
      <c r="F589" t="e" vm="23">
        <v>#VALUE!</v>
      </c>
      <c r="G589" s="43" t="s">
        <v>83</v>
      </c>
      <c r="H589" t="s">
        <v>747</v>
      </c>
      <c r="I589" s="160" t="s">
        <v>43</v>
      </c>
      <c r="J589" s="18" t="s">
        <v>253</v>
      </c>
      <c r="K589" s="42" t="s">
        <v>154</v>
      </c>
      <c r="L589" s="44">
        <v>46124.568055555559</v>
      </c>
      <c r="M589" s="55" t="s">
        <v>58</v>
      </c>
      <c r="N589" s="55" t="s">
        <v>58</v>
      </c>
      <c r="O589" s="56">
        <v>46125.333333333336</v>
      </c>
      <c r="P589" s="2">
        <v>46125.416666666664</v>
      </c>
      <c r="Q589" s="58">
        <v>46125.534722222219</v>
      </c>
      <c r="S589" s="21" t="s">
        <v>2488</v>
      </c>
      <c r="T589" s="55" t="s">
        <v>164</v>
      </c>
      <c r="V589" s="53" t="s">
        <v>2489</v>
      </c>
      <c r="Y589" t="s">
        <v>70</v>
      </c>
      <c r="Z589" t="s">
        <v>158</v>
      </c>
    </row>
    <row r="590" spans="1:31" ht="15" hidden="1" customHeight="1">
      <c r="A590" s="60">
        <f>ROW() - ROW(Table1[[#Headers],[s]])</f>
        <v>589</v>
      </c>
      <c r="B590" t="s">
        <v>2490</v>
      </c>
      <c r="C590" s="163">
        <v>46113</v>
      </c>
      <c r="D590" s="52" t="s">
        <v>2491</v>
      </c>
      <c r="E590" s="24" t="e" vm="196">
        <v>#VALUE!</v>
      </c>
      <c r="F590" t="e" vm="35">
        <v>#VALUE!</v>
      </c>
      <c r="G590" s="43" t="s">
        <v>174</v>
      </c>
      <c r="H590" t="s">
        <v>245</v>
      </c>
      <c r="J590" s="18" t="s">
        <v>253</v>
      </c>
      <c r="K590" s="42" t="s">
        <v>154</v>
      </c>
      <c r="L590" s="44">
        <v>46125.622916666667</v>
      </c>
      <c r="M590" s="169" t="s">
        <v>1484</v>
      </c>
      <c r="N590" s="169" t="s">
        <v>1484</v>
      </c>
      <c r="O590" s="56">
        <v>46126.333333333336</v>
      </c>
      <c r="P590" s="56">
        <v>46126.416666666664</v>
      </c>
      <c r="Q590" s="56">
        <v>46126.816666666666</v>
      </c>
      <c r="S590" s="21" t="s">
        <v>2492</v>
      </c>
      <c r="T590" s="18" t="s">
        <v>2165</v>
      </c>
      <c r="V590" s="53" t="s">
        <v>2493</v>
      </c>
      <c r="X590" s="148" t="s">
        <v>2159</v>
      </c>
      <c r="Y590" t="s">
        <v>70</v>
      </c>
      <c r="Z590" t="s">
        <v>158</v>
      </c>
    </row>
    <row r="591" spans="1:31" ht="15" hidden="1" customHeight="1">
      <c r="A591" s="60">
        <f>ROW() - ROW(Table1[[#Headers],[s]])</f>
        <v>590</v>
      </c>
      <c r="B591" t="s">
        <v>2494</v>
      </c>
      <c r="C591" s="163">
        <v>46113</v>
      </c>
      <c r="D591" s="52" t="s">
        <v>2495</v>
      </c>
      <c r="E591" t="s">
        <v>898</v>
      </c>
      <c r="F591" t="e" vm="16">
        <v>#VALUE!</v>
      </c>
      <c r="G591" s="43" t="s">
        <v>200</v>
      </c>
      <c r="H591" t="s">
        <v>152</v>
      </c>
      <c r="I591" t="s">
        <v>43</v>
      </c>
      <c r="J591" s="18" t="s">
        <v>153</v>
      </c>
      <c r="K591" s="42" t="s">
        <v>154</v>
      </c>
      <c r="L591" s="44">
        <v>46126.40347222222</v>
      </c>
      <c r="M591" s="55" t="s">
        <v>58</v>
      </c>
      <c r="N591" s="55" t="s">
        <v>58</v>
      </c>
      <c r="O591" s="56">
        <v>46127.416666666664</v>
      </c>
      <c r="P591" s="2">
        <v>46127.416666666664</v>
      </c>
      <c r="Q591" s="58">
        <v>46127.4375</v>
      </c>
      <c r="S591" s="21" t="s">
        <v>2496</v>
      </c>
      <c r="T591" s="55" t="s">
        <v>2497</v>
      </c>
      <c r="V591" s="53" t="s">
        <v>2498</v>
      </c>
      <c r="Y591" t="s">
        <v>158</v>
      </c>
      <c r="Z591" t="s">
        <v>70</v>
      </c>
    </row>
    <row r="592" spans="1:31" ht="15" hidden="1" customHeight="1">
      <c r="A592" s="60">
        <f>ROW() - ROW(Table1[[#Headers],[s]])</f>
        <v>591</v>
      </c>
      <c r="B592" t="s">
        <v>2499</v>
      </c>
      <c r="C592" s="272">
        <v>46113</v>
      </c>
      <c r="D592" s="19" t="s">
        <v>2500</v>
      </c>
      <c r="E592" t="e" vm="214">
        <v>#VALUE!</v>
      </c>
      <c r="F592" t="e" vm="30">
        <v>#VALUE!</v>
      </c>
      <c r="G592" s="43" t="s">
        <v>174</v>
      </c>
      <c r="H592" t="s">
        <v>747</v>
      </c>
      <c r="J592" s="18" t="s">
        <v>253</v>
      </c>
      <c r="K592" s="42" t="s">
        <v>154</v>
      </c>
      <c r="L592" s="20">
        <v>46126.602777777778</v>
      </c>
      <c r="M592" s="18" t="s">
        <v>82</v>
      </c>
      <c r="N592" s="18" t="s">
        <v>82</v>
      </c>
      <c r="O592" s="20">
        <v>46126.65625</v>
      </c>
      <c r="P592" s="20">
        <v>46126.673611111109</v>
      </c>
      <c r="Q592" s="20">
        <v>46126.727083333331</v>
      </c>
      <c r="S592" s="21" t="s">
        <v>1509</v>
      </c>
      <c r="T592" s="18" t="s">
        <v>2165</v>
      </c>
      <c r="V592" s="21" t="s">
        <v>2501</v>
      </c>
      <c r="Y592" t="s">
        <v>158</v>
      </c>
      <c r="Z592" t="s">
        <v>158</v>
      </c>
    </row>
    <row r="593" spans="1:26" ht="15.75" hidden="1" customHeight="1">
      <c r="A593" s="60">
        <f>ROW() - ROW(Table1[[#Headers],[s]])</f>
        <v>592</v>
      </c>
      <c r="B593" s="223" t="s">
        <v>2502</v>
      </c>
      <c r="C593" s="272">
        <v>46113</v>
      </c>
      <c r="D593" s="52" t="s">
        <v>2503</v>
      </c>
      <c r="E593" t="e" vm="117">
        <v>#VALUE!</v>
      </c>
      <c r="F593" t="e" vm="2">
        <v>#VALUE!</v>
      </c>
      <c r="G593" s="43" t="s">
        <v>174</v>
      </c>
      <c r="H593" t="s">
        <v>152</v>
      </c>
      <c r="J593" s="18" t="s">
        <v>153</v>
      </c>
      <c r="K593" s="42" t="s">
        <v>154</v>
      </c>
      <c r="L593" s="20">
        <v>46126.615277777775</v>
      </c>
      <c r="M593" s="18" t="s">
        <v>162</v>
      </c>
      <c r="N593" s="18" t="s">
        <v>162</v>
      </c>
      <c r="O593" s="20">
        <v>46126.659722222219</v>
      </c>
      <c r="P593" s="20">
        <v>46126.677083333336</v>
      </c>
      <c r="Q593" s="20">
        <v>46126.8125</v>
      </c>
      <c r="S593" s="21" t="s">
        <v>2504</v>
      </c>
      <c r="T593" s="18" t="s">
        <v>266</v>
      </c>
      <c r="V593" s="21" t="s">
        <v>2505</v>
      </c>
      <c r="Y593" t="s">
        <v>158</v>
      </c>
      <c r="Z593" t="s">
        <v>158</v>
      </c>
    </row>
    <row r="594" spans="1:26" ht="15" hidden="1" customHeight="1">
      <c r="A594" s="60">
        <f>ROW() - ROW(Table1[[#Headers],[s]])</f>
        <v>593</v>
      </c>
      <c r="B594" t="s">
        <v>2506</v>
      </c>
      <c r="C594" s="272">
        <v>46113</v>
      </c>
      <c r="D594" s="19" t="s">
        <v>2507</v>
      </c>
      <c r="E594" t="e" vm="9">
        <v>#VALUE!</v>
      </c>
      <c r="F594" t="e" vm="10">
        <v>#VALUE!</v>
      </c>
      <c r="G594" s="5" t="s">
        <v>200</v>
      </c>
      <c r="H594" t="s">
        <v>152</v>
      </c>
      <c r="I594" t="s">
        <v>43</v>
      </c>
      <c r="J594" s="18" t="s">
        <v>153</v>
      </c>
      <c r="K594" s="42" t="s">
        <v>154</v>
      </c>
      <c r="L594" s="20">
        <v>46127.592361111114</v>
      </c>
      <c r="M594" s="18" t="s">
        <v>78</v>
      </c>
      <c r="N594" s="55" t="s">
        <v>78</v>
      </c>
      <c r="O594" s="3">
        <v>46127.916666666664</v>
      </c>
      <c r="P594" s="2">
        <v>46127.9375</v>
      </c>
      <c r="Q594" s="22">
        <v>46127.958333333336</v>
      </c>
      <c r="S594" s="21" t="s">
        <v>2508</v>
      </c>
      <c r="T594" s="18" t="s">
        <v>179</v>
      </c>
      <c r="V594" s="21" t="s">
        <v>2509</v>
      </c>
      <c r="Y594" t="s">
        <v>158</v>
      </c>
      <c r="Z594" t="s">
        <v>70</v>
      </c>
    </row>
    <row r="595" spans="1:26" ht="15" hidden="1" customHeight="1">
      <c r="A595" s="60">
        <f>ROW() - ROW(Table1[[#Headers],[s]])</f>
        <v>594</v>
      </c>
      <c r="B595" t="s">
        <v>2510</v>
      </c>
      <c r="C595" s="272">
        <v>46113</v>
      </c>
      <c r="D595" s="19" t="s">
        <v>2511</v>
      </c>
      <c r="E595" t="e" vm="83">
        <v>#VALUE!</v>
      </c>
      <c r="F595" t="e" vm="37">
        <v>#VALUE!</v>
      </c>
      <c r="G595" s="5" t="s">
        <v>200</v>
      </c>
      <c r="H595" t="s">
        <v>152</v>
      </c>
      <c r="I595" t="s">
        <v>43</v>
      </c>
      <c r="J595" s="18" t="s">
        <v>153</v>
      </c>
      <c r="K595" s="42" t="s">
        <v>154</v>
      </c>
      <c r="L595" s="20">
        <v>46127.431250000001</v>
      </c>
      <c r="M595" s="18" t="s">
        <v>59</v>
      </c>
      <c r="N595" s="18" t="s">
        <v>59</v>
      </c>
      <c r="O595" s="3">
        <v>46127.583333333336</v>
      </c>
      <c r="P595" s="2">
        <v>46127.583333333336</v>
      </c>
      <c r="Q595" s="22">
        <v>46127.604166666664</v>
      </c>
      <c r="S595" s="21" t="s">
        <v>2512</v>
      </c>
      <c r="T595" s="18" t="s">
        <v>179</v>
      </c>
      <c r="V595" s="21" t="s">
        <v>2513</v>
      </c>
      <c r="Y595" t="s">
        <v>203</v>
      </c>
      <c r="Z595" t="s">
        <v>70</v>
      </c>
    </row>
    <row r="596" spans="1:26" ht="15" hidden="1" customHeight="1">
      <c r="A596" s="60">
        <f>ROW() - ROW(Table1[[#Headers],[s]])</f>
        <v>595</v>
      </c>
      <c r="B596" t="s">
        <v>2514</v>
      </c>
      <c r="C596" s="272">
        <v>46113</v>
      </c>
      <c r="D596" s="19" t="s">
        <v>2515</v>
      </c>
      <c r="E596" t="e" vm="215">
        <v>#VALUE!</v>
      </c>
      <c r="F596" t="e" vm="21">
        <v>#VALUE!</v>
      </c>
      <c r="G596" s="5" t="s">
        <v>200</v>
      </c>
      <c r="H596" t="s">
        <v>152</v>
      </c>
      <c r="I596" t="s">
        <v>43</v>
      </c>
      <c r="J596" s="18" t="s">
        <v>153</v>
      </c>
      <c r="K596" s="42" t="s">
        <v>154</v>
      </c>
      <c r="L596" s="20">
        <v>46127.51458333333</v>
      </c>
      <c r="M596" s="18" t="s">
        <v>39</v>
      </c>
      <c r="N596" s="18" t="s">
        <v>39</v>
      </c>
      <c r="O596" s="3">
        <v>46127.541666666664</v>
      </c>
      <c r="P596" s="2">
        <v>46127.541666666664</v>
      </c>
      <c r="Q596" s="22">
        <v>46127.583333333336</v>
      </c>
      <c r="S596" s="21" t="s">
        <v>2516</v>
      </c>
      <c r="T596" s="18" t="s">
        <v>516</v>
      </c>
      <c r="V596" s="21" t="s">
        <v>2517</v>
      </c>
      <c r="Y596" t="s">
        <v>158</v>
      </c>
      <c r="Z596" t="s">
        <v>70</v>
      </c>
    </row>
    <row r="597" spans="1:26" ht="15" hidden="1" customHeight="1">
      <c r="A597" s="60">
        <f>ROW() - ROW(Table1[[#Headers],[s]])</f>
        <v>596</v>
      </c>
      <c r="B597" t="s">
        <v>2518</v>
      </c>
      <c r="C597" s="272">
        <v>46113</v>
      </c>
      <c r="D597" s="19" t="s">
        <v>2519</v>
      </c>
      <c r="E597" t="e" vm="4">
        <v>#VALUE!</v>
      </c>
      <c r="F597" t="e" vm="5">
        <v>#VALUE!</v>
      </c>
      <c r="G597" s="5" t="s">
        <v>200</v>
      </c>
      <c r="H597" t="s">
        <v>152</v>
      </c>
      <c r="I597" t="s">
        <v>43</v>
      </c>
      <c r="J597" s="18" t="s">
        <v>153</v>
      </c>
      <c r="K597" s="42" t="s">
        <v>154</v>
      </c>
      <c r="L597" s="20">
        <v>46127.565972222219</v>
      </c>
      <c r="M597" s="55" t="s">
        <v>55</v>
      </c>
      <c r="N597" s="55" t="s">
        <v>55</v>
      </c>
      <c r="O597" s="3">
        <v>46127.666666666664</v>
      </c>
      <c r="P597" s="2">
        <v>46127.6875</v>
      </c>
      <c r="Q597" s="22">
        <v>46127.75</v>
      </c>
      <c r="S597" s="21" t="s">
        <v>2520</v>
      </c>
      <c r="T597" s="18" t="s">
        <v>516</v>
      </c>
      <c r="V597" s="21" t="s">
        <v>2521</v>
      </c>
      <c r="Y597" t="s">
        <v>203</v>
      </c>
      <c r="Z597" t="s">
        <v>70</v>
      </c>
    </row>
    <row r="598" spans="1:26" ht="15" hidden="1" customHeight="1">
      <c r="A598" s="60">
        <f>ROW() - ROW(Table1[[#Headers],[s]])</f>
        <v>597</v>
      </c>
      <c r="B598" t="s">
        <v>2522</v>
      </c>
      <c r="C598" s="272">
        <v>46113</v>
      </c>
      <c r="D598" s="19" t="s">
        <v>2523</v>
      </c>
      <c r="E598" t="e" vm="15">
        <v>#VALUE!</v>
      </c>
      <c r="F598" t="e" vm="16">
        <v>#VALUE!</v>
      </c>
      <c r="G598" s="5" t="s">
        <v>200</v>
      </c>
      <c r="H598" t="s">
        <v>152</v>
      </c>
      <c r="I598" t="s">
        <v>43</v>
      </c>
      <c r="J598" s="18" t="s">
        <v>153</v>
      </c>
      <c r="K598" s="42" t="s">
        <v>154</v>
      </c>
      <c r="L598" s="20">
        <v>46127.699305555558</v>
      </c>
      <c r="M598" s="18" t="s">
        <v>58</v>
      </c>
      <c r="N598" s="18" t="s">
        <v>58</v>
      </c>
      <c r="O598" s="3">
        <v>46127.75</v>
      </c>
      <c r="P598" s="3">
        <v>46127.75</v>
      </c>
      <c r="Q598" s="3">
        <v>46127.791666666664</v>
      </c>
      <c r="S598" s="21" t="s">
        <v>2520</v>
      </c>
      <c r="T598" s="18" t="s">
        <v>516</v>
      </c>
      <c r="V598" s="21" t="s">
        <v>239</v>
      </c>
      <c r="Y598" t="s">
        <v>203</v>
      </c>
      <c r="Z598" t="s">
        <v>158</v>
      </c>
    </row>
    <row r="599" spans="1:26" ht="15" hidden="1" customHeight="1">
      <c r="A599" s="60">
        <f>ROW() - ROW(Table1[[#Headers],[s]])</f>
        <v>598</v>
      </c>
      <c r="B599" t="s">
        <v>2524</v>
      </c>
      <c r="C599" s="272">
        <v>46113</v>
      </c>
      <c r="D599" s="19" t="s">
        <v>2525</v>
      </c>
      <c r="E599" t="e" vm="216">
        <v>#VALUE!</v>
      </c>
      <c r="F599" t="e" vm="25">
        <v>#VALUE!</v>
      </c>
      <c r="G599" s="5" t="s">
        <v>200</v>
      </c>
      <c r="H599" t="s">
        <v>152</v>
      </c>
      <c r="I599" t="s">
        <v>43</v>
      </c>
      <c r="J599" s="18" t="s">
        <v>153</v>
      </c>
      <c r="K599" s="42" t="s">
        <v>154</v>
      </c>
      <c r="L599" s="20">
        <v>46127.659722222219</v>
      </c>
      <c r="M599" s="18" t="s">
        <v>72</v>
      </c>
      <c r="N599" s="18" t="s">
        <v>72</v>
      </c>
      <c r="O599" s="3">
        <v>46127.833333333336</v>
      </c>
      <c r="P599" s="2">
        <v>46127.833333333336</v>
      </c>
      <c r="Q599" s="22">
        <v>46127.958333333336</v>
      </c>
      <c r="S599" s="21" t="s">
        <v>2273</v>
      </c>
      <c r="T599" s="18" t="s">
        <v>516</v>
      </c>
      <c r="V599" s="21" t="s">
        <v>2526</v>
      </c>
      <c r="Y599" t="s">
        <v>158</v>
      </c>
      <c r="Z599" t="s">
        <v>158</v>
      </c>
    </row>
    <row r="600" spans="1:26" ht="15" hidden="1" customHeight="1">
      <c r="A600" s="60">
        <f>ROW() - ROW(Table1[[#Headers],[s]])</f>
        <v>599</v>
      </c>
      <c r="B600" t="s">
        <v>2527</v>
      </c>
      <c r="C600" s="163">
        <v>46113</v>
      </c>
      <c r="D600" s="52" t="s">
        <v>2528</v>
      </c>
      <c r="E600" t="e" vm="217">
        <v>#VALUE!</v>
      </c>
      <c r="F600" t="e" vm="40">
        <v>#VALUE!</v>
      </c>
      <c r="G600" s="43" t="s">
        <v>200</v>
      </c>
      <c r="H600" t="s">
        <v>747</v>
      </c>
      <c r="I600" t="s">
        <v>43</v>
      </c>
      <c r="J600" s="18" t="s">
        <v>253</v>
      </c>
      <c r="K600" s="42" t="s">
        <v>154</v>
      </c>
      <c r="L600" s="44">
        <v>46127.477777777778</v>
      </c>
      <c r="M600" s="55" t="s">
        <v>39</v>
      </c>
      <c r="N600" s="55" t="s">
        <v>39</v>
      </c>
      <c r="O600" s="56">
        <v>46127.5</v>
      </c>
      <c r="P600" s="2">
        <v>46127.5</v>
      </c>
      <c r="Q600" s="58">
        <v>46127.537499999999</v>
      </c>
      <c r="S600" s="21" t="s">
        <v>2520</v>
      </c>
      <c r="T600" s="55" t="s">
        <v>516</v>
      </c>
      <c r="V600" s="53" t="s">
        <v>239</v>
      </c>
      <c r="Y600" t="s">
        <v>158</v>
      </c>
      <c r="Z600" t="s">
        <v>158</v>
      </c>
    </row>
    <row r="601" spans="1:26" ht="15" hidden="1" customHeight="1">
      <c r="A601" s="60">
        <f>ROW() - ROW(Table1[[#Headers],[s]])</f>
        <v>600</v>
      </c>
      <c r="B601" t="s">
        <v>2529</v>
      </c>
      <c r="C601" s="163">
        <v>46113</v>
      </c>
      <c r="D601" s="52" t="s">
        <v>2530</v>
      </c>
      <c r="E601" t="e" vm="218">
        <v>#VALUE!</v>
      </c>
      <c r="F601" t="e" vm="1">
        <v>#VALUE!</v>
      </c>
      <c r="G601" s="43" t="s">
        <v>200</v>
      </c>
      <c r="H601" t="s">
        <v>245</v>
      </c>
      <c r="I601" t="s">
        <v>43</v>
      </c>
      <c r="J601" s="18" t="s">
        <v>253</v>
      </c>
      <c r="K601" s="42" t="s">
        <v>154</v>
      </c>
      <c r="L601" s="44">
        <v>46127.45208333333</v>
      </c>
      <c r="M601" s="55" t="s">
        <v>2185</v>
      </c>
      <c r="N601" s="55" t="s">
        <v>2185</v>
      </c>
      <c r="O601" s="56">
        <v>46127.5</v>
      </c>
      <c r="P601" s="2">
        <v>46127.5625</v>
      </c>
      <c r="Q601" s="58">
        <v>46127.697916666664</v>
      </c>
      <c r="S601" s="21" t="s">
        <v>1464</v>
      </c>
      <c r="T601" s="55" t="s">
        <v>164</v>
      </c>
      <c r="V601" s="53" t="s">
        <v>2531</v>
      </c>
      <c r="Y601" t="s">
        <v>158</v>
      </c>
      <c r="Z601" t="s">
        <v>70</v>
      </c>
    </row>
    <row r="602" spans="1:26" ht="15" hidden="1" customHeight="1">
      <c r="A602" s="60">
        <f>ROW() - ROW(Table1[[#Headers],[s]])</f>
        <v>601</v>
      </c>
      <c r="B602" s="237" t="s">
        <v>2532</v>
      </c>
      <c r="C602" s="272">
        <v>46113</v>
      </c>
      <c r="D602" s="19" t="s">
        <v>2533</v>
      </c>
      <c r="E602" t="s">
        <v>2534</v>
      </c>
      <c r="F602" t="e" vm="37">
        <v>#VALUE!</v>
      </c>
      <c r="G602" s="5" t="s">
        <v>174</v>
      </c>
      <c r="H602" t="s">
        <v>245</v>
      </c>
      <c r="J602" s="18" t="s">
        <v>253</v>
      </c>
      <c r="K602" s="42" t="s">
        <v>154</v>
      </c>
      <c r="L602" s="20">
        <v>46127.708333333336</v>
      </c>
      <c r="M602" s="18" t="s">
        <v>2535</v>
      </c>
      <c r="N602" s="18" t="s">
        <v>2535</v>
      </c>
      <c r="O602" s="3">
        <v>46128.333333333336</v>
      </c>
      <c r="P602" s="3">
        <v>46128.368055555555</v>
      </c>
      <c r="Q602" s="3">
        <v>46128.490972222222</v>
      </c>
      <c r="S602" s="21" t="s">
        <v>2536</v>
      </c>
      <c r="T602" s="55" t="s">
        <v>2537</v>
      </c>
      <c r="V602" s="21" t="s">
        <v>2538</v>
      </c>
      <c r="Y602" t="s">
        <v>70</v>
      </c>
      <c r="Z602" t="s">
        <v>158</v>
      </c>
    </row>
    <row r="603" spans="1:26" ht="15" hidden="1" customHeight="1">
      <c r="A603" s="60">
        <f>ROW() - ROW(Table1[[#Headers],[s]])</f>
        <v>602</v>
      </c>
      <c r="B603" t="s">
        <v>2539</v>
      </c>
      <c r="C603" s="272">
        <v>46113</v>
      </c>
      <c r="D603" s="19" t="s">
        <v>2540</v>
      </c>
      <c r="E603" t="e" vm="216">
        <v>#VALUE!</v>
      </c>
      <c r="F603" t="e" vm="25">
        <v>#VALUE!</v>
      </c>
      <c r="G603" s="5" t="s">
        <v>174</v>
      </c>
      <c r="H603" t="s">
        <v>152</v>
      </c>
      <c r="J603" s="18" t="s">
        <v>153</v>
      </c>
      <c r="K603" s="42" t="s">
        <v>154</v>
      </c>
      <c r="L603" s="20">
        <v>46128.368750000001</v>
      </c>
      <c r="M603" s="18" t="s">
        <v>72</v>
      </c>
      <c r="N603" s="18" t="s">
        <v>72</v>
      </c>
      <c r="O603" s="20">
        <v>46128.40625</v>
      </c>
      <c r="P603" s="20">
        <v>46128.4375</v>
      </c>
      <c r="Q603" s="20">
        <v>46128.520833333336</v>
      </c>
      <c r="S603" s="21" t="s">
        <v>2541</v>
      </c>
      <c r="T603" s="18" t="s">
        <v>2542</v>
      </c>
      <c r="V603" s="21" t="s">
        <v>2543</v>
      </c>
      <c r="Y603" t="s">
        <v>158</v>
      </c>
      <c r="Z603" t="s">
        <v>70</v>
      </c>
    </row>
    <row r="604" spans="1:26" ht="15" hidden="1" customHeight="1">
      <c r="A604" s="60">
        <f>ROW() - ROW(Table1[[#Headers],[s]])</f>
        <v>603</v>
      </c>
      <c r="B604" s="238" t="s">
        <v>2544</v>
      </c>
      <c r="C604" s="272">
        <v>46113</v>
      </c>
      <c r="D604" s="19" t="s">
        <v>2545</v>
      </c>
      <c r="E604" t="e" vm="24">
        <v>#VALUE!</v>
      </c>
      <c r="F604" t="e" vm="25">
        <v>#VALUE!</v>
      </c>
      <c r="G604" s="5" t="s">
        <v>174</v>
      </c>
      <c r="H604" t="s">
        <v>152</v>
      </c>
      <c r="J604" s="18" t="s">
        <v>153</v>
      </c>
      <c r="K604" s="42" t="s">
        <v>154</v>
      </c>
      <c r="L604" s="20">
        <v>46128.486805555556</v>
      </c>
      <c r="M604" s="18" t="s">
        <v>72</v>
      </c>
      <c r="N604" s="18" t="s">
        <v>72</v>
      </c>
      <c r="O604" s="20">
        <v>46128.5625</v>
      </c>
      <c r="P604" s="20">
        <v>46128.576388888891</v>
      </c>
      <c r="Q604" s="20">
        <v>46128.645833333336</v>
      </c>
      <c r="S604" s="21" t="s">
        <v>2546</v>
      </c>
      <c r="T604" s="18" t="s">
        <v>695</v>
      </c>
      <c r="V604" s="21" t="s">
        <v>2547</v>
      </c>
      <c r="Y604" t="s">
        <v>158</v>
      </c>
      <c r="Z604" t="s">
        <v>70</v>
      </c>
    </row>
    <row r="605" spans="1:26" ht="15" hidden="1" customHeight="1">
      <c r="A605" s="60">
        <f>ROW() - ROW(Table1[[#Headers],[s]])</f>
        <v>604</v>
      </c>
      <c r="B605" t="s">
        <v>2548</v>
      </c>
      <c r="C605" s="161" t="s">
        <v>60</v>
      </c>
      <c r="D605" s="52" t="s">
        <v>2549</v>
      </c>
      <c r="E605" t="e" vm="217">
        <v>#VALUE!</v>
      </c>
      <c r="F605" t="e" vm="40">
        <v>#VALUE!</v>
      </c>
      <c r="G605" s="5" t="s">
        <v>174</v>
      </c>
      <c r="H605" t="s">
        <v>152</v>
      </c>
      <c r="J605" s="18" t="s">
        <v>153</v>
      </c>
      <c r="K605" s="42" t="s">
        <v>2550</v>
      </c>
      <c r="L605" s="20">
        <v>46128.40625</v>
      </c>
      <c r="M605" s="55" t="s">
        <v>39</v>
      </c>
      <c r="N605" s="55" t="s">
        <v>39</v>
      </c>
      <c r="O605" s="56"/>
      <c r="Q605" s="58"/>
      <c r="S605" s="53" t="s">
        <v>2550</v>
      </c>
      <c r="T605" t="s">
        <v>179</v>
      </c>
      <c r="V605" s="53"/>
      <c r="Y605" t="s">
        <v>179</v>
      </c>
      <c r="Z605" t="s">
        <v>70</v>
      </c>
    </row>
    <row r="606" spans="1:26" ht="15" hidden="1" customHeight="1">
      <c r="A606" s="60">
        <f>ROW() - ROW(Table1[[#Headers],[s]])</f>
        <v>605</v>
      </c>
      <c r="B606" t="s">
        <v>2551</v>
      </c>
      <c r="C606" s="161" t="s">
        <v>60</v>
      </c>
      <c r="D606" s="19" t="s">
        <v>2552</v>
      </c>
      <c r="E606" t="e" vm="217">
        <v>#VALUE!</v>
      </c>
      <c r="F606" t="e" vm="40">
        <v>#VALUE!</v>
      </c>
      <c r="G606" s="5" t="s">
        <v>174</v>
      </c>
      <c r="H606" t="s">
        <v>152</v>
      </c>
      <c r="J606" s="18" t="s">
        <v>153</v>
      </c>
      <c r="K606" s="42" t="s">
        <v>2550</v>
      </c>
      <c r="L606" s="20">
        <v>46128.406944444447</v>
      </c>
      <c r="M606" s="55" t="s">
        <v>39</v>
      </c>
      <c r="N606" s="55" t="s">
        <v>39</v>
      </c>
      <c r="O606" s="3"/>
      <c r="S606" s="53" t="s">
        <v>2550</v>
      </c>
      <c r="T606" t="s">
        <v>179</v>
      </c>
      <c r="Y606" t="s">
        <v>179</v>
      </c>
      <c r="Z606" t="s">
        <v>70</v>
      </c>
    </row>
    <row r="607" spans="1:26" ht="15" hidden="1" customHeight="1">
      <c r="A607" s="60">
        <f>ROW() - ROW(Table1[[#Headers],[s]])</f>
        <v>606</v>
      </c>
      <c r="B607" t="s">
        <v>2553</v>
      </c>
      <c r="C607" s="272">
        <v>46113</v>
      </c>
      <c r="D607" s="19" t="s">
        <v>2554</v>
      </c>
      <c r="E607" t="e" vm="117">
        <v>#VALUE!</v>
      </c>
      <c r="F607" t="e" vm="2">
        <v>#VALUE!</v>
      </c>
      <c r="G607" s="5" t="s">
        <v>174</v>
      </c>
      <c r="H607" t="s">
        <v>152</v>
      </c>
      <c r="J607" s="18" t="s">
        <v>153</v>
      </c>
      <c r="K607" s="42" t="s">
        <v>154</v>
      </c>
      <c r="L607" s="20">
        <v>46128.470833333333</v>
      </c>
      <c r="M607" s="18" t="s">
        <v>162</v>
      </c>
      <c r="N607" s="18" t="s">
        <v>162</v>
      </c>
      <c r="O607" s="20">
        <v>46128.552083333336</v>
      </c>
      <c r="P607" s="20">
        <v>46128.583333333336</v>
      </c>
      <c r="Q607" s="20">
        <v>46128.666666666664</v>
      </c>
      <c r="S607" s="21" t="s">
        <v>2555</v>
      </c>
      <c r="T607" s="55" t="s">
        <v>516</v>
      </c>
      <c r="V607" s="21" t="s">
        <v>2556</v>
      </c>
      <c r="Y607" t="s">
        <v>158</v>
      </c>
      <c r="Z607" t="s">
        <v>70</v>
      </c>
    </row>
    <row r="608" spans="1:26" ht="15" hidden="1" customHeight="1">
      <c r="A608" s="60">
        <f>ROW() - ROW(Table1[[#Headers],[s]])</f>
        <v>607</v>
      </c>
      <c r="B608" t="s">
        <v>2544</v>
      </c>
      <c r="C608" s="272">
        <v>46113</v>
      </c>
      <c r="D608" s="19" t="s">
        <v>2557</v>
      </c>
      <c r="E608" t="e" vm="52">
        <v>#VALUE!</v>
      </c>
      <c r="F608" t="e" vm="25">
        <v>#VALUE!</v>
      </c>
      <c r="G608" s="5" t="s">
        <v>174</v>
      </c>
      <c r="H608" t="s">
        <v>152</v>
      </c>
      <c r="J608" s="18" t="s">
        <v>153</v>
      </c>
      <c r="K608" s="42" t="s">
        <v>154</v>
      </c>
      <c r="L608" s="20">
        <v>46128.538888888892</v>
      </c>
      <c r="M608" s="18" t="s">
        <v>53</v>
      </c>
      <c r="N608" s="18" t="s">
        <v>53</v>
      </c>
      <c r="O608" s="20">
        <v>46128.645833333336</v>
      </c>
      <c r="P608" s="20">
        <v>46128.6875</v>
      </c>
      <c r="Q608" s="20">
        <v>46128.875</v>
      </c>
      <c r="S608" s="21" t="s">
        <v>2558</v>
      </c>
      <c r="T608" s="18" t="s">
        <v>695</v>
      </c>
      <c r="V608" s="21" t="s">
        <v>2559</v>
      </c>
      <c r="Y608" t="s">
        <v>158</v>
      </c>
      <c r="Z608" t="s">
        <v>70</v>
      </c>
    </row>
    <row r="609" spans="1:26" ht="15" hidden="1" customHeight="1">
      <c r="A609" s="60">
        <f>ROW() - ROW(Table1[[#Headers],[s]])</f>
        <v>608</v>
      </c>
      <c r="B609" t="s">
        <v>2560</v>
      </c>
      <c r="C609" s="272">
        <v>46113</v>
      </c>
      <c r="D609" s="19" t="s">
        <v>2561</v>
      </c>
      <c r="E609" t="e" vm="134">
        <v>#VALUE!</v>
      </c>
      <c r="F609" t="e" vm="35">
        <v>#VALUE!</v>
      </c>
      <c r="G609" s="5" t="s">
        <v>36</v>
      </c>
      <c r="H609" t="s">
        <v>152</v>
      </c>
      <c r="I609" t="s">
        <v>43</v>
      </c>
      <c r="J609" s="18" t="s">
        <v>153</v>
      </c>
      <c r="K609" t="s">
        <v>154</v>
      </c>
      <c r="L609" s="20">
        <v>46128.813194444447</v>
      </c>
      <c r="M609" s="169" t="s">
        <v>1484</v>
      </c>
      <c r="N609" s="169" t="s">
        <v>1484</v>
      </c>
      <c r="O609" s="3"/>
      <c r="Q609" s="22">
        <v>46129.527777777781</v>
      </c>
      <c r="S609" s="21" t="s">
        <v>2562</v>
      </c>
      <c r="T609" s="18" t="s">
        <v>164</v>
      </c>
      <c r="V609" s="21" t="s">
        <v>2563</v>
      </c>
      <c r="Y609" t="s">
        <v>158</v>
      </c>
      <c r="Z609" t="s">
        <v>70</v>
      </c>
    </row>
    <row r="610" spans="1:26" ht="15" hidden="1" customHeight="1">
      <c r="A610" s="60">
        <f>ROW() - ROW(Table1[[#Headers],[s]])</f>
        <v>609</v>
      </c>
      <c r="B610" t="s">
        <v>2564</v>
      </c>
      <c r="C610" s="272">
        <v>46113</v>
      </c>
      <c r="D610" s="19" t="s">
        <v>2565</v>
      </c>
      <c r="E610" t="e" vm="70">
        <v>#VALUE!</v>
      </c>
      <c r="F610" t="e" vm="37">
        <v>#VALUE!</v>
      </c>
      <c r="G610" s="5" t="s">
        <v>36</v>
      </c>
      <c r="H610" t="s">
        <v>152</v>
      </c>
      <c r="I610" t="s">
        <v>43</v>
      </c>
      <c r="J610" s="18" t="s">
        <v>153</v>
      </c>
      <c r="K610" t="s">
        <v>154</v>
      </c>
      <c r="L610" s="20">
        <v>46129.495138888888</v>
      </c>
      <c r="M610" s="18" t="s">
        <v>1023</v>
      </c>
      <c r="N610" s="18" t="s">
        <v>1023</v>
      </c>
      <c r="O610" s="3"/>
      <c r="Q610" s="22">
        <v>46129.638888888891</v>
      </c>
      <c r="S610" s="21" t="s">
        <v>2566</v>
      </c>
      <c r="T610" s="18" t="s">
        <v>164</v>
      </c>
      <c r="V610" s="21" t="s">
        <v>2567</v>
      </c>
      <c r="Y610" t="s">
        <v>158</v>
      </c>
      <c r="Z610" t="s">
        <v>70</v>
      </c>
    </row>
    <row r="611" spans="1:26" ht="15" hidden="1" customHeight="1">
      <c r="A611" s="60">
        <f>ROW() - ROW(Table1[[#Headers],[s]])</f>
        <v>610</v>
      </c>
      <c r="B611" t="s">
        <v>2568</v>
      </c>
      <c r="C611" s="272">
        <v>46113</v>
      </c>
      <c r="D611" s="19" t="s">
        <v>2569</v>
      </c>
      <c r="E611" t="e" vm="187">
        <v>#VALUE!</v>
      </c>
      <c r="F611" t="e" vm="16">
        <v>#VALUE!</v>
      </c>
      <c r="G611" s="5" t="s">
        <v>36</v>
      </c>
      <c r="H611" t="s">
        <v>152</v>
      </c>
      <c r="I611" t="s">
        <v>43</v>
      </c>
      <c r="J611" s="18" t="s">
        <v>153</v>
      </c>
      <c r="K611" t="s">
        <v>154</v>
      </c>
      <c r="L611" s="20">
        <v>46129.556250000001</v>
      </c>
      <c r="M611" s="18" t="s">
        <v>1937</v>
      </c>
      <c r="N611" s="18" t="s">
        <v>1937</v>
      </c>
      <c r="O611" s="3"/>
      <c r="Q611" s="22">
        <v>46129.833333333336</v>
      </c>
      <c r="S611" s="21" t="s">
        <v>2570</v>
      </c>
      <c r="V611" s="21" t="s">
        <v>2571</v>
      </c>
      <c r="Y611" t="s">
        <v>158</v>
      </c>
      <c r="Z611" t="s">
        <v>70</v>
      </c>
    </row>
    <row r="612" spans="1:26" ht="15" hidden="1" customHeight="1">
      <c r="A612" s="60">
        <f>ROW() - ROW(Table1[[#Headers],[s]])</f>
        <v>611</v>
      </c>
      <c r="B612" t="s">
        <v>2572</v>
      </c>
      <c r="C612" s="272">
        <v>46113</v>
      </c>
      <c r="D612" s="19" t="s">
        <v>2573</v>
      </c>
      <c r="E612" t="e" vm="9">
        <v>#VALUE!</v>
      </c>
      <c r="F612" t="e" vm="10">
        <v>#VALUE!</v>
      </c>
      <c r="G612" s="5" t="s">
        <v>36</v>
      </c>
      <c r="H612" t="s">
        <v>152</v>
      </c>
      <c r="I612" t="s">
        <v>43</v>
      </c>
      <c r="J612" s="18" t="s">
        <v>153</v>
      </c>
      <c r="K612" t="s">
        <v>154</v>
      </c>
      <c r="L612" s="20">
        <v>46129.598611111112</v>
      </c>
      <c r="M612" s="18" t="s">
        <v>78</v>
      </c>
      <c r="N612" s="55" t="s">
        <v>78</v>
      </c>
      <c r="O612" s="3"/>
      <c r="Q612" s="22">
        <v>46129.770833333336</v>
      </c>
      <c r="S612" s="21" t="s">
        <v>2574</v>
      </c>
      <c r="T612" s="18" t="s">
        <v>164</v>
      </c>
      <c r="V612" s="21" t="s">
        <v>2574</v>
      </c>
      <c r="Y612" t="s">
        <v>158</v>
      </c>
      <c r="Z612" t="s">
        <v>70</v>
      </c>
    </row>
    <row r="613" spans="1:26" ht="15" hidden="1" customHeight="1">
      <c r="A613" s="60">
        <f>ROW() - ROW(Table1[[#Headers],[s]])</f>
        <v>612</v>
      </c>
      <c r="B613" t="s">
        <v>2575</v>
      </c>
      <c r="C613" s="272">
        <v>46113</v>
      </c>
      <c r="D613" s="19" t="s">
        <v>2576</v>
      </c>
      <c r="E613" t="e" vm="219">
        <v>#VALUE!</v>
      </c>
      <c r="F613" t="e" vm="25">
        <v>#VALUE!</v>
      </c>
      <c r="G613" s="5" t="s">
        <v>36</v>
      </c>
      <c r="H613" t="s">
        <v>747</v>
      </c>
      <c r="I613" t="s">
        <v>43</v>
      </c>
      <c r="J613" s="18" t="s">
        <v>253</v>
      </c>
      <c r="K613" t="s">
        <v>154</v>
      </c>
      <c r="L613" s="20">
        <v>46129.619444444441</v>
      </c>
      <c r="M613" s="18" t="s">
        <v>1067</v>
      </c>
      <c r="N613" s="18" t="s">
        <v>1067</v>
      </c>
      <c r="O613" s="3"/>
      <c r="Q613" s="22">
        <v>46129.897222222222</v>
      </c>
      <c r="S613" s="21" t="s">
        <v>2577</v>
      </c>
      <c r="T613" s="18" t="s">
        <v>1118</v>
      </c>
      <c r="V613" s="21" t="s">
        <v>1585</v>
      </c>
      <c r="Y613" t="s">
        <v>158</v>
      </c>
      <c r="Z613" t="s">
        <v>67</v>
      </c>
    </row>
    <row r="614" spans="1:26" ht="15" hidden="1" customHeight="1">
      <c r="A614" s="60">
        <f>ROW() - ROW(Table1[[#Headers],[s]])</f>
        <v>613</v>
      </c>
      <c r="B614" t="s">
        <v>2578</v>
      </c>
      <c r="C614" s="272">
        <v>46113</v>
      </c>
      <c r="D614" s="19" t="s">
        <v>2579</v>
      </c>
      <c r="E614" t="e" vm="9">
        <v>#VALUE!</v>
      </c>
      <c r="F614" t="e" vm="10">
        <v>#VALUE!</v>
      </c>
      <c r="G614" s="5" t="s">
        <v>36</v>
      </c>
      <c r="H614" t="s">
        <v>152</v>
      </c>
      <c r="I614" t="s">
        <v>43</v>
      </c>
      <c r="J614" s="18" t="s">
        <v>153</v>
      </c>
      <c r="K614" t="s">
        <v>154</v>
      </c>
      <c r="L614" s="20">
        <v>46129.65</v>
      </c>
      <c r="M614" s="18" t="s">
        <v>78</v>
      </c>
      <c r="N614" s="55" t="s">
        <v>78</v>
      </c>
      <c r="O614" s="3"/>
      <c r="Q614" s="22">
        <v>46129.805555555555</v>
      </c>
      <c r="S614" s="21" t="s">
        <v>2580</v>
      </c>
      <c r="T614" s="18" t="s">
        <v>164</v>
      </c>
      <c r="V614" s="21" t="s">
        <v>1875</v>
      </c>
      <c r="Y614" t="s">
        <v>158</v>
      </c>
      <c r="Z614" t="s">
        <v>70</v>
      </c>
    </row>
    <row r="615" spans="1:26" ht="15" hidden="1" customHeight="1">
      <c r="A615" s="60">
        <f>ROW() - ROW(Table1[[#Headers],[s]])</f>
        <v>614</v>
      </c>
      <c r="B615" t="s">
        <v>2581</v>
      </c>
      <c r="C615" s="163">
        <v>46113</v>
      </c>
      <c r="D615" s="52" t="s">
        <v>2582</v>
      </c>
      <c r="E615" t="e" vm="213">
        <v>#VALUE!</v>
      </c>
      <c r="F615" t="e" vm="40">
        <v>#VALUE!</v>
      </c>
      <c r="G615" s="43" t="s">
        <v>42</v>
      </c>
      <c r="H615" t="s">
        <v>152</v>
      </c>
      <c r="I615" t="s">
        <v>43</v>
      </c>
      <c r="J615" s="18" t="s">
        <v>153</v>
      </c>
      <c r="K615" t="s">
        <v>154</v>
      </c>
      <c r="L615" s="44">
        <v>46129.864583333336</v>
      </c>
      <c r="M615" s="55" t="s">
        <v>55</v>
      </c>
      <c r="N615" s="55" t="s">
        <v>55</v>
      </c>
      <c r="O615" s="56"/>
      <c r="Q615" s="22">
        <v>46130.609027777777</v>
      </c>
      <c r="S615" s="21" t="s">
        <v>2583</v>
      </c>
      <c r="T615" s="55" t="s">
        <v>164</v>
      </c>
      <c r="V615" s="53" t="s">
        <v>2584</v>
      </c>
      <c r="Y615" t="s">
        <v>158</v>
      </c>
      <c r="Z615" t="s">
        <v>70</v>
      </c>
    </row>
    <row r="616" spans="1:26" ht="15" hidden="1" customHeight="1">
      <c r="A616" s="60">
        <f>ROW() - ROW(Table1[[#Headers],[s]])</f>
        <v>615</v>
      </c>
      <c r="B616" t="s">
        <v>2585</v>
      </c>
      <c r="C616" s="163">
        <v>46113</v>
      </c>
      <c r="D616" s="52" t="s">
        <v>2586</v>
      </c>
      <c r="E616" t="e" vm="68">
        <v>#VALUE!</v>
      </c>
      <c r="F616" t="e" vm="26">
        <v>#VALUE!</v>
      </c>
      <c r="G616" s="43" t="s">
        <v>42</v>
      </c>
      <c r="H616" t="s">
        <v>747</v>
      </c>
      <c r="I616" t="s">
        <v>43</v>
      </c>
      <c r="J616" s="18" t="s">
        <v>253</v>
      </c>
      <c r="K616" s="42" t="s">
        <v>154</v>
      </c>
      <c r="L616" s="44">
        <v>46129.806944444441</v>
      </c>
      <c r="M616" s="55" t="s">
        <v>2587</v>
      </c>
      <c r="N616" s="55" t="s">
        <v>2587</v>
      </c>
      <c r="O616" s="44">
        <v>46130.375</v>
      </c>
      <c r="P616" s="44">
        <v>46130.378472222219</v>
      </c>
      <c r="Q616" s="44">
        <v>46130.426388888889</v>
      </c>
      <c r="S616" s="21" t="s">
        <v>2588</v>
      </c>
      <c r="T616" s="55" t="s">
        <v>164</v>
      </c>
      <c r="V616" s="53" t="s">
        <v>2589</v>
      </c>
      <c r="Y616" t="s">
        <v>158</v>
      </c>
      <c r="Z616" t="s">
        <v>70</v>
      </c>
    </row>
    <row r="617" spans="1:26" ht="16.5" hidden="1" customHeight="1">
      <c r="A617" s="60">
        <f>ROW() - ROW(Table1[[#Headers],[s]])</f>
        <v>616</v>
      </c>
      <c r="B617" t="s">
        <v>2590</v>
      </c>
      <c r="C617" s="163">
        <v>46113</v>
      </c>
      <c r="D617" s="231" t="s">
        <v>2591</v>
      </c>
      <c r="E617" t="e" vm="53">
        <v>#VALUE!</v>
      </c>
      <c r="F617" t="e" vm="12">
        <v>#VALUE!</v>
      </c>
      <c r="G617" s="43" t="s">
        <v>42</v>
      </c>
      <c r="H617" t="s">
        <v>747</v>
      </c>
      <c r="J617" s="18" t="s">
        <v>253</v>
      </c>
      <c r="K617" s="42" t="s">
        <v>154</v>
      </c>
      <c r="L617" s="44">
        <v>46130.525694444441</v>
      </c>
      <c r="M617" s="55" t="s">
        <v>53</v>
      </c>
      <c r="N617" s="55" t="s">
        <v>53</v>
      </c>
      <c r="O617" s="44">
        <v>46130.604166666664</v>
      </c>
      <c r="P617" s="44">
        <v>46130.611111111109</v>
      </c>
      <c r="Q617" s="44">
        <v>46130.65347222222</v>
      </c>
      <c r="S617" s="21" t="s">
        <v>2592</v>
      </c>
      <c r="T617" s="55" t="s">
        <v>164</v>
      </c>
      <c r="V617" s="53" t="s">
        <v>2593</v>
      </c>
      <c r="Y617" t="s">
        <v>203</v>
      </c>
      <c r="Z617" t="s">
        <v>70</v>
      </c>
    </row>
    <row r="618" spans="1:26" ht="15.75" hidden="1" customHeight="1">
      <c r="A618" s="60">
        <f>ROW() - ROW(Table1[[#Headers],[s]])</f>
        <v>617</v>
      </c>
      <c r="B618" s="228" t="s">
        <v>2594</v>
      </c>
      <c r="C618" s="273">
        <v>46113</v>
      </c>
      <c r="D618" s="227" t="s">
        <v>2595</v>
      </c>
      <c r="E618" s="228" t="e" vm="112">
        <v>#VALUE!</v>
      </c>
      <c r="F618" s="228" t="e" vm="39">
        <v>#VALUE!</v>
      </c>
      <c r="G618" s="225" t="s">
        <v>42</v>
      </c>
      <c r="H618" t="s">
        <v>152</v>
      </c>
      <c r="I618" t="s">
        <v>43</v>
      </c>
      <c r="J618" s="18" t="s">
        <v>153</v>
      </c>
      <c r="K618" s="42" t="s">
        <v>154</v>
      </c>
      <c r="L618" s="44">
        <v>46130.571527777778</v>
      </c>
      <c r="M618" s="55" t="s">
        <v>162</v>
      </c>
      <c r="N618" s="55" t="s">
        <v>162</v>
      </c>
      <c r="O618" s="56"/>
      <c r="Q618" s="44">
        <v>46131.354166666664</v>
      </c>
      <c r="S618" s="21" t="s">
        <v>921</v>
      </c>
      <c r="T618" s="55" t="s">
        <v>164</v>
      </c>
      <c r="V618" s="53" t="s">
        <v>2596</v>
      </c>
      <c r="Y618" t="s">
        <v>158</v>
      </c>
      <c r="Z618" t="s">
        <v>70</v>
      </c>
    </row>
    <row r="619" spans="1:26" ht="15.75" hidden="1" customHeight="1">
      <c r="A619" s="60">
        <f>ROW() - ROW(Table1[[#Headers],[s]])</f>
        <v>618</v>
      </c>
      <c r="B619" s="229" t="s">
        <v>2597</v>
      </c>
      <c r="C619" s="273">
        <v>46113</v>
      </c>
      <c r="D619" s="226" t="s">
        <v>2598</v>
      </c>
      <c r="E619" s="228" t="e" vm="134">
        <v>#VALUE!</v>
      </c>
      <c r="F619" s="228" t="e" vm="35">
        <v>#VALUE!</v>
      </c>
      <c r="G619" s="225" t="s">
        <v>42</v>
      </c>
      <c r="H619" t="s">
        <v>747</v>
      </c>
      <c r="J619" s="18" t="s">
        <v>253</v>
      </c>
      <c r="K619" s="42" t="s">
        <v>2599</v>
      </c>
      <c r="L619" s="44">
        <v>46130.581944444442</v>
      </c>
      <c r="M619" s="42" t="s">
        <v>2600</v>
      </c>
      <c r="N619" s="55" t="s">
        <v>2600</v>
      </c>
      <c r="O619" s="44">
        <v>46131.395833333336</v>
      </c>
      <c r="P619" s="44">
        <v>46131.395833333336</v>
      </c>
      <c r="Q619" s="44">
        <v>46131.8125</v>
      </c>
      <c r="S619" s="21" t="s">
        <v>2601</v>
      </c>
      <c r="T619" s="55" t="s">
        <v>164</v>
      </c>
      <c r="V619" s="53" t="s">
        <v>2602</v>
      </c>
      <c r="Y619" t="s">
        <v>70</v>
      </c>
      <c r="Z619" t="s">
        <v>158</v>
      </c>
    </row>
    <row r="620" spans="1:26" ht="15.75" hidden="1" customHeight="1">
      <c r="A620" s="60">
        <f>ROW() - ROW(Table1[[#Headers],[s]])</f>
        <v>619</v>
      </c>
      <c r="B620" s="228" t="s">
        <v>2603</v>
      </c>
      <c r="C620" s="161" t="s">
        <v>60</v>
      </c>
      <c r="D620" s="227" t="s">
        <v>2604</v>
      </c>
      <c r="E620" s="228" t="e" vm="134">
        <v>#VALUE!</v>
      </c>
      <c r="F620" s="228" t="e" vm="35">
        <v>#VALUE!</v>
      </c>
      <c r="G620" s="225" t="s">
        <v>42</v>
      </c>
      <c r="H620" t="s">
        <v>152</v>
      </c>
      <c r="I620" t="s">
        <v>60</v>
      </c>
      <c r="J620" s="18" t="s">
        <v>268</v>
      </c>
      <c r="K620" s="42" t="s">
        <v>154</v>
      </c>
      <c r="L620" s="44">
        <v>46130.584722222222</v>
      </c>
      <c r="M620" s="42" t="s">
        <v>2605</v>
      </c>
      <c r="N620" s="55" t="s">
        <v>2605</v>
      </c>
      <c r="O620" s="56"/>
      <c r="Q620" s="58"/>
      <c r="S620" s="21" t="s">
        <v>2606</v>
      </c>
      <c r="T620" s="55" t="s">
        <v>164</v>
      </c>
      <c r="V620" s="53" t="s">
        <v>2602</v>
      </c>
      <c r="Y620" t="s">
        <v>179</v>
      </c>
      <c r="Z620" t="s">
        <v>179</v>
      </c>
    </row>
    <row r="621" spans="1:26" ht="15" hidden="1" customHeight="1">
      <c r="A621" s="60">
        <f>ROW() - ROW(Table1[[#Headers],[s]])</f>
        <v>620</v>
      </c>
      <c r="B621" s="228" t="s">
        <v>2607</v>
      </c>
      <c r="C621" s="273">
        <v>46113</v>
      </c>
      <c r="D621" s="226" t="s">
        <v>2608</v>
      </c>
      <c r="E621" s="228" t="e" vm="70">
        <v>#VALUE!</v>
      </c>
      <c r="F621" s="228" t="e" vm="37">
        <v>#VALUE!</v>
      </c>
      <c r="G621" s="225" t="s">
        <v>42</v>
      </c>
      <c r="H621" t="s">
        <v>152</v>
      </c>
      <c r="I621" t="s">
        <v>43</v>
      </c>
      <c r="J621" s="18" t="s">
        <v>153</v>
      </c>
      <c r="K621" s="42" t="s">
        <v>154</v>
      </c>
      <c r="L621" s="44">
        <v>46130.64166666667</v>
      </c>
      <c r="M621" s="55" t="s">
        <v>1023</v>
      </c>
      <c r="N621" s="55" t="s">
        <v>1023</v>
      </c>
      <c r="O621" s="44">
        <v>46130.645833333336</v>
      </c>
      <c r="P621" s="44">
        <v>46130.648611111108</v>
      </c>
      <c r="Q621" s="44">
        <v>46130.666666666664</v>
      </c>
      <c r="S621" s="21" t="s">
        <v>2609</v>
      </c>
      <c r="T621" s="55" t="s">
        <v>164</v>
      </c>
      <c r="V621" s="53" t="s">
        <v>2610</v>
      </c>
      <c r="Y621" t="s">
        <v>158</v>
      </c>
      <c r="Z621" t="s">
        <v>70</v>
      </c>
    </row>
    <row r="622" spans="1:26" ht="15" hidden="1" customHeight="1">
      <c r="A622" s="60">
        <f>ROW() - ROW(Table1[[#Headers],[s]])</f>
        <v>621</v>
      </c>
      <c r="B622" s="228" t="s">
        <v>2611</v>
      </c>
      <c r="C622" s="273">
        <v>46113</v>
      </c>
      <c r="D622" s="226" t="s">
        <v>2612</v>
      </c>
      <c r="E622" s="228" t="e" vm="34">
        <v>#VALUE!</v>
      </c>
      <c r="F622" s="228" t="e" vm="11">
        <v>#VALUE!</v>
      </c>
      <c r="G622" s="225" t="s">
        <v>42</v>
      </c>
      <c r="H622" t="s">
        <v>152</v>
      </c>
      <c r="I622" t="s">
        <v>43</v>
      </c>
      <c r="J622" s="18" t="s">
        <v>153</v>
      </c>
      <c r="K622" s="42" t="s">
        <v>154</v>
      </c>
      <c r="L622" s="44">
        <v>46130.666666666664</v>
      </c>
      <c r="M622" s="55" t="s">
        <v>73</v>
      </c>
      <c r="N622" s="55" t="s">
        <v>73</v>
      </c>
      <c r="O622" s="44">
        <v>46130.75</v>
      </c>
      <c r="P622" s="44">
        <v>46130.75</v>
      </c>
      <c r="Q622" s="44">
        <v>46130.770833333336</v>
      </c>
      <c r="S622" s="21" t="s">
        <v>373</v>
      </c>
      <c r="T622" s="55" t="s">
        <v>164</v>
      </c>
      <c r="V622" s="53" t="s">
        <v>2613</v>
      </c>
      <c r="Y622" t="s">
        <v>203</v>
      </c>
      <c r="Z622" t="s">
        <v>70</v>
      </c>
    </row>
    <row r="623" spans="1:26" ht="15" hidden="1" customHeight="1">
      <c r="A623" s="60">
        <f>ROW() - ROW(Table1[[#Headers],[s]])</f>
        <v>622</v>
      </c>
      <c r="B623" s="162" t="s">
        <v>2614</v>
      </c>
      <c r="C623" s="163">
        <v>46113</v>
      </c>
      <c r="D623" t="s">
        <v>2615</v>
      </c>
      <c r="E623" t="e" vm="99">
        <v>#VALUE!</v>
      </c>
      <c r="F623" t="e" vm="35">
        <v>#VALUE!</v>
      </c>
      <c r="G623" s="43" t="s">
        <v>42</v>
      </c>
      <c r="H623" t="s">
        <v>152</v>
      </c>
      <c r="J623" s="18" t="s">
        <v>153</v>
      </c>
      <c r="K623" s="42" t="s">
        <v>2616</v>
      </c>
      <c r="L623" s="44">
        <v>46130.78125</v>
      </c>
      <c r="M623" s="55" t="s">
        <v>1937</v>
      </c>
      <c r="N623" s="55" t="s">
        <v>1937</v>
      </c>
      <c r="O623" s="56"/>
      <c r="Q623" s="44">
        <v>46130.583333333336</v>
      </c>
      <c r="S623" s="21" t="s">
        <v>2617</v>
      </c>
      <c r="T623" s="55" t="s">
        <v>164</v>
      </c>
      <c r="V623" s="53" t="s">
        <v>2618</v>
      </c>
      <c r="Y623" t="s">
        <v>158</v>
      </c>
      <c r="Z623" t="s">
        <v>67</v>
      </c>
    </row>
    <row r="624" spans="1:26" ht="15" hidden="1" customHeight="1">
      <c r="A624" s="60">
        <f>ROW() - ROW(Table1[[#Headers],[s]])</f>
        <v>623</v>
      </c>
      <c r="B624" t="s">
        <v>2619</v>
      </c>
      <c r="C624" s="272">
        <v>46113</v>
      </c>
      <c r="D624" t="s">
        <v>2620</v>
      </c>
      <c r="E624" t="e" vm="198">
        <v>#VALUE!</v>
      </c>
      <c r="F624" t="e" vm="16">
        <v>#VALUE!</v>
      </c>
      <c r="G624" s="43" t="s">
        <v>174</v>
      </c>
      <c r="H624" t="s">
        <v>152</v>
      </c>
      <c r="J624" s="18" t="s">
        <v>153</v>
      </c>
      <c r="K624" t="s">
        <v>154</v>
      </c>
      <c r="L624" s="44">
        <v>46131.375</v>
      </c>
      <c r="M624" s="18" t="s">
        <v>58</v>
      </c>
      <c r="N624" s="18" t="s">
        <v>58</v>
      </c>
      <c r="O624" s="3">
        <v>46132.333333333336</v>
      </c>
      <c r="P624" s="3">
        <v>46132.354166666664</v>
      </c>
      <c r="Q624" s="3">
        <v>46132.375</v>
      </c>
      <c r="S624" s="21" t="s">
        <v>2621</v>
      </c>
      <c r="T624" s="55" t="s">
        <v>164</v>
      </c>
      <c r="V624" s="164" t="s">
        <v>2622</v>
      </c>
      <c r="Y624" t="s">
        <v>158</v>
      </c>
      <c r="Z624" t="s">
        <v>70</v>
      </c>
    </row>
    <row r="625" spans="1:27" s="29" customFormat="1" ht="15" hidden="1" customHeight="1">
      <c r="A625" s="60">
        <f>ROW() - ROW(Table1[[#Headers],[s]])</f>
        <v>624</v>
      </c>
      <c r="B625" t="s">
        <v>2066</v>
      </c>
      <c r="C625" s="163">
        <v>46113</v>
      </c>
      <c r="D625" s="52" t="s">
        <v>2623</v>
      </c>
      <c r="E625" t="e" vm="50">
        <v>#VALUE!</v>
      </c>
      <c r="F625" t="e" vm="26">
        <v>#VALUE!</v>
      </c>
      <c r="G625" s="43" t="s">
        <v>42</v>
      </c>
      <c r="H625" t="s">
        <v>747</v>
      </c>
      <c r="I625" t="s">
        <v>43</v>
      </c>
      <c r="J625" s="18" t="s">
        <v>253</v>
      </c>
      <c r="K625" s="42" t="s">
        <v>154</v>
      </c>
      <c r="L625" s="44">
        <v>46131.458333333336</v>
      </c>
      <c r="M625" s="55" t="s">
        <v>2587</v>
      </c>
      <c r="N625" s="55" t="s">
        <v>2587</v>
      </c>
      <c r="O625" s="56">
        <v>46131.494444444441</v>
      </c>
      <c r="P625" s="2">
        <v>46131.538194444445</v>
      </c>
      <c r="Q625" s="58">
        <v>46131.458333333336</v>
      </c>
      <c r="R625"/>
      <c r="S625" s="21" t="s">
        <v>1509</v>
      </c>
      <c r="T625" s="55" t="s">
        <v>164</v>
      </c>
      <c r="U625"/>
      <c r="V625" s="53" t="s">
        <v>2624</v>
      </c>
      <c r="W625"/>
      <c r="X625"/>
      <c r="Y625" t="s">
        <v>158</v>
      </c>
      <c r="Z625" t="s">
        <v>70</v>
      </c>
    </row>
    <row r="626" spans="1:27" ht="15" hidden="1" customHeight="1">
      <c r="A626" s="60">
        <f>ROW() - ROW(Table1[[#Headers],[s]])</f>
        <v>625</v>
      </c>
      <c r="B626" t="s">
        <v>2625</v>
      </c>
      <c r="C626" s="163">
        <v>46113</v>
      </c>
      <c r="D626" s="52" t="s">
        <v>2626</v>
      </c>
      <c r="E626" t="e" vm="220">
        <v>#VALUE!</v>
      </c>
      <c r="F626" t="e" vm="10">
        <v>#VALUE!</v>
      </c>
      <c r="G626" s="43" t="s">
        <v>42</v>
      </c>
      <c r="H626" t="s">
        <v>152</v>
      </c>
      <c r="I626" t="s">
        <v>43</v>
      </c>
      <c r="J626" s="18" t="s">
        <v>153</v>
      </c>
      <c r="K626" s="42" t="s">
        <v>154</v>
      </c>
      <c r="L626" s="44">
        <v>46131.555555555555</v>
      </c>
      <c r="M626" s="55" t="s">
        <v>78</v>
      </c>
      <c r="N626" s="55" t="s">
        <v>78</v>
      </c>
      <c r="O626" s="56"/>
      <c r="Q626" s="289">
        <v>46131.833333333336</v>
      </c>
      <c r="S626" s="21" t="s">
        <v>2627</v>
      </c>
      <c r="T626" s="55" t="s">
        <v>164</v>
      </c>
      <c r="V626" s="53" t="s">
        <v>2628</v>
      </c>
      <c r="Y626" t="s">
        <v>158</v>
      </c>
      <c r="Z626" t="s">
        <v>70</v>
      </c>
    </row>
    <row r="627" spans="1:27" ht="15" hidden="1" customHeight="1">
      <c r="A627" s="60">
        <f>ROW() - ROW(Table1[[#Headers],[s]])</f>
        <v>626</v>
      </c>
      <c r="B627" t="s">
        <v>2629</v>
      </c>
      <c r="C627" s="163">
        <v>46113</v>
      </c>
      <c r="D627" s="52" t="s">
        <v>2630</v>
      </c>
      <c r="E627" t="e" vm="9">
        <v>#VALUE!</v>
      </c>
      <c r="F627" t="e" vm="10">
        <v>#VALUE!</v>
      </c>
      <c r="G627" s="43" t="s">
        <v>42</v>
      </c>
      <c r="H627" t="s">
        <v>152</v>
      </c>
      <c r="I627" t="s">
        <v>43</v>
      </c>
      <c r="J627" s="18" t="s">
        <v>153</v>
      </c>
      <c r="K627" s="42" t="s">
        <v>154</v>
      </c>
      <c r="L627" s="44">
        <v>46131.65625</v>
      </c>
      <c r="M627" s="55" t="s">
        <v>78</v>
      </c>
      <c r="N627" s="55" t="s">
        <v>78</v>
      </c>
      <c r="O627" s="56"/>
      <c r="Q627" s="289">
        <v>46131.944444444445</v>
      </c>
      <c r="S627" s="21" t="s">
        <v>2631</v>
      </c>
      <c r="T627" s="55" t="s">
        <v>164</v>
      </c>
      <c r="V627" s="291" t="s">
        <v>2632</v>
      </c>
      <c r="Y627" t="s">
        <v>158</v>
      </c>
      <c r="Z627" t="s">
        <v>70</v>
      </c>
    </row>
    <row r="628" spans="1:27" ht="15" hidden="1" customHeight="1">
      <c r="A628" s="60">
        <v>626</v>
      </c>
      <c r="B628" t="s">
        <v>2633</v>
      </c>
      <c r="C628" s="163">
        <v>46113</v>
      </c>
      <c r="D628" t="s">
        <v>2634</v>
      </c>
      <c r="E628" t="e" vm="9">
        <v>#VALUE!</v>
      </c>
      <c r="F628" t="e" vm="10">
        <v>#VALUE!</v>
      </c>
      <c r="G628" s="43" t="s">
        <v>174</v>
      </c>
      <c r="H628" t="s">
        <v>152</v>
      </c>
      <c r="J628" s="18" t="s">
        <v>153</v>
      </c>
      <c r="K628" s="42" t="s">
        <v>154</v>
      </c>
      <c r="L628" s="44">
        <v>46132.509722222225</v>
      </c>
      <c r="M628" s="55" t="s">
        <v>78</v>
      </c>
      <c r="N628" s="55" t="s">
        <v>78</v>
      </c>
      <c r="O628" s="44">
        <v>46132.5625</v>
      </c>
      <c r="P628" s="44">
        <v>46132.576388888891</v>
      </c>
      <c r="Q628" s="44">
        <v>46132.597222222219</v>
      </c>
      <c r="S628" s="21" t="s">
        <v>2635</v>
      </c>
      <c r="T628" s="55" t="s">
        <v>2636</v>
      </c>
      <c r="V628" s="290" t="s">
        <v>2637</v>
      </c>
      <c r="Y628" t="s">
        <v>158</v>
      </c>
      <c r="Z628" t="s">
        <v>70</v>
      </c>
    </row>
    <row r="629" spans="1:27" ht="15" hidden="1" customHeight="1">
      <c r="A629" s="60">
        <v>627</v>
      </c>
      <c r="B629" t="s">
        <v>2638</v>
      </c>
      <c r="C629" s="272">
        <v>46113</v>
      </c>
      <c r="D629" s="19" t="s">
        <v>2639</v>
      </c>
      <c r="E629" t="e" vm="9">
        <v>#VALUE!</v>
      </c>
      <c r="F629" t="e" vm="10">
        <v>#VALUE!</v>
      </c>
      <c r="G629" s="43" t="s">
        <v>174</v>
      </c>
      <c r="H629" t="s">
        <v>152</v>
      </c>
      <c r="J629" s="18" t="s">
        <v>153</v>
      </c>
      <c r="K629" s="42" t="s">
        <v>154</v>
      </c>
      <c r="L629" s="44">
        <v>46132.711805555555</v>
      </c>
      <c r="M629" s="55" t="s">
        <v>78</v>
      </c>
      <c r="N629" s="55" t="s">
        <v>78</v>
      </c>
      <c r="O629" s="44">
        <v>46132.756944444445</v>
      </c>
      <c r="P629" s="44">
        <v>46132.78125</v>
      </c>
      <c r="Q629" s="44">
        <v>46132.802083333336</v>
      </c>
      <c r="S629" s="21" t="s">
        <v>2640</v>
      </c>
      <c r="T629" s="55" t="s">
        <v>164</v>
      </c>
      <c r="V629" s="291" t="s">
        <v>183</v>
      </c>
      <c r="Y629" t="s">
        <v>158</v>
      </c>
      <c r="Z629" t="s">
        <v>70</v>
      </c>
    </row>
    <row r="630" spans="1:27" ht="15" hidden="1" customHeight="1">
      <c r="A630" s="60">
        <v>628</v>
      </c>
      <c r="B630" t="s">
        <v>2641</v>
      </c>
      <c r="C630" s="272">
        <v>46113</v>
      </c>
      <c r="D630" s="19" t="s">
        <v>2642</v>
      </c>
      <c r="E630" t="e" vm="9">
        <v>#VALUE!</v>
      </c>
      <c r="F630" t="e" vm="10">
        <v>#VALUE!</v>
      </c>
      <c r="G630" s="43" t="s">
        <v>174</v>
      </c>
      <c r="H630" t="s">
        <v>152</v>
      </c>
      <c r="J630" s="18" t="s">
        <v>153</v>
      </c>
      <c r="K630" s="42" t="s">
        <v>154</v>
      </c>
      <c r="L630" s="44">
        <v>46132.587500000001</v>
      </c>
      <c r="M630" s="55" t="s">
        <v>78</v>
      </c>
      <c r="N630" s="55" t="s">
        <v>78</v>
      </c>
      <c r="O630" s="44">
        <v>46132.645833333336</v>
      </c>
      <c r="P630" s="44">
        <v>46132.666666666664</v>
      </c>
      <c r="Q630" s="44">
        <v>46132.729166666664</v>
      </c>
      <c r="S630" s="21" t="s">
        <v>2643</v>
      </c>
      <c r="T630" s="55" t="s">
        <v>2636</v>
      </c>
      <c r="V630" s="291" t="s">
        <v>183</v>
      </c>
      <c r="Y630" t="s">
        <v>158</v>
      </c>
      <c r="Z630" t="s">
        <v>70</v>
      </c>
    </row>
    <row r="631" spans="1:27" s="29" customFormat="1" ht="15" hidden="1" customHeight="1">
      <c r="A631" s="111">
        <v>629</v>
      </c>
      <c r="B631" s="29" t="s">
        <v>2644</v>
      </c>
      <c r="C631" s="276">
        <v>46113</v>
      </c>
      <c r="D631" s="234" t="s">
        <v>2645</v>
      </c>
      <c r="E631" s="29" t="e" vm="99">
        <v>#VALUE!</v>
      </c>
      <c r="F631" s="29" t="e" vm="35">
        <v>#VALUE!</v>
      </c>
      <c r="G631" s="114" t="s">
        <v>174</v>
      </c>
      <c r="H631" s="29" t="s">
        <v>152</v>
      </c>
      <c r="J631" s="235" t="s">
        <v>153</v>
      </c>
      <c r="K631" s="148" t="s">
        <v>2646</v>
      </c>
      <c r="L631" s="151">
        <v>46132.67083333333</v>
      </c>
      <c r="M631" s="235" t="s">
        <v>227</v>
      </c>
      <c r="N631" s="235" t="s">
        <v>227</v>
      </c>
      <c r="O631" s="151">
        <v>46132.760416666664</v>
      </c>
      <c r="P631" s="151">
        <v>46132.770833333336</v>
      </c>
      <c r="Q631" s="151">
        <v>46132.822916666664</v>
      </c>
      <c r="S631" s="252" t="s">
        <v>2647</v>
      </c>
      <c r="T631" s="235" t="s">
        <v>2165</v>
      </c>
      <c r="V631" s="292" t="s">
        <v>2648</v>
      </c>
      <c r="Y631" s="29" t="s">
        <v>70</v>
      </c>
      <c r="Z631" s="29" t="s">
        <v>158</v>
      </c>
    </row>
    <row r="632" spans="1:27" ht="15" hidden="1" customHeight="1">
      <c r="A632" s="60">
        <f>ROW() - ROW(Table1[[#Headers],[s]])</f>
        <v>631</v>
      </c>
      <c r="B632" s="233" t="s">
        <v>2649</v>
      </c>
      <c r="C632" s="309">
        <v>46113</v>
      </c>
      <c r="D632" s="310" t="s">
        <v>2650</v>
      </c>
      <c r="E632" s="233" t="e" vm="205">
        <v>#VALUE!</v>
      </c>
      <c r="F632" t="e" vm="10">
        <v>#VALUE!</v>
      </c>
      <c r="G632" s="311" t="s">
        <v>1057</v>
      </c>
      <c r="H632" s="233" t="s">
        <v>152</v>
      </c>
      <c r="I632" t="s">
        <v>43</v>
      </c>
      <c r="J632" s="329" t="s">
        <v>153</v>
      </c>
      <c r="K632" s="233" t="s">
        <v>154</v>
      </c>
      <c r="L632" s="312">
        <v>46133.512499999997</v>
      </c>
      <c r="M632" s="329" t="s">
        <v>78</v>
      </c>
      <c r="N632" s="55" t="s">
        <v>78</v>
      </c>
      <c r="O632" s="313">
        <v>46133.854861111111</v>
      </c>
      <c r="P632" s="313">
        <v>46133.861805555556</v>
      </c>
      <c r="Q632" s="313">
        <v>46133.892361111109</v>
      </c>
      <c r="R632" t="s">
        <v>179</v>
      </c>
      <c r="S632" s="385" t="s">
        <v>2631</v>
      </c>
      <c r="T632" s="233" t="s">
        <v>478</v>
      </c>
      <c r="U632" s="233"/>
      <c r="V632" s="385" t="s">
        <v>2651</v>
      </c>
      <c r="W632" s="233"/>
      <c r="X632" s="233"/>
      <c r="Y632" s="233" t="s">
        <v>158</v>
      </c>
      <c r="Z632" s="233" t="s">
        <v>70</v>
      </c>
      <c r="AA632" s="314"/>
    </row>
    <row r="633" spans="1:27" ht="15" hidden="1" customHeight="1">
      <c r="A633" s="17">
        <f>ROW() - ROW(Table1[[#Headers],[s]])</f>
        <v>632</v>
      </c>
      <c r="B633" s="233" t="s">
        <v>2652</v>
      </c>
      <c r="C633" s="309">
        <v>46113</v>
      </c>
      <c r="D633" s="310" t="s">
        <v>2653</v>
      </c>
      <c r="E633" s="233" t="e" vm="53">
        <v>#VALUE!</v>
      </c>
      <c r="F633" t="e" vm="12">
        <v>#VALUE!</v>
      </c>
      <c r="G633" s="311" t="s">
        <v>1057</v>
      </c>
      <c r="H633" s="233" t="s">
        <v>747</v>
      </c>
      <c r="I633" t="s">
        <v>43</v>
      </c>
      <c r="J633" s="329" t="s">
        <v>253</v>
      </c>
      <c r="K633" s="233" t="s">
        <v>154</v>
      </c>
      <c r="L633" s="312">
        <v>46133.526388888888</v>
      </c>
      <c r="M633" s="329" t="s">
        <v>1067</v>
      </c>
      <c r="N633" s="329" t="s">
        <v>1067</v>
      </c>
      <c r="O633" s="313">
        <v>46133.614583333336</v>
      </c>
      <c r="P633" s="313">
        <v>46133.6875</v>
      </c>
      <c r="Q633" s="313">
        <v>46133.920138888891</v>
      </c>
      <c r="R633" s="233"/>
      <c r="S633" s="385" t="s">
        <v>2654</v>
      </c>
      <c r="T633" s="233" t="s">
        <v>478</v>
      </c>
      <c r="U633" s="233"/>
      <c r="V633" s="385" t="s">
        <v>2655</v>
      </c>
      <c r="W633" s="233"/>
      <c r="X633" s="233"/>
      <c r="Y633" s="233" t="s">
        <v>158</v>
      </c>
      <c r="Z633" s="233" t="s">
        <v>70</v>
      </c>
      <c r="AA633" s="314"/>
    </row>
    <row r="634" spans="1:27" ht="15" hidden="1" customHeight="1">
      <c r="A634" s="17">
        <f>ROW() - ROW(Table1[[#Headers],[s]])</f>
        <v>633</v>
      </c>
      <c r="B634" s="233" t="s">
        <v>2656</v>
      </c>
      <c r="C634" s="309">
        <v>46113</v>
      </c>
      <c r="D634" s="310" t="s">
        <v>2657</v>
      </c>
      <c r="E634" s="233" t="e" vm="121">
        <v>#VALUE!</v>
      </c>
      <c r="F634" t="e" vm="17">
        <v>#VALUE!</v>
      </c>
      <c r="G634" s="311" t="s">
        <v>40</v>
      </c>
      <c r="H634" s="233" t="s">
        <v>747</v>
      </c>
      <c r="I634" s="233"/>
      <c r="J634" s="329" t="s">
        <v>253</v>
      </c>
      <c r="K634" s="233" t="s">
        <v>2658</v>
      </c>
      <c r="L634" s="312">
        <v>46133.601388888892</v>
      </c>
      <c r="M634" s="329" t="s">
        <v>2659</v>
      </c>
      <c r="N634" s="329" t="s">
        <v>2660</v>
      </c>
      <c r="O634" s="313">
        <v>46133.614583333336</v>
      </c>
      <c r="P634" s="233"/>
      <c r="Q634" s="233" t="s">
        <v>2661</v>
      </c>
      <c r="R634" s="233"/>
      <c r="S634" s="385" t="s">
        <v>2662</v>
      </c>
      <c r="T634" s="233" t="s">
        <v>478</v>
      </c>
      <c r="U634" s="233"/>
      <c r="V634" s="385" t="s">
        <v>2663</v>
      </c>
      <c r="W634" s="233"/>
      <c r="X634" s="233"/>
      <c r="Y634" s="233"/>
      <c r="Z634" s="233"/>
      <c r="AA634" s="314"/>
    </row>
    <row r="635" spans="1:27" ht="15" hidden="1" customHeight="1">
      <c r="A635" s="17">
        <f>ROW() - ROW(Table1[[#Headers],[s]])</f>
        <v>634</v>
      </c>
      <c r="B635" s="233" t="s">
        <v>1279</v>
      </c>
      <c r="C635" s="309">
        <v>46113</v>
      </c>
      <c r="D635" s="310" t="s">
        <v>2664</v>
      </c>
      <c r="E635" s="233" t="e" vm="145">
        <v>#VALUE!</v>
      </c>
      <c r="F635" t="e" vm="16">
        <v>#VALUE!</v>
      </c>
      <c r="G635" s="315" t="s">
        <v>1057</v>
      </c>
      <c r="H635" s="316" t="s">
        <v>152</v>
      </c>
      <c r="I635" t="s">
        <v>43</v>
      </c>
      <c r="J635" s="316" t="s">
        <v>153</v>
      </c>
      <c r="K635" s="241" t="s">
        <v>154</v>
      </c>
      <c r="L635" s="317">
        <v>46133.654166666667</v>
      </c>
      <c r="M635" s="318" t="s">
        <v>2110</v>
      </c>
      <c r="N635" s="318" t="s">
        <v>2110</v>
      </c>
      <c r="O635" s="319">
        <v>46133.923611111109</v>
      </c>
      <c r="P635" s="319">
        <v>46133.93472222222</v>
      </c>
      <c r="Q635" s="319">
        <v>46134.458333333336</v>
      </c>
      <c r="R635" s="316"/>
      <c r="S635" s="386" t="s">
        <v>2665</v>
      </c>
      <c r="T635" s="318" t="s">
        <v>478</v>
      </c>
      <c r="U635" s="316"/>
      <c r="V635" s="396" t="s">
        <v>2666</v>
      </c>
      <c r="W635" s="316"/>
      <c r="X635" s="316"/>
      <c r="Y635" s="316" t="s">
        <v>158</v>
      </c>
      <c r="Z635" s="316" t="s">
        <v>70</v>
      </c>
      <c r="AA635" s="314"/>
    </row>
    <row r="636" spans="1:27" ht="15" hidden="1" customHeight="1">
      <c r="A636" s="17">
        <f>ROW() - ROW(Table1[[#Headers],[s]])</f>
        <v>635</v>
      </c>
      <c r="B636" s="233" t="s">
        <v>2667</v>
      </c>
      <c r="C636" s="309">
        <v>46113</v>
      </c>
      <c r="D636" s="310" t="s">
        <v>2668</v>
      </c>
      <c r="E636" s="233" t="e" vm="9">
        <v>#VALUE!</v>
      </c>
      <c r="F636" t="e" vm="10">
        <v>#VALUE!</v>
      </c>
      <c r="G636" s="311" t="s">
        <v>1057</v>
      </c>
      <c r="H636" s="233" t="s">
        <v>152</v>
      </c>
      <c r="I636" t="s">
        <v>43</v>
      </c>
      <c r="J636" s="329" t="s">
        <v>153</v>
      </c>
      <c r="K636" s="233" t="s">
        <v>154</v>
      </c>
      <c r="L636" s="312">
        <v>46133.679166666669</v>
      </c>
      <c r="M636" s="329" t="s">
        <v>78</v>
      </c>
      <c r="N636" s="55" t="s">
        <v>78</v>
      </c>
      <c r="O636" s="313">
        <v>46133.9375</v>
      </c>
      <c r="P636" s="313">
        <v>46133.951388888891</v>
      </c>
      <c r="Q636" s="313">
        <v>46133.963888888888</v>
      </c>
      <c r="R636" s="233"/>
      <c r="S636" s="385" t="s">
        <v>2669</v>
      </c>
      <c r="T636" s="233" t="s">
        <v>478</v>
      </c>
      <c r="U636" s="233"/>
      <c r="V636" s="385" t="s">
        <v>2670</v>
      </c>
      <c r="W636" s="233"/>
      <c r="X636" s="233"/>
      <c r="Y636" s="233" t="s">
        <v>158</v>
      </c>
      <c r="Z636" s="233" t="s">
        <v>70</v>
      </c>
      <c r="AA636" s="314"/>
    </row>
    <row r="637" spans="1:27" ht="15" hidden="1" customHeight="1">
      <c r="A637" s="17">
        <f>ROW() - ROW(Table1[[#Headers],[s]])</f>
        <v>636</v>
      </c>
      <c r="B637" s="233" t="s">
        <v>2671</v>
      </c>
      <c r="C637" s="309">
        <v>46113</v>
      </c>
      <c r="D637" s="310" t="s">
        <v>2672</v>
      </c>
      <c r="E637" s="233" t="e" vm="80">
        <v>#VALUE!</v>
      </c>
      <c r="F637" t="e" vm="10">
        <v>#VALUE!</v>
      </c>
      <c r="G637" s="311" t="s">
        <v>1057</v>
      </c>
      <c r="H637" s="233" t="s">
        <v>152</v>
      </c>
      <c r="I637" t="s">
        <v>43</v>
      </c>
      <c r="J637" s="329" t="s">
        <v>153</v>
      </c>
      <c r="K637" s="233" t="s">
        <v>154</v>
      </c>
      <c r="L637" s="312">
        <v>46133.684027777781</v>
      </c>
      <c r="M637" s="329" t="s">
        <v>78</v>
      </c>
      <c r="N637" s="55" t="s">
        <v>78</v>
      </c>
      <c r="O637" s="313">
        <v>46133.895833333336</v>
      </c>
      <c r="P637" s="313">
        <v>46133.920138888891</v>
      </c>
      <c r="Q637" s="313">
        <v>46133.934027777781</v>
      </c>
      <c r="R637" s="233"/>
      <c r="S637" s="385" t="s">
        <v>2673</v>
      </c>
      <c r="T637" s="233" t="s">
        <v>478</v>
      </c>
      <c r="U637" s="233"/>
      <c r="V637" s="385" t="s">
        <v>2674</v>
      </c>
      <c r="W637" s="233"/>
      <c r="X637" s="233"/>
      <c r="Y637" s="233" t="s">
        <v>158</v>
      </c>
      <c r="Z637" s="233" t="s">
        <v>70</v>
      </c>
      <c r="AA637" s="314"/>
    </row>
    <row r="638" spans="1:27" ht="15" hidden="1" customHeight="1">
      <c r="A638" s="17">
        <f>ROW() - ROW(Table1[[#Headers],[s]])</f>
        <v>637</v>
      </c>
      <c r="B638" s="233" t="s">
        <v>2675</v>
      </c>
      <c r="C638" s="309">
        <v>46113</v>
      </c>
      <c r="D638" s="310" t="s">
        <v>2676</v>
      </c>
      <c r="E638" s="233" t="e" vm="221">
        <v>#VALUE!</v>
      </c>
      <c r="F638" t="e" vm="35">
        <v>#VALUE!</v>
      </c>
      <c r="G638" s="43" t="s">
        <v>174</v>
      </c>
      <c r="H638" s="233" t="s">
        <v>747</v>
      </c>
      <c r="I638" s="233"/>
      <c r="J638" s="329" t="s">
        <v>253</v>
      </c>
      <c r="K638" s="233" t="s">
        <v>2677</v>
      </c>
      <c r="L638" s="312">
        <v>46133.72152777778</v>
      </c>
      <c r="M638" s="169" t="s">
        <v>1484</v>
      </c>
      <c r="N638" s="169" t="s">
        <v>1484</v>
      </c>
      <c r="O638" s="313">
        <v>46133.916666666664</v>
      </c>
      <c r="P638" s="313">
        <v>46134.020833333336</v>
      </c>
      <c r="Q638" s="233" t="s">
        <v>2661</v>
      </c>
      <c r="R638" s="233"/>
      <c r="S638" s="385" t="s">
        <v>2678</v>
      </c>
      <c r="T638" s="233" t="s">
        <v>266</v>
      </c>
      <c r="U638" s="233"/>
      <c r="V638" s="385" t="s">
        <v>2679</v>
      </c>
      <c r="W638" s="233"/>
      <c r="X638" s="233"/>
      <c r="Y638" s="233" t="s">
        <v>2680</v>
      </c>
      <c r="Z638" s="233" t="s">
        <v>158</v>
      </c>
      <c r="AA638" s="314"/>
    </row>
    <row r="639" spans="1:27" ht="15" hidden="1" customHeight="1">
      <c r="A639" s="17">
        <f>ROW() - ROW(Table1[[#Headers],[s]])</f>
        <v>638</v>
      </c>
      <c r="B639" s="241" t="s">
        <v>2681</v>
      </c>
      <c r="C639" s="293">
        <v>46113</v>
      </c>
      <c r="D639" s="294" t="s">
        <v>2682</v>
      </c>
      <c r="E639" s="241" t="e" vm="222">
        <v>#VALUE!</v>
      </c>
      <c r="F639" t="e" vm="10">
        <v>#VALUE!</v>
      </c>
      <c r="G639" s="43" t="s">
        <v>174</v>
      </c>
      <c r="H639" s="233" t="s">
        <v>152</v>
      </c>
      <c r="I639" s="241"/>
      <c r="J639" s="329" t="s">
        <v>153</v>
      </c>
      <c r="K639" s="241" t="s">
        <v>154</v>
      </c>
      <c r="L639" s="295">
        <v>46134.394444444442</v>
      </c>
      <c r="M639" s="329" t="s">
        <v>78</v>
      </c>
      <c r="N639" s="55" t="s">
        <v>78</v>
      </c>
      <c r="O639" s="295">
        <v>46134.4375</v>
      </c>
      <c r="P639" s="295">
        <v>46134.461805555555</v>
      </c>
      <c r="Q639" s="295">
        <v>46134.524305555555</v>
      </c>
      <c r="R639" s="241"/>
      <c r="S639" s="320" t="s">
        <v>2683</v>
      </c>
      <c r="T639" s="233" t="s">
        <v>266</v>
      </c>
      <c r="U639" s="241"/>
      <c r="V639" s="320" t="s">
        <v>2684</v>
      </c>
      <c r="W639" s="241"/>
      <c r="X639" s="241"/>
      <c r="Y639" s="241" t="s">
        <v>158</v>
      </c>
      <c r="Z639" s="241" t="s">
        <v>70</v>
      </c>
      <c r="AA639" s="241"/>
    </row>
    <row r="640" spans="1:27" ht="15" hidden="1" customHeight="1">
      <c r="A640" s="17">
        <f>ROW() - ROW(Table1[[#Headers],[s]])</f>
        <v>639</v>
      </c>
      <c r="B640" s="241" t="s">
        <v>2685</v>
      </c>
      <c r="C640" s="161" t="s">
        <v>60</v>
      </c>
      <c r="D640" s="248" t="s">
        <v>2686</v>
      </c>
      <c r="E640" s="241" t="e" vm="183">
        <v>#VALUE!</v>
      </c>
      <c r="F640" t="e" vm="19">
        <v>#VALUE!</v>
      </c>
      <c r="G640" s="43" t="s">
        <v>174</v>
      </c>
      <c r="H640" s="233" t="s">
        <v>152</v>
      </c>
      <c r="I640" s="241"/>
      <c r="J640" s="329" t="s">
        <v>153</v>
      </c>
      <c r="K640" s="241" t="s">
        <v>2687</v>
      </c>
      <c r="L640" s="295">
        <v>46134.395833333336</v>
      </c>
      <c r="M640" s="298"/>
      <c r="N640" s="298"/>
      <c r="O640" s="239"/>
      <c r="P640" s="296"/>
      <c r="Q640" s="297"/>
      <c r="R640" s="241"/>
      <c r="S640" s="299" t="s">
        <v>2688</v>
      </c>
      <c r="T640" s="298" t="s">
        <v>2689</v>
      </c>
      <c r="U640" s="241"/>
      <c r="V640" s="299"/>
      <c r="W640" s="241"/>
      <c r="X640" s="241"/>
      <c r="Y640" t="s">
        <v>179</v>
      </c>
      <c r="Z640" t="s">
        <v>179</v>
      </c>
      <c r="AA640" s="241"/>
    </row>
    <row r="641" spans="1:27" ht="15" hidden="1" customHeight="1">
      <c r="A641" s="17">
        <f>ROW() - ROW(Table1[[#Headers],[s]])</f>
        <v>640</v>
      </c>
      <c r="B641" s="241" t="s">
        <v>2690</v>
      </c>
      <c r="C641" s="300">
        <v>46113</v>
      </c>
      <c r="D641" s="248" t="s">
        <v>2691</v>
      </c>
      <c r="E641" s="241" t="e" vm="223">
        <v>#VALUE!</v>
      </c>
      <c r="F641" t="e" vm="26">
        <v>#VALUE!</v>
      </c>
      <c r="G641" s="43" t="s">
        <v>174</v>
      </c>
      <c r="H641" s="233" t="s">
        <v>152</v>
      </c>
      <c r="I641" s="241"/>
      <c r="J641" s="329" t="s">
        <v>153</v>
      </c>
      <c r="K641" s="233" t="s">
        <v>154</v>
      </c>
      <c r="L641" s="295">
        <v>46134.410416666666</v>
      </c>
      <c r="M641" s="298" t="s">
        <v>507</v>
      </c>
      <c r="N641" s="298" t="s">
        <v>507</v>
      </c>
      <c r="O641" s="239">
        <v>46135.333333333336</v>
      </c>
      <c r="P641" s="239">
        <v>46135.354166666664</v>
      </c>
      <c r="Q641" s="239">
        <v>46135.375</v>
      </c>
      <c r="R641" s="241"/>
      <c r="S641" s="299" t="s">
        <v>620</v>
      </c>
      <c r="T641" s="233" t="s">
        <v>478</v>
      </c>
      <c r="U641" s="241"/>
      <c r="V641" s="299" t="s">
        <v>930</v>
      </c>
      <c r="W641" s="241"/>
      <c r="X641" s="241"/>
      <c r="Y641" s="241" t="s">
        <v>158</v>
      </c>
      <c r="Z641" s="241" t="s">
        <v>70</v>
      </c>
      <c r="AA641" s="241"/>
    </row>
    <row r="642" spans="1:27" ht="15" hidden="1" customHeight="1">
      <c r="A642" s="17">
        <f>ROW() - ROW(Table1[[#Headers],[s]])</f>
        <v>641</v>
      </c>
      <c r="B642" s="241" t="s">
        <v>2692</v>
      </c>
      <c r="C642" s="300">
        <v>46113</v>
      </c>
      <c r="D642" s="248" t="s">
        <v>2693</v>
      </c>
      <c r="E642" s="241" t="e" vm="73">
        <v>#VALUE!</v>
      </c>
      <c r="F642" t="e" vm="49">
        <v>#VALUE!</v>
      </c>
      <c r="G642" s="43" t="s">
        <v>174</v>
      </c>
      <c r="H642" s="233" t="s">
        <v>152</v>
      </c>
      <c r="I642" s="241"/>
      <c r="J642" s="329" t="s">
        <v>153</v>
      </c>
      <c r="K642" s="233" t="s">
        <v>154</v>
      </c>
      <c r="L642" s="295">
        <v>46134.454861111109</v>
      </c>
      <c r="M642" s="329" t="s">
        <v>227</v>
      </c>
      <c r="N642" s="329" t="s">
        <v>227</v>
      </c>
      <c r="O642" s="239">
        <v>46135.333333333336</v>
      </c>
      <c r="P642" s="239">
        <v>46135.354166666664</v>
      </c>
      <c r="Q642" s="239">
        <v>46135.375</v>
      </c>
      <c r="R642" s="241"/>
      <c r="S642" s="299" t="s">
        <v>1191</v>
      </c>
      <c r="T642" s="298" t="s">
        <v>179</v>
      </c>
      <c r="U642" s="241"/>
      <c r="V642" s="299" t="s">
        <v>2694</v>
      </c>
      <c r="W642" s="241"/>
      <c r="X642" s="241"/>
      <c r="Y642" s="241" t="s">
        <v>158</v>
      </c>
      <c r="Z642" s="241" t="s">
        <v>70</v>
      </c>
      <c r="AA642" s="241"/>
    </row>
    <row r="643" spans="1:27" ht="15" hidden="1" customHeight="1">
      <c r="A643" s="17">
        <f>ROW() - ROW(Table1[[#Headers],[s]])</f>
        <v>642</v>
      </c>
      <c r="B643" s="241" t="s">
        <v>2695</v>
      </c>
      <c r="C643" s="300">
        <v>46113</v>
      </c>
      <c r="D643" s="248" t="s">
        <v>2696</v>
      </c>
      <c r="E643" s="241" t="e" vm="224">
        <v>#VALUE!</v>
      </c>
      <c r="F643" t="e" vm="40">
        <v>#VALUE!</v>
      </c>
      <c r="G643" s="43" t="s">
        <v>174</v>
      </c>
      <c r="H643" s="233" t="s">
        <v>152</v>
      </c>
      <c r="I643" s="241"/>
      <c r="J643" s="329" t="s">
        <v>153</v>
      </c>
      <c r="K643" s="233" t="s">
        <v>154</v>
      </c>
      <c r="L643" s="295">
        <v>46134.455555555556</v>
      </c>
      <c r="M643" s="298" t="s">
        <v>39</v>
      </c>
      <c r="N643" s="298" t="s">
        <v>39</v>
      </c>
      <c r="O643" s="295">
        <v>46134.510416666664</v>
      </c>
      <c r="P643" s="295">
        <v>46134.53125</v>
      </c>
      <c r="Q643" s="295">
        <v>46134.583333333336</v>
      </c>
      <c r="R643" s="241"/>
      <c r="S643" s="299" t="s">
        <v>2697</v>
      </c>
      <c r="T643" s="298" t="s">
        <v>179</v>
      </c>
      <c r="U643" s="241"/>
      <c r="V643" s="299" t="s">
        <v>2698</v>
      </c>
      <c r="W643" s="241" t="s">
        <v>2699</v>
      </c>
      <c r="X643" s="241"/>
      <c r="Y643" s="241" t="s">
        <v>158</v>
      </c>
      <c r="Z643" s="241" t="s">
        <v>70</v>
      </c>
      <c r="AA643" s="241"/>
    </row>
    <row r="644" spans="1:27" ht="15" hidden="1" customHeight="1">
      <c r="A644" s="17">
        <f>ROW() - ROW(Table1[[#Headers],[s]])</f>
        <v>643</v>
      </c>
      <c r="B644" s="241" t="s">
        <v>2700</v>
      </c>
      <c r="C644" s="300">
        <v>46113</v>
      </c>
      <c r="D644" s="248" t="s">
        <v>2701</v>
      </c>
      <c r="E644" s="241" t="e" vm="117">
        <v>#VALUE!</v>
      </c>
      <c r="F644" t="e" vm="2">
        <v>#VALUE!</v>
      </c>
      <c r="G644" s="43" t="s">
        <v>174</v>
      </c>
      <c r="H644" s="233" t="s">
        <v>747</v>
      </c>
      <c r="I644" s="241"/>
      <c r="J644" s="329" t="s">
        <v>253</v>
      </c>
      <c r="K644" s="233" t="s">
        <v>154</v>
      </c>
      <c r="L644" s="295">
        <v>46134.47152777778</v>
      </c>
      <c r="M644" s="298" t="s">
        <v>162</v>
      </c>
      <c r="N644" s="298" t="s">
        <v>162</v>
      </c>
      <c r="O644" s="295">
        <v>46134.552083333336</v>
      </c>
      <c r="P644" s="295">
        <v>46134.572916666664</v>
      </c>
      <c r="Q644" s="295">
        <v>46134.851388888892</v>
      </c>
      <c r="R644" s="241"/>
      <c r="S644" s="299" t="s">
        <v>2702</v>
      </c>
      <c r="T644" s="298" t="s">
        <v>2703</v>
      </c>
      <c r="U644" s="241"/>
      <c r="V644" s="299" t="s">
        <v>2704</v>
      </c>
      <c r="W644" s="241" t="s">
        <v>2703</v>
      </c>
      <c r="X644" s="241"/>
      <c r="Y644" s="241" t="s">
        <v>158</v>
      </c>
      <c r="Z644" s="241" t="s">
        <v>158</v>
      </c>
      <c r="AA644" s="241"/>
    </row>
    <row r="645" spans="1:27" ht="15" hidden="1" customHeight="1">
      <c r="A645" s="17">
        <f>ROW() - ROW(Table1[[#Headers],[s]])</f>
        <v>644</v>
      </c>
      <c r="B645" s="241" t="s">
        <v>2705</v>
      </c>
      <c r="C645" s="161" t="s">
        <v>60</v>
      </c>
      <c r="D645" s="241" t="s">
        <v>2706</v>
      </c>
      <c r="E645" s="241" t="e" vm="117">
        <v>#VALUE!</v>
      </c>
      <c r="F645" t="e" vm="2">
        <v>#VALUE!</v>
      </c>
      <c r="G645" s="43" t="s">
        <v>174</v>
      </c>
      <c r="H645" s="233" t="s">
        <v>152</v>
      </c>
      <c r="I645" s="241"/>
      <c r="J645" s="329" t="s">
        <v>153</v>
      </c>
      <c r="K645" s="42" t="s">
        <v>154</v>
      </c>
      <c r="L645" s="295">
        <v>46134.480555555558</v>
      </c>
      <c r="M645" s="298" t="s">
        <v>162</v>
      </c>
      <c r="N645" s="298" t="s">
        <v>162</v>
      </c>
      <c r="O645" s="239"/>
      <c r="P645" s="296"/>
      <c r="Q645" s="297"/>
      <c r="R645" s="241"/>
      <c r="S645" s="299" t="s">
        <v>2707</v>
      </c>
      <c r="T645" s="298" t="s">
        <v>179</v>
      </c>
      <c r="U645" s="241"/>
      <c r="V645" s="299"/>
      <c r="W645" s="241"/>
      <c r="X645" s="241"/>
      <c r="Y645" t="s">
        <v>179</v>
      </c>
      <c r="Z645" t="s">
        <v>179</v>
      </c>
      <c r="AA645" s="241"/>
    </row>
    <row r="646" spans="1:27" ht="15" hidden="1" customHeight="1">
      <c r="A646" s="17">
        <f>ROW() - ROW(Table1[[#Headers],[s]])</f>
        <v>645</v>
      </c>
      <c r="B646" s="241" t="s">
        <v>2708</v>
      </c>
      <c r="C646" s="300">
        <v>46113</v>
      </c>
      <c r="D646" s="248" t="s">
        <v>2709</v>
      </c>
      <c r="E646" s="241" t="e" vm="190">
        <v>#VALUE!</v>
      </c>
      <c r="F646" t="e" vm="49">
        <v>#VALUE!</v>
      </c>
      <c r="G646" s="43" t="s">
        <v>174</v>
      </c>
      <c r="H646" t="s">
        <v>245</v>
      </c>
      <c r="I646" s="241"/>
      <c r="J646" s="18" t="s">
        <v>287</v>
      </c>
      <c r="K646" s="233" t="s">
        <v>154</v>
      </c>
      <c r="L646" s="295">
        <v>46134.490277777775</v>
      </c>
      <c r="M646" s="329" t="s">
        <v>227</v>
      </c>
      <c r="N646" s="329" t="s">
        <v>227</v>
      </c>
      <c r="O646" s="295">
        <v>46134.572916666664</v>
      </c>
      <c r="P646" s="295">
        <v>46134.625</v>
      </c>
      <c r="Q646" s="295">
        <v>46134.711111111108</v>
      </c>
      <c r="R646" s="241"/>
      <c r="S646" s="299" t="s">
        <v>2710</v>
      </c>
      <c r="T646" s="298" t="s">
        <v>2711</v>
      </c>
      <c r="U646" s="241"/>
      <c r="V646" s="299" t="s">
        <v>2712</v>
      </c>
      <c r="W646" s="241" t="s">
        <v>2713</v>
      </c>
      <c r="X646" s="241"/>
      <c r="Y646" s="241" t="s">
        <v>158</v>
      </c>
      <c r="Z646" s="241" t="s">
        <v>70</v>
      </c>
      <c r="AA646" s="241"/>
    </row>
    <row r="647" spans="1:27" ht="15" hidden="1" customHeight="1">
      <c r="A647" s="17">
        <f>ROW() - ROW(Table1[[#Headers],[s]])</f>
        <v>646</v>
      </c>
      <c r="B647" s="241" t="s">
        <v>2714</v>
      </c>
      <c r="C647" s="300">
        <v>46113</v>
      </c>
      <c r="D647" s="248" t="s">
        <v>2715</v>
      </c>
      <c r="E647" s="241" t="e" vm="144">
        <v>#VALUE!</v>
      </c>
      <c r="F647" t="e" vm="39">
        <v>#VALUE!</v>
      </c>
      <c r="G647" s="43" t="s">
        <v>174</v>
      </c>
      <c r="H647" t="s">
        <v>245</v>
      </c>
      <c r="I647" s="241"/>
      <c r="J647" s="18" t="s">
        <v>287</v>
      </c>
      <c r="K647" s="233" t="s">
        <v>2716</v>
      </c>
      <c r="L647" s="295">
        <v>46134.50277777778</v>
      </c>
      <c r="M647" s="298" t="s">
        <v>2717</v>
      </c>
      <c r="N647" s="298" t="s">
        <v>2717</v>
      </c>
      <c r="O647" s="295">
        <v>46134.590277777781</v>
      </c>
      <c r="P647" s="295">
        <v>46134.50277777778</v>
      </c>
      <c r="Q647" s="295">
        <v>46134.856249999997</v>
      </c>
      <c r="R647" s="241"/>
      <c r="S647" s="299" t="s">
        <v>2718</v>
      </c>
      <c r="T647" s="241" t="s">
        <v>478</v>
      </c>
      <c r="U647" s="241"/>
      <c r="V647" s="299" t="s">
        <v>2719</v>
      </c>
      <c r="W647" s="241"/>
      <c r="X647" s="241" t="s">
        <v>2720</v>
      </c>
      <c r="Y647" s="233" t="s">
        <v>2680</v>
      </c>
      <c r="Z647" s="241" t="s">
        <v>158</v>
      </c>
      <c r="AA647" s="241"/>
    </row>
    <row r="648" spans="1:27" ht="15" hidden="1" customHeight="1">
      <c r="A648" s="17">
        <f>ROW() - ROW(Table1[[#Headers],[s]])</f>
        <v>647</v>
      </c>
      <c r="B648" s="241" t="s">
        <v>2721</v>
      </c>
      <c r="C648" s="300">
        <v>46113</v>
      </c>
      <c r="D648" s="248" t="s">
        <v>2722</v>
      </c>
      <c r="E648" s="241" t="e" vm="79">
        <v>#VALUE!</v>
      </c>
      <c r="F648" t="e" vm="25">
        <v>#VALUE!</v>
      </c>
      <c r="G648" s="43" t="s">
        <v>174</v>
      </c>
      <c r="H648" t="s">
        <v>747</v>
      </c>
      <c r="I648" s="241"/>
      <c r="J648" s="329" t="s">
        <v>253</v>
      </c>
      <c r="K648" s="233" t="s">
        <v>154</v>
      </c>
      <c r="L648" s="295">
        <v>46134.504166666666</v>
      </c>
      <c r="M648" s="298" t="s">
        <v>72</v>
      </c>
      <c r="N648" s="298" t="s">
        <v>72</v>
      </c>
      <c r="O648" s="295">
        <v>46134.53125</v>
      </c>
      <c r="P648" s="295">
        <v>46134.548611111109</v>
      </c>
      <c r="Q648" s="295">
        <v>46134.609722222223</v>
      </c>
      <c r="R648" s="241"/>
      <c r="S648" s="299" t="s">
        <v>2723</v>
      </c>
      <c r="T648" s="241" t="s">
        <v>478</v>
      </c>
      <c r="U648" s="241"/>
      <c r="V648" s="299" t="s">
        <v>2724</v>
      </c>
      <c r="W648" s="241" t="s">
        <v>2725</v>
      </c>
      <c r="X648" s="241"/>
      <c r="Y648" s="241" t="s">
        <v>158</v>
      </c>
      <c r="Z648" s="241" t="s">
        <v>70</v>
      </c>
      <c r="AA648" s="241"/>
    </row>
    <row r="649" spans="1:27" ht="15.75" hidden="1" customHeight="1">
      <c r="A649" s="17">
        <f>ROW() - ROW(Table1[[#Headers],[s]])</f>
        <v>648</v>
      </c>
      <c r="B649" s="223" t="s">
        <v>2726</v>
      </c>
      <c r="C649" s="300">
        <v>46113</v>
      </c>
      <c r="D649" s="248" t="s">
        <v>2727</v>
      </c>
      <c r="E649" s="241" t="e" vm="222">
        <v>#VALUE!</v>
      </c>
      <c r="F649" t="e" vm="10">
        <v>#VALUE!</v>
      </c>
      <c r="G649" s="43" t="s">
        <v>174</v>
      </c>
      <c r="H649" s="233" t="s">
        <v>152</v>
      </c>
      <c r="I649" s="241"/>
      <c r="J649" s="329" t="s">
        <v>153</v>
      </c>
      <c r="K649" s="233" t="s">
        <v>154</v>
      </c>
      <c r="L649" s="295">
        <v>46134.512499999997</v>
      </c>
      <c r="M649" s="329" t="s">
        <v>78</v>
      </c>
      <c r="N649" s="55" t="s">
        <v>78</v>
      </c>
      <c r="O649" s="295">
        <v>46134.512499999997</v>
      </c>
      <c r="P649" s="295">
        <v>46134.512499999997</v>
      </c>
      <c r="Q649" s="295">
        <v>46134.512499999997</v>
      </c>
      <c r="R649" s="241"/>
      <c r="S649" s="299" t="s">
        <v>2728</v>
      </c>
      <c r="T649" s="298" t="s">
        <v>653</v>
      </c>
      <c r="U649" s="241"/>
      <c r="V649" s="299" t="s">
        <v>2729</v>
      </c>
      <c r="W649" s="241"/>
      <c r="X649" s="241"/>
      <c r="Y649" s="241" t="s">
        <v>158</v>
      </c>
      <c r="Z649" s="241" t="s">
        <v>158</v>
      </c>
      <c r="AA649" s="241"/>
    </row>
    <row r="650" spans="1:27" ht="15" hidden="1" customHeight="1">
      <c r="A650" s="17">
        <f>ROW() - ROW(Table1[[#Headers],[s]])</f>
        <v>649</v>
      </c>
      <c r="B650" s="241" t="s">
        <v>2730</v>
      </c>
      <c r="C650" s="301" t="s">
        <v>60</v>
      </c>
      <c r="D650" s="248" t="s">
        <v>2731</v>
      </c>
      <c r="E650" s="241" t="e" vm="110">
        <v>#VALUE!</v>
      </c>
      <c r="F650" t="e" vm="49">
        <v>#VALUE!</v>
      </c>
      <c r="G650" s="43" t="s">
        <v>174</v>
      </c>
      <c r="H650" t="s">
        <v>747</v>
      </c>
      <c r="I650" s="241"/>
      <c r="J650" s="329" t="s">
        <v>253</v>
      </c>
      <c r="K650" s="241" t="s">
        <v>2687</v>
      </c>
      <c r="L650" s="295">
        <v>46134.612500000003</v>
      </c>
      <c r="M650" s="298"/>
      <c r="N650" s="298"/>
      <c r="O650" s="239"/>
      <c r="P650" s="296"/>
      <c r="Q650" s="297"/>
      <c r="R650" s="241"/>
      <c r="S650" s="299" t="s">
        <v>2732</v>
      </c>
      <c r="T650" t="s">
        <v>179</v>
      </c>
      <c r="U650" s="241"/>
      <c r="V650" s="299"/>
      <c r="W650" s="241"/>
      <c r="X650" s="241"/>
      <c r="Y650" t="s">
        <v>179</v>
      </c>
      <c r="Z650" t="s">
        <v>179</v>
      </c>
      <c r="AA650" s="241"/>
    </row>
    <row r="651" spans="1:27" ht="15.75" hidden="1" customHeight="1">
      <c r="A651" s="17">
        <f>ROW() - ROW(Table1[[#Headers],[s]])</f>
        <v>650</v>
      </c>
      <c r="B651" s="223" t="s">
        <v>2726</v>
      </c>
      <c r="C651" s="293">
        <v>46113</v>
      </c>
      <c r="D651" s="294" t="s">
        <v>2733</v>
      </c>
      <c r="E651" s="241" t="e" vm="18">
        <v>#VALUE!</v>
      </c>
      <c r="F651" t="e" vm="19">
        <v>#VALUE!</v>
      </c>
      <c r="G651" s="43" t="s">
        <v>174</v>
      </c>
      <c r="H651" s="233" t="s">
        <v>152</v>
      </c>
      <c r="I651" s="241"/>
      <c r="J651" s="329" t="s">
        <v>153</v>
      </c>
      <c r="K651" s="233" t="s">
        <v>154</v>
      </c>
      <c r="L651" s="295">
        <v>46134.549305555556</v>
      </c>
      <c r="M651" s="330" t="s">
        <v>2734</v>
      </c>
      <c r="N651" s="330" t="s">
        <v>2734</v>
      </c>
      <c r="O651" s="239">
        <v>46135.333333333336</v>
      </c>
      <c r="P651" s="239">
        <v>46135.354166666664</v>
      </c>
      <c r="Q651" s="239">
        <v>46135.375</v>
      </c>
      <c r="R651" s="241"/>
      <c r="S651" s="299" t="s">
        <v>2735</v>
      </c>
      <c r="T651" t="s">
        <v>179</v>
      </c>
      <c r="U651" s="241"/>
      <c r="V651" s="302" t="s">
        <v>2736</v>
      </c>
      <c r="W651" s="241"/>
      <c r="X651" s="241"/>
      <c r="Y651" t="s">
        <v>70</v>
      </c>
      <c r="Z651" t="s">
        <v>179</v>
      </c>
      <c r="AA651" s="241"/>
    </row>
    <row r="652" spans="1:27" ht="15" hidden="1" customHeight="1">
      <c r="A652" s="17">
        <f>ROW() - ROW(Table1[[#Headers],[s]])</f>
        <v>651</v>
      </c>
      <c r="B652" s="241" t="s">
        <v>2737</v>
      </c>
      <c r="C652" s="300" t="s">
        <v>60</v>
      </c>
      <c r="D652" s="248" t="s">
        <v>2738</v>
      </c>
      <c r="E652" s="241" t="s">
        <v>898</v>
      </c>
      <c r="F652" t="e" vm="16">
        <v>#VALUE!</v>
      </c>
      <c r="G652" s="43" t="s">
        <v>174</v>
      </c>
      <c r="H652" t="s">
        <v>245</v>
      </c>
      <c r="I652" s="241"/>
      <c r="J652" s="298" t="s">
        <v>280</v>
      </c>
      <c r="K652" s="241" t="s">
        <v>2687</v>
      </c>
      <c r="L652" s="295">
        <v>46134.387499999997</v>
      </c>
      <c r="M652" s="298"/>
      <c r="N652" s="298"/>
      <c r="O652" s="239"/>
      <c r="P652" s="296"/>
      <c r="Q652" s="297"/>
      <c r="R652" s="241"/>
      <c r="S652" s="299" t="s">
        <v>2739</v>
      </c>
      <c r="T652" s="298" t="s">
        <v>2740</v>
      </c>
      <c r="U652" s="241"/>
      <c r="V652" s="299" t="s">
        <v>2741</v>
      </c>
      <c r="W652" s="241"/>
      <c r="X652" s="241"/>
      <c r="Y652" t="s">
        <v>179</v>
      </c>
      <c r="Z652" t="s">
        <v>179</v>
      </c>
      <c r="AA652" s="241"/>
    </row>
    <row r="653" spans="1:27" ht="15" hidden="1" customHeight="1">
      <c r="A653" s="17">
        <f>ROW() - ROW(Table1[[#Headers],[s]])</f>
        <v>652</v>
      </c>
      <c r="B653" s="241" t="s">
        <v>2742</v>
      </c>
      <c r="C653" s="300">
        <v>46113</v>
      </c>
      <c r="D653" s="248" t="s">
        <v>2743</v>
      </c>
      <c r="E653" s="241" t="e" vm="225">
        <v>#VALUE!</v>
      </c>
      <c r="F653" t="e" vm="21">
        <v>#VALUE!</v>
      </c>
      <c r="G653" s="43" t="s">
        <v>174</v>
      </c>
      <c r="H653" t="s">
        <v>245</v>
      </c>
      <c r="I653" s="241"/>
      <c r="J653" s="18" t="s">
        <v>287</v>
      </c>
      <c r="K653" s="233" t="s">
        <v>154</v>
      </c>
      <c r="L653" s="295">
        <v>46134.538888888892</v>
      </c>
      <c r="M653" s="298" t="s">
        <v>39</v>
      </c>
      <c r="N653" s="298" t="s">
        <v>39</v>
      </c>
      <c r="O653" s="295">
        <v>46134.590277777781</v>
      </c>
      <c r="P653" s="295">
        <v>46134.604166666664</v>
      </c>
      <c r="Q653" s="295">
        <v>46134.635416666664</v>
      </c>
      <c r="R653" s="241" t="s">
        <v>2744</v>
      </c>
      <c r="S653" s="299" t="s">
        <v>2745</v>
      </c>
      <c r="T653" s="241" t="s">
        <v>266</v>
      </c>
      <c r="U653" s="241"/>
      <c r="V653" s="299" t="s">
        <v>2746</v>
      </c>
      <c r="W653" s="241" t="s">
        <v>516</v>
      </c>
      <c r="X653" s="241"/>
      <c r="Y653" s="241" t="s">
        <v>158</v>
      </c>
      <c r="Z653" s="241" t="s">
        <v>158</v>
      </c>
      <c r="AA653" s="241"/>
    </row>
    <row r="654" spans="1:27" ht="15.75" hidden="1" customHeight="1">
      <c r="A654" s="60">
        <f>ROW() - ROW(Table1[[#Headers],[s]])</f>
        <v>653</v>
      </c>
      <c r="B654" s="223" t="s">
        <v>2747</v>
      </c>
      <c r="C654" s="163">
        <v>46113</v>
      </c>
      <c r="D654" s="52" t="s">
        <v>2748</v>
      </c>
      <c r="E654" t="e" vm="58">
        <v>#VALUE!</v>
      </c>
      <c r="F654" t="e" vm="25">
        <v>#VALUE!</v>
      </c>
      <c r="G654" s="43" t="s">
        <v>174</v>
      </c>
      <c r="H654" s="233" t="s">
        <v>152</v>
      </c>
      <c r="J654" s="329" t="s">
        <v>153</v>
      </c>
      <c r="K654" s="233" t="s">
        <v>154</v>
      </c>
      <c r="L654" s="295">
        <v>46134.645833333336</v>
      </c>
      <c r="M654" s="298" t="s">
        <v>72</v>
      </c>
      <c r="N654" s="298" t="s">
        <v>72</v>
      </c>
      <c r="O654" s="295">
        <v>46134.6875</v>
      </c>
      <c r="P654" s="295">
        <v>46134.729166666664</v>
      </c>
      <c r="Q654" s="295">
        <v>46134.770833333336</v>
      </c>
      <c r="S654" s="21" t="s">
        <v>2749</v>
      </c>
      <c r="T654" s="241" t="s">
        <v>478</v>
      </c>
      <c r="V654" s="53" t="s">
        <v>2750</v>
      </c>
      <c r="W654" t="s">
        <v>2751</v>
      </c>
      <c r="Y654" t="s">
        <v>158</v>
      </c>
      <c r="Z654" t="s">
        <v>70</v>
      </c>
    </row>
    <row r="655" spans="1:27" ht="15" hidden="1" customHeight="1">
      <c r="A655" s="60">
        <f>ROW() - ROW(Table1[[#Headers],[s]])</f>
        <v>654</v>
      </c>
      <c r="B655" t="s">
        <v>2752</v>
      </c>
      <c r="C655" s="163">
        <v>46113</v>
      </c>
      <c r="D655" s="52" t="s">
        <v>2753</v>
      </c>
      <c r="E655" t="e" vm="124">
        <v>#VALUE!</v>
      </c>
      <c r="F655" t="e" vm="1">
        <v>#VALUE!</v>
      </c>
      <c r="G655" s="43" t="s">
        <v>174</v>
      </c>
      <c r="H655" t="s">
        <v>245</v>
      </c>
      <c r="J655" s="18" t="s">
        <v>287</v>
      </c>
      <c r="K655" s="233" t="s">
        <v>154</v>
      </c>
      <c r="L655" s="295">
        <v>46134.709722222222</v>
      </c>
      <c r="M655" s="55" t="s">
        <v>431</v>
      </c>
      <c r="N655" s="55" t="s">
        <v>2754</v>
      </c>
      <c r="O655" s="56">
        <v>46135.333333333336</v>
      </c>
      <c r="P655" s="56">
        <v>46135.364583333336</v>
      </c>
      <c r="Q655" s="56">
        <v>46135.603472222225</v>
      </c>
      <c r="S655" s="21" t="s">
        <v>2755</v>
      </c>
      <c r="T655" s="55" t="s">
        <v>2756</v>
      </c>
      <c r="V655" s="53" t="s">
        <v>2757</v>
      </c>
      <c r="Y655" t="s">
        <v>70</v>
      </c>
      <c r="Z655" t="s">
        <v>158</v>
      </c>
      <c r="AA655" s="253" t="s">
        <v>2758</v>
      </c>
    </row>
    <row r="656" spans="1:27" ht="15.75" hidden="1" customHeight="1">
      <c r="A656" s="60">
        <f>ROW() - ROW(Table1[[#Headers],[s]])</f>
        <v>655</v>
      </c>
      <c r="B656" s="223" t="s">
        <v>2759</v>
      </c>
      <c r="C656" s="163">
        <v>46113</v>
      </c>
      <c r="D656" s="52" t="s">
        <v>2760</v>
      </c>
      <c r="E656" t="e" vm="9">
        <v>#VALUE!</v>
      </c>
      <c r="F656" t="e" vm="10">
        <v>#VALUE!</v>
      </c>
      <c r="G656" s="43" t="s">
        <v>174</v>
      </c>
      <c r="H656" s="233" t="s">
        <v>152</v>
      </c>
      <c r="J656" s="329" t="s">
        <v>153</v>
      </c>
      <c r="K656" s="233" t="s">
        <v>154</v>
      </c>
      <c r="L656" s="295">
        <v>46135.729861111111</v>
      </c>
      <c r="M656" s="329" t="s">
        <v>78</v>
      </c>
      <c r="N656" s="55" t="s">
        <v>78</v>
      </c>
      <c r="O656" s="295">
        <v>46134.770833333336</v>
      </c>
      <c r="P656" s="295">
        <v>46134.798611111109</v>
      </c>
      <c r="Q656" s="295">
        <v>46134.854166666664</v>
      </c>
      <c r="S656" s="21" t="s">
        <v>2761</v>
      </c>
      <c r="T656" s="241" t="s">
        <v>478</v>
      </c>
      <c r="V656" s="53" t="s">
        <v>930</v>
      </c>
      <c r="Y656" t="s">
        <v>158</v>
      </c>
      <c r="Z656" t="s">
        <v>70</v>
      </c>
    </row>
    <row r="657" spans="1:26" ht="15.75" hidden="1" customHeight="1">
      <c r="A657" s="60">
        <f>ROW() - ROW(Table1[[#Headers],[s]])</f>
        <v>656</v>
      </c>
      <c r="B657" s="223" t="s">
        <v>2762</v>
      </c>
      <c r="C657" s="272">
        <v>46113</v>
      </c>
      <c r="D657" s="19" t="s">
        <v>2763</v>
      </c>
      <c r="E657" t="e" vm="58">
        <v>#VALUE!</v>
      </c>
      <c r="F657" t="e" vm="25">
        <v>#VALUE!</v>
      </c>
      <c r="G657" s="43" t="s">
        <v>174</v>
      </c>
      <c r="H657" s="233" t="s">
        <v>152</v>
      </c>
      <c r="J657" s="329" t="s">
        <v>153</v>
      </c>
      <c r="K657" s="233" t="s">
        <v>154</v>
      </c>
      <c r="L657" s="295">
        <v>46135.602083333331</v>
      </c>
      <c r="M657" s="298" t="s">
        <v>72</v>
      </c>
      <c r="N657" s="298" t="s">
        <v>72</v>
      </c>
      <c r="O657" s="295">
        <v>46134.645833333336</v>
      </c>
      <c r="P657" s="295">
        <v>46134.659722222219</v>
      </c>
      <c r="Q657" s="295">
        <v>46134.6875</v>
      </c>
      <c r="S657" s="21" t="s">
        <v>2764</v>
      </c>
      <c r="T657" s="18" t="s">
        <v>2765</v>
      </c>
      <c r="V657" s="21" t="s">
        <v>930</v>
      </c>
      <c r="Y657" t="s">
        <v>158</v>
      </c>
      <c r="Z657" t="s">
        <v>70</v>
      </c>
    </row>
    <row r="658" spans="1:26" ht="15.75" hidden="1" customHeight="1">
      <c r="A658" s="17">
        <f>ROW() - ROW(Table1[[#Headers],[s]])</f>
        <v>657</v>
      </c>
      <c r="B658" s="223" t="s">
        <v>2766</v>
      </c>
      <c r="C658" s="272">
        <v>46113</v>
      </c>
      <c r="D658" s="19" t="s">
        <v>2767</v>
      </c>
      <c r="E658" t="e" vm="226">
        <v>#VALUE!</v>
      </c>
      <c r="F658" t="e" vm="16">
        <v>#VALUE!</v>
      </c>
      <c r="G658" s="5" t="s">
        <v>1057</v>
      </c>
      <c r="H658" s="233" t="s">
        <v>152</v>
      </c>
      <c r="I658" s="233" t="s">
        <v>43</v>
      </c>
      <c r="J658" s="329" t="s">
        <v>153</v>
      </c>
      <c r="K658" t="s">
        <v>154</v>
      </c>
      <c r="L658" s="303">
        <v>46135.624305555553</v>
      </c>
      <c r="M658" s="18" t="s">
        <v>58</v>
      </c>
      <c r="N658" s="18" t="s">
        <v>58</v>
      </c>
      <c r="O658" s="3">
        <v>46135.375</v>
      </c>
      <c r="P658" s="22">
        <v>46136.625</v>
      </c>
      <c r="Q658" s="22">
        <v>46136.645833333336</v>
      </c>
      <c r="S658" s="21" t="s">
        <v>2768</v>
      </c>
      <c r="T658" s="18" t="s">
        <v>478</v>
      </c>
      <c r="V658" s="21" t="s">
        <v>2769</v>
      </c>
      <c r="Y658" t="s">
        <v>158</v>
      </c>
      <c r="Z658" t="s">
        <v>70</v>
      </c>
    </row>
    <row r="659" spans="1:26" ht="15" hidden="1" customHeight="1">
      <c r="A659" s="17">
        <f>ROW() - ROW(Table1[[#Headers],[s]])</f>
        <v>658</v>
      </c>
      <c r="B659" t="s">
        <v>2770</v>
      </c>
      <c r="C659" s="272">
        <v>46113</v>
      </c>
      <c r="D659" s="19" t="s">
        <v>2771</v>
      </c>
      <c r="E659" t="e" vm="227">
        <v>#VALUE!</v>
      </c>
      <c r="F659" t="e" vm="42">
        <v>#VALUE!</v>
      </c>
      <c r="G659" s="5" t="s">
        <v>1057</v>
      </c>
      <c r="H659" t="s">
        <v>245</v>
      </c>
      <c r="I659" s="233" t="s">
        <v>43</v>
      </c>
      <c r="J659" s="18" t="s">
        <v>253</v>
      </c>
      <c r="K659" s="233" t="s">
        <v>154</v>
      </c>
      <c r="L659" s="303">
        <v>46136.369444444441</v>
      </c>
      <c r="M659" s="329" t="s">
        <v>227</v>
      </c>
      <c r="N659" s="329" t="s">
        <v>227</v>
      </c>
      <c r="O659" s="239">
        <v>46136.583333333336</v>
      </c>
      <c r="P659" s="239">
        <v>46136.611111111109</v>
      </c>
      <c r="Q659" s="239">
        <v>46136.768055555556</v>
      </c>
      <c r="R659" s="233"/>
      <c r="S659" s="385" t="s">
        <v>2772</v>
      </c>
      <c r="T659" s="233" t="s">
        <v>478</v>
      </c>
      <c r="U659" s="233"/>
      <c r="V659" s="385" t="s">
        <v>2773</v>
      </c>
      <c r="W659" s="233" t="s">
        <v>2774</v>
      </c>
      <c r="X659" s="233"/>
      <c r="Y659" s="233" t="s">
        <v>158</v>
      </c>
      <c r="Z659" s="233" t="s">
        <v>158</v>
      </c>
    </row>
    <row r="660" spans="1:26" ht="15" hidden="1" customHeight="1">
      <c r="A660" s="17">
        <f>ROW() - ROW(Table1[[#Headers],[s]])</f>
        <v>659</v>
      </c>
      <c r="B660" t="s">
        <v>2775</v>
      </c>
      <c r="C660" s="272">
        <v>46113</v>
      </c>
      <c r="D660" s="19" t="s">
        <v>2776</v>
      </c>
      <c r="E660" t="e" vm="52">
        <v>#VALUE!</v>
      </c>
      <c r="F660" t="e" vm="25">
        <v>#VALUE!</v>
      </c>
      <c r="G660" s="5" t="s">
        <v>1057</v>
      </c>
      <c r="H660" t="s">
        <v>152</v>
      </c>
      <c r="I660" t="s">
        <v>43</v>
      </c>
      <c r="J660" s="18" t="s">
        <v>153</v>
      </c>
      <c r="K660" t="s">
        <v>154</v>
      </c>
      <c r="L660" s="303">
        <v>46136.393055555556</v>
      </c>
      <c r="M660" s="18" t="s">
        <v>72</v>
      </c>
      <c r="N660" s="18" t="s">
        <v>72</v>
      </c>
      <c r="O660" s="3">
        <v>46136.541666666664</v>
      </c>
      <c r="P660" s="2">
        <v>46136.552083333336</v>
      </c>
      <c r="Q660" s="22">
        <v>46136.572916666664</v>
      </c>
      <c r="S660" s="240" t="s">
        <v>2777</v>
      </c>
      <c r="T660" s="18" t="s">
        <v>478</v>
      </c>
      <c r="V660" s="240" t="s">
        <v>2778</v>
      </c>
      <c r="W660" t="s">
        <v>2779</v>
      </c>
      <c r="Y660" t="s">
        <v>158</v>
      </c>
      <c r="Z660" t="s">
        <v>70</v>
      </c>
    </row>
    <row r="661" spans="1:26" ht="15" hidden="1" customHeight="1">
      <c r="A661" s="17">
        <f>ROW() - ROW(Table1[[#Headers],[s]])</f>
        <v>660</v>
      </c>
      <c r="B661" t="s">
        <v>2780</v>
      </c>
      <c r="C661" s="161" t="s">
        <v>60</v>
      </c>
      <c r="D661" s="19" t="s">
        <v>2781</v>
      </c>
      <c r="E661" t="e" vm="52">
        <v>#VALUE!</v>
      </c>
      <c r="F661" t="e" vm="25">
        <v>#VALUE!</v>
      </c>
      <c r="G661" s="5" t="s">
        <v>1057</v>
      </c>
      <c r="H661" t="s">
        <v>152</v>
      </c>
      <c r="I661" t="s">
        <v>60</v>
      </c>
      <c r="J661" s="18" t="s">
        <v>153</v>
      </c>
      <c r="K661" s="42" t="s">
        <v>154</v>
      </c>
      <c r="L661" s="303">
        <v>46136.394444444442</v>
      </c>
      <c r="M661" s="18" t="s">
        <v>72</v>
      </c>
      <c r="N661" s="18" t="s">
        <v>72</v>
      </c>
      <c r="O661" s="3">
        <v>46136.541666666664</v>
      </c>
      <c r="P661" s="2">
        <v>46136.552083333336</v>
      </c>
      <c r="Q661" s="22">
        <v>46136.572916666664</v>
      </c>
      <c r="S661" s="21" t="s">
        <v>2782</v>
      </c>
      <c r="T661" s="18" t="s">
        <v>478</v>
      </c>
      <c r="V661" s="21" t="s">
        <v>2778</v>
      </c>
      <c r="W661" t="s">
        <v>2779</v>
      </c>
      <c r="Y661" t="s">
        <v>158</v>
      </c>
      <c r="Z661" t="s">
        <v>70</v>
      </c>
    </row>
    <row r="662" spans="1:26" ht="15" hidden="1" customHeight="1">
      <c r="A662" s="17">
        <f>ROW() - ROW(Table1[[#Headers],[s]])</f>
        <v>661</v>
      </c>
      <c r="B662" s="233" t="s">
        <v>2051</v>
      </c>
      <c r="C662" s="278">
        <v>46113</v>
      </c>
      <c r="D662" s="233" t="s">
        <v>2783</v>
      </c>
      <c r="E662" s="233" t="e" vm="183">
        <v>#VALUE!</v>
      </c>
      <c r="F662" t="e" vm="19">
        <v>#VALUE!</v>
      </c>
      <c r="G662" s="5" t="s">
        <v>1057</v>
      </c>
      <c r="H662" t="s">
        <v>152</v>
      </c>
      <c r="I662" t="s">
        <v>43</v>
      </c>
      <c r="J662" s="18" t="s">
        <v>153</v>
      </c>
      <c r="K662" t="s">
        <v>154</v>
      </c>
      <c r="L662" s="303">
        <v>46136.445833333331</v>
      </c>
      <c r="M662" s="18" t="s">
        <v>2784</v>
      </c>
      <c r="N662" s="18" t="s">
        <v>2784</v>
      </c>
      <c r="O662" s="3">
        <v>46136.625</v>
      </c>
      <c r="P662" s="2">
        <v>46136.638888888891</v>
      </c>
      <c r="Q662" s="22">
        <v>46136.652777777781</v>
      </c>
      <c r="S662" s="21" t="s">
        <v>2785</v>
      </c>
      <c r="T662" s="18" t="s">
        <v>478</v>
      </c>
      <c r="V662" s="21" t="s">
        <v>2786</v>
      </c>
      <c r="Y662" t="s">
        <v>158</v>
      </c>
      <c r="Z662" t="s">
        <v>70</v>
      </c>
    </row>
    <row r="663" spans="1:26" ht="15" hidden="1" customHeight="1">
      <c r="A663" s="17">
        <f>ROW() - ROW(Table1[[#Headers],[s]])</f>
        <v>662</v>
      </c>
      <c r="B663" s="233" t="s">
        <v>2787</v>
      </c>
      <c r="C663" s="278">
        <v>46113</v>
      </c>
      <c r="D663" s="233" t="s">
        <v>2788</v>
      </c>
      <c r="E663" s="233" t="s">
        <v>2789</v>
      </c>
      <c r="F663" t="e" vm="40">
        <v>#VALUE!</v>
      </c>
      <c r="G663" s="5" t="s">
        <v>1057</v>
      </c>
      <c r="H663" t="s">
        <v>152</v>
      </c>
      <c r="I663" t="s">
        <v>43</v>
      </c>
      <c r="J663" s="18" t="s">
        <v>153</v>
      </c>
      <c r="K663" t="s">
        <v>154</v>
      </c>
      <c r="L663" s="303">
        <v>46136.645833333336</v>
      </c>
      <c r="M663" s="18" t="s">
        <v>2790</v>
      </c>
      <c r="N663" s="18" t="s">
        <v>2790</v>
      </c>
      <c r="O663" s="3">
        <v>46136.729166666664</v>
      </c>
      <c r="P663" s="2">
        <v>46136.736111111109</v>
      </c>
      <c r="Q663" s="22">
        <v>46136.854166666664</v>
      </c>
      <c r="S663" s="21" t="s">
        <v>2791</v>
      </c>
      <c r="T663" s="18" t="s">
        <v>1118</v>
      </c>
      <c r="V663" s="21" t="s">
        <v>2792</v>
      </c>
      <c r="W663" t="s">
        <v>2793</v>
      </c>
      <c r="Y663" t="s">
        <v>158</v>
      </c>
      <c r="Z663" t="s">
        <v>70</v>
      </c>
    </row>
    <row r="664" spans="1:26" ht="15" hidden="1" customHeight="1">
      <c r="A664" s="17">
        <f>ROW() - ROW(Table1[[#Headers],[s]])</f>
        <v>663</v>
      </c>
      <c r="B664" s="233" t="s">
        <v>2794</v>
      </c>
      <c r="C664" s="161" t="s">
        <v>60</v>
      </c>
      <c r="D664" s="233" t="s">
        <v>2795</v>
      </c>
      <c r="E664" s="233" t="s">
        <v>2789</v>
      </c>
      <c r="F664" t="e" vm="40">
        <v>#VALUE!</v>
      </c>
      <c r="G664" s="5" t="s">
        <v>1057</v>
      </c>
      <c r="H664" t="s">
        <v>152</v>
      </c>
      <c r="I664" t="s">
        <v>60</v>
      </c>
      <c r="J664" s="18" t="s">
        <v>153</v>
      </c>
      <c r="K664" s="42" t="s">
        <v>154</v>
      </c>
      <c r="L664" s="20">
        <v>46136.646527777775</v>
      </c>
      <c r="M664" s="18" t="s">
        <v>2796</v>
      </c>
      <c r="N664" s="18"/>
      <c r="O664" s="3"/>
      <c r="S664" s="21" t="s">
        <v>2797</v>
      </c>
      <c r="T664" t="s">
        <v>179</v>
      </c>
      <c r="Y664" t="s">
        <v>179</v>
      </c>
      <c r="Z664" t="s">
        <v>179</v>
      </c>
    </row>
    <row r="665" spans="1:26" ht="15" hidden="1" customHeight="1">
      <c r="A665" s="17">
        <f>ROW() - ROW(Table1[[#Headers],[s]])</f>
        <v>664</v>
      </c>
      <c r="B665" t="s">
        <v>2798</v>
      </c>
      <c r="C665" s="272">
        <v>46113</v>
      </c>
      <c r="D665" s="19" t="s">
        <v>2799</v>
      </c>
      <c r="E665" t="e" vm="112">
        <v>#VALUE!</v>
      </c>
      <c r="F665" t="e" vm="39">
        <v>#VALUE!</v>
      </c>
      <c r="G665" s="5" t="s">
        <v>151</v>
      </c>
      <c r="H665" t="s">
        <v>152</v>
      </c>
      <c r="J665" s="18" t="s">
        <v>153</v>
      </c>
      <c r="K665" t="s">
        <v>154</v>
      </c>
      <c r="L665" s="20">
        <v>46136.646527777775</v>
      </c>
      <c r="M665" s="18" t="s">
        <v>1023</v>
      </c>
      <c r="N665" s="18" t="s">
        <v>1023</v>
      </c>
      <c r="O665" s="3">
        <v>46136.833333333336</v>
      </c>
      <c r="P665" s="2">
        <v>46136.852083333331</v>
      </c>
      <c r="Q665" s="22">
        <v>46136.856944444444</v>
      </c>
      <c r="S665" s="21" t="s">
        <v>2800</v>
      </c>
      <c r="T665" s="18" t="s">
        <v>164</v>
      </c>
      <c r="V665" s="21" t="s">
        <v>2800</v>
      </c>
      <c r="Y665" t="s">
        <v>158</v>
      </c>
      <c r="Z665" t="s">
        <v>158</v>
      </c>
    </row>
    <row r="666" spans="1:26" ht="15" hidden="1" customHeight="1">
      <c r="A666" s="17">
        <f>ROW() - ROW(Table1[[#Headers],[s]])</f>
        <v>665</v>
      </c>
      <c r="B666" t="s">
        <v>2801</v>
      </c>
      <c r="C666" s="272">
        <v>46113</v>
      </c>
      <c r="D666" s="242" t="s">
        <v>2802</v>
      </c>
      <c r="E666" t="e" vm="159">
        <v>#VALUE!</v>
      </c>
      <c r="F666" t="e" vm="49">
        <v>#VALUE!</v>
      </c>
      <c r="G666" s="5" t="s">
        <v>200</v>
      </c>
      <c r="H666" t="s">
        <v>152</v>
      </c>
      <c r="I666" t="s">
        <v>43</v>
      </c>
      <c r="J666" s="18" t="s">
        <v>153</v>
      </c>
      <c r="K666" s="24" t="s">
        <v>371</v>
      </c>
      <c r="L666" s="20">
        <v>46136.647222222222</v>
      </c>
      <c r="M666" s="329" t="s">
        <v>227</v>
      </c>
      <c r="N666" s="18" t="s">
        <v>227</v>
      </c>
      <c r="O666" s="3">
        <v>46136.791666666664</v>
      </c>
      <c r="P666" s="2">
        <v>46136.833333333336</v>
      </c>
      <c r="Q666" s="22">
        <v>46139.5</v>
      </c>
      <c r="S666" s="21" t="s">
        <v>2803</v>
      </c>
      <c r="V666" s="21" t="s">
        <v>2804</v>
      </c>
      <c r="Y666" t="s">
        <v>158</v>
      </c>
      <c r="Z666" t="s">
        <v>70</v>
      </c>
    </row>
    <row r="667" spans="1:26" ht="15" hidden="1" customHeight="1">
      <c r="A667" s="17">
        <f>ROW() - ROW(Table1[[#Headers],[s]])</f>
        <v>666</v>
      </c>
      <c r="B667" t="s">
        <v>2805</v>
      </c>
      <c r="C667" s="272">
        <v>46113</v>
      </c>
      <c r="D667" s="19" t="s">
        <v>2806</v>
      </c>
      <c r="E667" t="e" vm="9">
        <v>#VALUE!</v>
      </c>
      <c r="F667" t="e" vm="10">
        <v>#VALUE!</v>
      </c>
      <c r="G667" s="5" t="s">
        <v>1057</v>
      </c>
      <c r="H667" s="233" t="s">
        <v>152</v>
      </c>
      <c r="I667" s="233" t="s">
        <v>43</v>
      </c>
      <c r="J667" s="329" t="s">
        <v>153</v>
      </c>
      <c r="K667" s="233" t="s">
        <v>154</v>
      </c>
      <c r="L667" s="239">
        <v>46136.65347222222</v>
      </c>
      <c r="M667" s="329" t="s">
        <v>78</v>
      </c>
      <c r="N667" s="55" t="s">
        <v>78</v>
      </c>
      <c r="O667" s="239">
        <v>46136.739583333336</v>
      </c>
      <c r="P667" s="239">
        <v>46136.746527777781</v>
      </c>
      <c r="Q667" s="239">
        <v>46136.75</v>
      </c>
      <c r="R667" s="233"/>
      <c r="S667" s="385" t="s">
        <v>2807</v>
      </c>
      <c r="T667" s="233" t="s">
        <v>164</v>
      </c>
      <c r="U667" s="233"/>
      <c r="V667" s="385" t="s">
        <v>2808</v>
      </c>
      <c r="W667" s="233" t="s">
        <v>2809</v>
      </c>
      <c r="X667" s="233"/>
      <c r="Y667" s="233" t="s">
        <v>158</v>
      </c>
      <c r="Z667" s="233" t="s">
        <v>70</v>
      </c>
    </row>
    <row r="668" spans="1:26" ht="15" hidden="1" customHeight="1">
      <c r="A668" s="17">
        <f>ROW() - ROW(Table1[[#Headers],[s]])</f>
        <v>667</v>
      </c>
      <c r="B668" t="s">
        <v>2810</v>
      </c>
      <c r="C668" s="272">
        <v>46113</v>
      </c>
      <c r="D668" s="19" t="s">
        <v>2811</v>
      </c>
      <c r="E668" t="e" vm="20">
        <v>#VALUE!</v>
      </c>
      <c r="F668" t="e" vm="21">
        <v>#VALUE!</v>
      </c>
      <c r="G668" s="5" t="s">
        <v>1057</v>
      </c>
      <c r="H668" s="233" t="s">
        <v>152</v>
      </c>
      <c r="I668" s="233" t="s">
        <v>43</v>
      </c>
      <c r="J668" s="329" t="s">
        <v>153</v>
      </c>
      <c r="K668" s="233" t="s">
        <v>154</v>
      </c>
      <c r="L668" s="239">
        <v>46136.729166666664</v>
      </c>
      <c r="M668" s="298" t="s">
        <v>39</v>
      </c>
      <c r="N668" s="298" t="s">
        <v>39</v>
      </c>
      <c r="O668" s="239">
        <v>46136.75</v>
      </c>
      <c r="P668" s="239">
        <v>46136.760416666664</v>
      </c>
      <c r="Q668" s="239">
        <v>46136.884027777778</v>
      </c>
      <c r="R668" s="233"/>
      <c r="S668" s="385" t="s">
        <v>2812</v>
      </c>
      <c r="T668" s="233" t="s">
        <v>164</v>
      </c>
      <c r="U668" s="233"/>
      <c r="V668" s="385" t="s">
        <v>2813</v>
      </c>
      <c r="W668" s="233" t="s">
        <v>2814</v>
      </c>
      <c r="X668" s="233"/>
      <c r="Y668" s="233" t="s">
        <v>158</v>
      </c>
      <c r="Z668" s="233" t="s">
        <v>70</v>
      </c>
    </row>
    <row r="669" spans="1:26" ht="15" hidden="1" customHeight="1">
      <c r="A669" s="17">
        <f>ROW() - ROW(Table1[[#Headers],[s]])</f>
        <v>668</v>
      </c>
      <c r="B669" t="s">
        <v>2815</v>
      </c>
      <c r="C669" s="272">
        <v>46113</v>
      </c>
      <c r="D669" s="243" t="s">
        <v>2816</v>
      </c>
      <c r="E669" t="e" vm="131">
        <v>#VALUE!</v>
      </c>
      <c r="F669" t="e" vm="25">
        <v>#VALUE!</v>
      </c>
      <c r="G669" s="5" t="s">
        <v>200</v>
      </c>
      <c r="H669" s="233" t="s">
        <v>152</v>
      </c>
      <c r="I669" t="s">
        <v>43</v>
      </c>
      <c r="J669" s="329" t="s">
        <v>153</v>
      </c>
      <c r="K669" s="24" t="s">
        <v>371</v>
      </c>
      <c r="L669" s="20">
        <v>46137.472916666666</v>
      </c>
      <c r="M669" s="18" t="s">
        <v>585</v>
      </c>
      <c r="N669" s="18" t="s">
        <v>585</v>
      </c>
      <c r="O669" s="3">
        <v>46139.333333333336</v>
      </c>
      <c r="P669" s="2">
        <v>46139.333333333336</v>
      </c>
      <c r="Q669" s="22">
        <v>46139.5</v>
      </c>
      <c r="S669" s="21" t="s">
        <v>2817</v>
      </c>
      <c r="T669" s="18" t="s">
        <v>50</v>
      </c>
      <c r="V669" s="21" t="s">
        <v>2818</v>
      </c>
      <c r="Y669" t="s">
        <v>203</v>
      </c>
      <c r="Z669" t="s">
        <v>158</v>
      </c>
    </row>
    <row r="670" spans="1:26" ht="15" customHeight="1">
      <c r="A670" s="17">
        <f>ROW() - ROW(Table1[[#Headers],[s]])</f>
        <v>669</v>
      </c>
      <c r="B670" t="s">
        <v>2819</v>
      </c>
      <c r="C670" s="163">
        <v>46113</v>
      </c>
      <c r="D670" s="52" t="s">
        <v>2820</v>
      </c>
      <c r="E670" t="e" vm="228">
        <v>#VALUE!</v>
      </c>
      <c r="F670" t="e" vm="2">
        <v>#VALUE!</v>
      </c>
      <c r="G670" s="5" t="s">
        <v>186</v>
      </c>
      <c r="H670" s="233" t="s">
        <v>152</v>
      </c>
      <c r="I670" s="233" t="s">
        <v>43</v>
      </c>
      <c r="J670" s="329" t="s">
        <v>153</v>
      </c>
      <c r="K670" s="233" t="s">
        <v>154</v>
      </c>
      <c r="L670" s="44">
        <v>46137.510416666664</v>
      </c>
      <c r="M670" s="55" t="s">
        <v>162</v>
      </c>
      <c r="N670" s="55" t="s">
        <v>162</v>
      </c>
      <c r="O670" s="56">
        <v>46137.625</v>
      </c>
      <c r="P670" s="245">
        <v>46137.631944444445</v>
      </c>
      <c r="Q670" s="58">
        <v>46137.80972222222</v>
      </c>
      <c r="S670" s="21" t="s">
        <v>2821</v>
      </c>
      <c r="T670" s="233" t="s">
        <v>164</v>
      </c>
      <c r="V670" s="53" t="s">
        <v>2822</v>
      </c>
      <c r="Y670" t="s">
        <v>158</v>
      </c>
      <c r="Z670" t="s">
        <v>70</v>
      </c>
    </row>
    <row r="671" spans="1:26" ht="15" customHeight="1">
      <c r="A671" s="17">
        <f>ROW() - ROW(Table1[[#Headers],[s]])</f>
        <v>670</v>
      </c>
      <c r="B671" t="s">
        <v>2823</v>
      </c>
      <c r="C671" s="272">
        <v>46113</v>
      </c>
      <c r="D671" s="19" t="s">
        <v>2824</v>
      </c>
      <c r="E671" t="e" vm="206">
        <v>#VALUE!</v>
      </c>
      <c r="F671" t="e" vm="10">
        <v>#VALUE!</v>
      </c>
      <c r="G671" s="5" t="s">
        <v>186</v>
      </c>
      <c r="H671" s="233" t="s">
        <v>152</v>
      </c>
      <c r="I671" s="233" t="s">
        <v>43</v>
      </c>
      <c r="J671" s="329" t="s">
        <v>153</v>
      </c>
      <c r="K671" s="233" t="s">
        <v>154</v>
      </c>
      <c r="L671" s="20">
        <v>46137.748611111114</v>
      </c>
      <c r="M671" s="329" t="s">
        <v>78</v>
      </c>
      <c r="N671" s="55" t="s">
        <v>78</v>
      </c>
      <c r="O671" s="244">
        <v>46137.791666666664</v>
      </c>
      <c r="P671" s="22">
        <v>46137.798611111109</v>
      </c>
      <c r="Q671" s="58">
        <v>46137.939583333333</v>
      </c>
      <c r="S671" s="21" t="s">
        <v>2825</v>
      </c>
      <c r="T671" s="233" t="s">
        <v>164</v>
      </c>
      <c r="V671" s="21" t="s">
        <v>2826</v>
      </c>
      <c r="Y671" t="s">
        <v>158</v>
      </c>
      <c r="Z671" t="s">
        <v>70</v>
      </c>
    </row>
    <row r="672" spans="1:26" ht="15" customHeight="1">
      <c r="A672" s="17">
        <f>ROW() - ROW(Table1[[#Headers],[s]])</f>
        <v>671</v>
      </c>
      <c r="B672" t="s">
        <v>2827</v>
      </c>
      <c r="C672" s="161" t="s">
        <v>60</v>
      </c>
      <c r="D672" s="19" t="s">
        <v>2828</v>
      </c>
      <c r="E672" t="e" vm="228">
        <v>#VALUE!</v>
      </c>
      <c r="F672" t="e" vm="2">
        <v>#VALUE!</v>
      </c>
      <c r="G672" s="5" t="s">
        <v>186</v>
      </c>
      <c r="H672" s="233" t="s">
        <v>152</v>
      </c>
      <c r="I672" t="s">
        <v>60</v>
      </c>
      <c r="J672" s="329" t="s">
        <v>153</v>
      </c>
      <c r="K672" s="42" t="s">
        <v>154</v>
      </c>
      <c r="N672" s="18"/>
      <c r="O672" s="3"/>
      <c r="S672" s="21" t="s">
        <v>2829</v>
      </c>
      <c r="T672" t="s">
        <v>179</v>
      </c>
      <c r="V672" s="21" t="s">
        <v>179</v>
      </c>
      <c r="Y672" t="s">
        <v>179</v>
      </c>
      <c r="Z672" t="s">
        <v>179</v>
      </c>
    </row>
    <row r="673" spans="1:26" ht="15" customHeight="1">
      <c r="A673" s="17">
        <f>ROW() - ROW(Table1[[#Headers],[s]])</f>
        <v>672</v>
      </c>
      <c r="B673" t="s">
        <v>2830</v>
      </c>
      <c r="C673" s="161" t="s">
        <v>60</v>
      </c>
      <c r="D673" s="19" t="s">
        <v>2831</v>
      </c>
      <c r="E673" t="e" vm="206">
        <v>#VALUE!</v>
      </c>
      <c r="F673" t="e" vm="10">
        <v>#VALUE!</v>
      </c>
      <c r="G673" s="5" t="s">
        <v>186</v>
      </c>
      <c r="H673" s="233" t="s">
        <v>152</v>
      </c>
      <c r="I673" t="s">
        <v>60</v>
      </c>
      <c r="J673" s="329" t="s">
        <v>153</v>
      </c>
      <c r="K673" s="42" t="s">
        <v>154</v>
      </c>
      <c r="N673" s="18"/>
      <c r="O673" s="3"/>
      <c r="S673" s="21" t="s">
        <v>2832</v>
      </c>
      <c r="T673" t="s">
        <v>179</v>
      </c>
      <c r="V673" s="21" t="s">
        <v>179</v>
      </c>
      <c r="Y673" t="s">
        <v>179</v>
      </c>
      <c r="Z673" t="s">
        <v>179</v>
      </c>
    </row>
    <row r="674" spans="1:26" ht="15" hidden="1" customHeight="1">
      <c r="A674" s="17">
        <f>ROW() - ROW(Table1[[#Headers],[s]])</f>
        <v>673</v>
      </c>
      <c r="B674" t="s">
        <v>2833</v>
      </c>
      <c r="C674" s="161" t="s">
        <v>60</v>
      </c>
      <c r="D674" s="19" t="s">
        <v>2834</v>
      </c>
      <c r="E674" t="e" vm="131">
        <v>#VALUE!</v>
      </c>
      <c r="F674" t="e" vm="25">
        <v>#VALUE!</v>
      </c>
      <c r="G674" s="5" t="s">
        <v>200</v>
      </c>
      <c r="H674" s="233" t="s">
        <v>152</v>
      </c>
      <c r="I674" t="s">
        <v>60</v>
      </c>
      <c r="J674" s="329" t="s">
        <v>153</v>
      </c>
      <c r="K674" t="s">
        <v>2835</v>
      </c>
      <c r="N674" s="18"/>
      <c r="O674" s="3"/>
      <c r="S674" s="21" t="s">
        <v>2835</v>
      </c>
      <c r="T674" t="s">
        <v>179</v>
      </c>
      <c r="V674" s="21" t="s">
        <v>2835</v>
      </c>
      <c r="Y674" t="s">
        <v>179</v>
      </c>
      <c r="Z674" t="s">
        <v>179</v>
      </c>
    </row>
    <row r="675" spans="1:26" ht="15" hidden="1" customHeight="1">
      <c r="A675" s="17">
        <f>ROW() - ROW(Table1[[#Headers],[s]])</f>
        <v>674</v>
      </c>
      <c r="B675" t="s">
        <v>2836</v>
      </c>
      <c r="C675" s="161" t="s">
        <v>60</v>
      </c>
      <c r="D675" s="19" t="s">
        <v>2837</v>
      </c>
      <c r="E675" t="e" vm="131">
        <v>#VALUE!</v>
      </c>
      <c r="F675" t="e" vm="25">
        <v>#VALUE!</v>
      </c>
      <c r="G675" s="5" t="s">
        <v>200</v>
      </c>
      <c r="H675" s="233" t="s">
        <v>152</v>
      </c>
      <c r="I675" t="s">
        <v>60</v>
      </c>
      <c r="J675" s="329" t="s">
        <v>153</v>
      </c>
      <c r="K675" s="241" t="s">
        <v>2835</v>
      </c>
      <c r="N675" s="18"/>
      <c r="O675" s="3"/>
      <c r="S675" s="299" t="s">
        <v>2835</v>
      </c>
      <c r="T675" t="s">
        <v>179</v>
      </c>
      <c r="V675" s="299" t="s">
        <v>2835</v>
      </c>
      <c r="Y675" t="s">
        <v>179</v>
      </c>
      <c r="Z675" t="s">
        <v>179</v>
      </c>
    </row>
    <row r="676" spans="1:26" ht="15" hidden="1" customHeight="1">
      <c r="A676" s="17">
        <f>ROW() - ROW(Table1[[#Headers],[s]])</f>
        <v>675</v>
      </c>
      <c r="B676" t="s">
        <v>2838</v>
      </c>
      <c r="C676" s="161" t="s">
        <v>60</v>
      </c>
      <c r="D676" s="19" t="s">
        <v>2839</v>
      </c>
      <c r="E676" t="e" vm="96">
        <v>#VALUE!</v>
      </c>
      <c r="F676" t="e" vm="25">
        <v>#VALUE!</v>
      </c>
      <c r="G676" s="5" t="s">
        <v>200</v>
      </c>
      <c r="H676" s="233" t="s">
        <v>152</v>
      </c>
      <c r="I676" t="s">
        <v>60</v>
      </c>
      <c r="J676" s="329" t="s">
        <v>153</v>
      </c>
      <c r="K676" t="s">
        <v>2840</v>
      </c>
      <c r="L676" s="20">
        <v>46140.375</v>
      </c>
      <c r="N676" s="18"/>
      <c r="O676" s="3"/>
      <c r="S676" s="21" t="s">
        <v>2840</v>
      </c>
      <c r="T676" t="s">
        <v>179</v>
      </c>
      <c r="V676" s="21" t="s">
        <v>2840</v>
      </c>
      <c r="Y676" t="s">
        <v>179</v>
      </c>
      <c r="Z676" t="s">
        <v>179</v>
      </c>
    </row>
    <row r="677" spans="1:26" ht="15" hidden="1" customHeight="1">
      <c r="A677" s="17">
        <f>ROW() - ROW(Table1[[#Headers],[s]])</f>
        <v>676</v>
      </c>
      <c r="B677" t="s">
        <v>2841</v>
      </c>
      <c r="C677" s="161" t="s">
        <v>60</v>
      </c>
      <c r="D677" s="19" t="s">
        <v>2842</v>
      </c>
      <c r="E677" t="e" vm="96">
        <v>#VALUE!</v>
      </c>
      <c r="F677" t="e" vm="25">
        <v>#VALUE!</v>
      </c>
      <c r="G677" s="5" t="s">
        <v>200</v>
      </c>
      <c r="H677" s="233" t="s">
        <v>152</v>
      </c>
      <c r="I677" t="s">
        <v>60</v>
      </c>
      <c r="J677" s="329" t="s">
        <v>153</v>
      </c>
      <c r="K677" t="s">
        <v>2840</v>
      </c>
      <c r="L677" s="20">
        <v>46140.375</v>
      </c>
      <c r="N677" s="18"/>
      <c r="O677" s="3"/>
      <c r="S677" s="21" t="s">
        <v>2840</v>
      </c>
      <c r="T677" t="s">
        <v>179</v>
      </c>
      <c r="V677" s="21" t="s">
        <v>2840</v>
      </c>
      <c r="Y677" t="s">
        <v>179</v>
      </c>
      <c r="Z677" t="s">
        <v>179</v>
      </c>
    </row>
    <row r="678" spans="1:26" ht="15" hidden="1" customHeight="1">
      <c r="A678" s="60">
        <f>ROW() - ROW(Table1[[#Headers],[s]])</f>
        <v>677</v>
      </c>
      <c r="B678" t="s">
        <v>2843</v>
      </c>
      <c r="C678" s="161" t="s">
        <v>60</v>
      </c>
      <c r="D678" s="52" t="s">
        <v>2844</v>
      </c>
      <c r="E678" t="e" vm="96">
        <v>#VALUE!</v>
      </c>
      <c r="F678" t="e" vm="25">
        <v>#VALUE!</v>
      </c>
      <c r="G678" s="5" t="s">
        <v>200</v>
      </c>
      <c r="H678" s="233" t="s">
        <v>152</v>
      </c>
      <c r="I678" t="s">
        <v>60</v>
      </c>
      <c r="J678" s="329" t="s">
        <v>153</v>
      </c>
      <c r="K678" t="s">
        <v>2840</v>
      </c>
      <c r="L678" s="20">
        <v>46140.375</v>
      </c>
      <c r="M678" s="55"/>
      <c r="N678" s="55"/>
      <c r="O678" s="56"/>
      <c r="Q678" s="58"/>
      <c r="S678" s="21" t="s">
        <v>2840</v>
      </c>
      <c r="T678" t="s">
        <v>179</v>
      </c>
      <c r="V678" s="21" t="s">
        <v>2840</v>
      </c>
      <c r="Y678" t="s">
        <v>179</v>
      </c>
      <c r="Z678" t="s">
        <v>179</v>
      </c>
    </row>
    <row r="679" spans="1:26" ht="15" hidden="1" customHeight="1">
      <c r="A679" s="17">
        <f>ROW() - ROW(Table1[[#Headers],[s]])</f>
        <v>678</v>
      </c>
      <c r="B679" t="s">
        <v>2845</v>
      </c>
      <c r="C679" s="161" t="s">
        <v>60</v>
      </c>
      <c r="D679" s="19" t="s">
        <v>2846</v>
      </c>
      <c r="E679" t="e" vm="96">
        <v>#VALUE!</v>
      </c>
      <c r="F679" t="e" vm="25">
        <v>#VALUE!</v>
      </c>
      <c r="G679" s="5" t="s">
        <v>200</v>
      </c>
      <c r="H679" s="233" t="s">
        <v>152</v>
      </c>
      <c r="I679" t="s">
        <v>60</v>
      </c>
      <c r="J679" s="329" t="s">
        <v>153</v>
      </c>
      <c r="K679" t="s">
        <v>2840</v>
      </c>
      <c r="L679" s="20">
        <v>46140.375</v>
      </c>
      <c r="N679" s="18"/>
      <c r="O679" s="3"/>
      <c r="S679" s="21" t="s">
        <v>2840</v>
      </c>
      <c r="T679" t="s">
        <v>179</v>
      </c>
      <c r="V679" s="21" t="s">
        <v>2840</v>
      </c>
      <c r="Y679" t="s">
        <v>179</v>
      </c>
      <c r="Z679" t="s">
        <v>179</v>
      </c>
    </row>
    <row r="680" spans="1:26" ht="15" hidden="1" customHeight="1">
      <c r="A680" s="17">
        <f>ROW() - ROW(Table1[[#Headers],[s]])</f>
        <v>679</v>
      </c>
      <c r="B680" t="s">
        <v>2847</v>
      </c>
      <c r="C680" s="272">
        <v>46113</v>
      </c>
      <c r="D680" s="19" t="s">
        <v>2848</v>
      </c>
      <c r="E680" t="e" vm="229">
        <v>#VALUE!</v>
      </c>
      <c r="F680" t="e" vm="2">
        <v>#VALUE!</v>
      </c>
      <c r="G680" s="5" t="s">
        <v>200</v>
      </c>
      <c r="H680" s="233" t="s">
        <v>2849</v>
      </c>
      <c r="I680" t="s">
        <v>43</v>
      </c>
      <c r="J680" s="329" t="s">
        <v>253</v>
      </c>
      <c r="K680" t="s">
        <v>371</v>
      </c>
      <c r="L680" s="20">
        <v>46139.479166666664</v>
      </c>
      <c r="M680" s="18" t="s">
        <v>162</v>
      </c>
      <c r="N680" s="18" t="s">
        <v>162</v>
      </c>
      <c r="O680" s="3">
        <v>46139.541666666664</v>
      </c>
      <c r="P680" s="2">
        <v>46139.5625</v>
      </c>
      <c r="Q680" s="22">
        <v>46139.583333333336</v>
      </c>
      <c r="S680" s="21" t="s">
        <v>2850</v>
      </c>
      <c r="T680" s="18" t="s">
        <v>516</v>
      </c>
      <c r="V680" s="21" t="s">
        <v>2851</v>
      </c>
      <c r="Y680" t="s">
        <v>203</v>
      </c>
      <c r="Z680" t="s">
        <v>70</v>
      </c>
    </row>
    <row r="681" spans="1:26" ht="15" hidden="1" customHeight="1">
      <c r="A681" s="17">
        <f>ROW() - ROW(Table1[[#Headers],[s]])</f>
        <v>680</v>
      </c>
      <c r="B681" t="s">
        <v>2852</v>
      </c>
      <c r="C681" s="301" t="s">
        <v>60</v>
      </c>
      <c r="D681" s="19" t="s">
        <v>2853</v>
      </c>
      <c r="E681" t="e" vm="230">
        <v>#VALUE!</v>
      </c>
      <c r="F681" t="e" vm="2">
        <v>#VALUE!</v>
      </c>
      <c r="G681" s="5" t="s">
        <v>200</v>
      </c>
      <c r="H681" s="233" t="s">
        <v>245</v>
      </c>
      <c r="J681" s="329" t="s">
        <v>253</v>
      </c>
      <c r="K681" t="s">
        <v>2854</v>
      </c>
      <c r="N681" s="18"/>
      <c r="O681" s="3"/>
      <c r="S681" s="21" t="s">
        <v>179</v>
      </c>
      <c r="T681" s="18" t="s">
        <v>179</v>
      </c>
      <c r="V681" s="21" t="s">
        <v>179</v>
      </c>
      <c r="Y681" t="s">
        <v>179</v>
      </c>
      <c r="Z681" t="s">
        <v>179</v>
      </c>
    </row>
    <row r="682" spans="1:26" ht="17.25" hidden="1" customHeight="1">
      <c r="A682" s="60">
        <f>ROW() - ROW(Table1[[#Headers],[s]])</f>
        <v>681</v>
      </c>
      <c r="B682" s="247" t="s">
        <v>2855</v>
      </c>
      <c r="C682" s="163">
        <v>46113</v>
      </c>
      <c r="D682" s="52" t="s">
        <v>2856</v>
      </c>
      <c r="E682" t="e" vm="138">
        <v>#VALUE!</v>
      </c>
      <c r="F682" t="e" vm="5">
        <v>#VALUE!</v>
      </c>
      <c r="G682" s="43" t="s">
        <v>200</v>
      </c>
      <c r="H682" t="s">
        <v>747</v>
      </c>
      <c r="I682" t="s">
        <v>43</v>
      </c>
      <c r="J682" s="18" t="s">
        <v>253</v>
      </c>
      <c r="K682" s="42" t="s">
        <v>371</v>
      </c>
      <c r="L682" s="44">
        <v>46139.76458333333</v>
      </c>
      <c r="M682" s="55" t="s">
        <v>55</v>
      </c>
      <c r="N682" s="55" t="s">
        <v>55</v>
      </c>
      <c r="O682" s="56">
        <v>46139.791666666664</v>
      </c>
      <c r="P682" s="2">
        <v>46139.791666666664</v>
      </c>
      <c r="Q682" s="58">
        <v>46139.864583333336</v>
      </c>
      <c r="S682" s="21" t="s">
        <v>2857</v>
      </c>
      <c r="T682" s="55" t="s">
        <v>1675</v>
      </c>
      <c r="V682" s="53" t="s">
        <v>837</v>
      </c>
      <c r="Y682" t="s">
        <v>203</v>
      </c>
      <c r="Z682" t="s">
        <v>70</v>
      </c>
    </row>
    <row r="683" spans="1:26" ht="15" hidden="1" customHeight="1">
      <c r="A683" s="60">
        <f>ROW() - ROW(Table1[[#Headers],[s]])</f>
        <v>682</v>
      </c>
      <c r="B683" t="s">
        <v>2858</v>
      </c>
      <c r="C683" s="163">
        <v>46113</v>
      </c>
      <c r="D683" s="52" t="s">
        <v>2859</v>
      </c>
      <c r="E683" t="e" vm="224">
        <v>#VALUE!</v>
      </c>
      <c r="F683" t="e" vm="40">
        <v>#VALUE!</v>
      </c>
      <c r="G683" s="43" t="s">
        <v>174</v>
      </c>
      <c r="H683" t="s">
        <v>152</v>
      </c>
      <c r="J683" s="18" t="s">
        <v>153</v>
      </c>
      <c r="K683" s="42" t="s">
        <v>154</v>
      </c>
      <c r="L683" s="44">
        <v>46139.645833333336</v>
      </c>
      <c r="M683" s="55" t="s">
        <v>39</v>
      </c>
      <c r="N683" s="55" t="s">
        <v>39</v>
      </c>
      <c r="O683" s="56">
        <v>46140.333333333336</v>
      </c>
      <c r="P683" s="56">
        <v>46140.354166666664</v>
      </c>
      <c r="Q683" s="56">
        <v>46140.381944444445</v>
      </c>
      <c r="S683" s="21" t="s">
        <v>2860</v>
      </c>
      <c r="T683" s="55" t="s">
        <v>2861</v>
      </c>
      <c r="V683" s="53" t="s">
        <v>2862</v>
      </c>
      <c r="Y683" t="s">
        <v>158</v>
      </c>
      <c r="Z683" t="s">
        <v>158</v>
      </c>
    </row>
    <row r="684" spans="1:26" ht="15" hidden="1" customHeight="1">
      <c r="A684" s="60">
        <f>ROW() - ROW(Table1[[#Headers],[s]])</f>
        <v>683</v>
      </c>
      <c r="B684" t="s">
        <v>2863</v>
      </c>
      <c r="C684" s="163">
        <v>46113</v>
      </c>
      <c r="D684" s="52" t="s">
        <v>2864</v>
      </c>
      <c r="E684" t="e" vm="61">
        <v>#VALUE!</v>
      </c>
      <c r="F684" t="e" vm="21">
        <v>#VALUE!</v>
      </c>
      <c r="G684" s="43" t="s">
        <v>174</v>
      </c>
      <c r="H684" t="s">
        <v>152</v>
      </c>
      <c r="J684" s="18" t="s">
        <v>153</v>
      </c>
      <c r="K684" s="42" t="s">
        <v>154</v>
      </c>
      <c r="L684" s="44">
        <v>46139.676388888889</v>
      </c>
      <c r="M684" s="55" t="s">
        <v>39</v>
      </c>
      <c r="N684" s="55" t="s">
        <v>39</v>
      </c>
      <c r="O684" s="56">
        <v>46140.333333333336</v>
      </c>
      <c r="P684" s="56">
        <v>46140.354166666664</v>
      </c>
      <c r="Q684" s="56">
        <v>46140.395833333336</v>
      </c>
      <c r="S684" s="21" t="s">
        <v>1618</v>
      </c>
      <c r="T684" s="241" t="s">
        <v>478</v>
      </c>
      <c r="V684" s="53" t="s">
        <v>2865</v>
      </c>
      <c r="Y684" t="s">
        <v>158</v>
      </c>
      <c r="Z684" t="s">
        <v>158</v>
      </c>
    </row>
    <row r="685" spans="1:26" ht="15" hidden="1" customHeight="1">
      <c r="A685" s="60">
        <f>ROW() - ROW(Table1[[#Headers],[s]])</f>
        <v>684</v>
      </c>
      <c r="B685" t="s">
        <v>2866</v>
      </c>
      <c r="C685" s="163">
        <v>46113</v>
      </c>
      <c r="D685" s="52" t="s">
        <v>2867</v>
      </c>
      <c r="E685" t="e" vm="52">
        <v>#VALUE!</v>
      </c>
      <c r="F685" t="e" vm="25">
        <v>#VALUE!</v>
      </c>
      <c r="G685" s="43" t="s">
        <v>200</v>
      </c>
      <c r="H685" t="s">
        <v>152</v>
      </c>
      <c r="I685" t="s">
        <v>43</v>
      </c>
      <c r="J685" s="18" t="s">
        <v>153</v>
      </c>
      <c r="K685" s="42" t="s">
        <v>154</v>
      </c>
      <c r="L685" s="44">
        <v>46139.67083333333</v>
      </c>
      <c r="M685" s="55" t="s">
        <v>72</v>
      </c>
      <c r="N685" s="55" t="s">
        <v>72</v>
      </c>
      <c r="O685" s="56">
        <v>46139.75</v>
      </c>
      <c r="P685" s="2">
        <v>46139.770833333336</v>
      </c>
      <c r="Q685" s="58">
        <v>46139.833333333336</v>
      </c>
      <c r="S685" s="21" t="s">
        <v>2868</v>
      </c>
      <c r="T685" s="55" t="s">
        <v>478</v>
      </c>
      <c r="V685" s="53" t="s">
        <v>837</v>
      </c>
      <c r="Y685" t="s">
        <v>158</v>
      </c>
      <c r="Z685" t="s">
        <v>70</v>
      </c>
    </row>
    <row r="686" spans="1:26" ht="15" hidden="1" customHeight="1">
      <c r="A686" s="60">
        <f>ROW() - ROW(Table1[[#Headers],[s]])</f>
        <v>685</v>
      </c>
      <c r="B686" t="s">
        <v>2869</v>
      </c>
      <c r="C686" s="163">
        <v>46113</v>
      </c>
      <c r="D686" s="52" t="s">
        <v>2870</v>
      </c>
      <c r="E686" t="e" vm="231">
        <v>#VALUE!</v>
      </c>
      <c r="F686" t="e" vm="25">
        <v>#VALUE!</v>
      </c>
      <c r="G686" s="43" t="s">
        <v>200</v>
      </c>
      <c r="H686" t="s">
        <v>152</v>
      </c>
      <c r="I686" t="s">
        <v>43</v>
      </c>
      <c r="J686" s="18" t="s">
        <v>153</v>
      </c>
      <c r="K686" s="42" t="s">
        <v>154</v>
      </c>
      <c r="L686" s="44">
        <v>46139.665277777778</v>
      </c>
      <c r="M686" s="55" t="s">
        <v>72</v>
      </c>
      <c r="N686" s="55" t="s">
        <v>72</v>
      </c>
      <c r="O686" s="56">
        <v>46139.916666666664</v>
      </c>
      <c r="P686" s="2">
        <v>46139.916666666664</v>
      </c>
      <c r="Q686" s="58">
        <v>46139.958333333336</v>
      </c>
      <c r="S686" s="21" t="s">
        <v>2871</v>
      </c>
      <c r="T686" s="55" t="s">
        <v>478</v>
      </c>
      <c r="V686" s="53" t="s">
        <v>239</v>
      </c>
      <c r="Y686" t="s">
        <v>158</v>
      </c>
      <c r="Z686" t="s">
        <v>70</v>
      </c>
    </row>
    <row r="687" spans="1:26" ht="15" hidden="1" customHeight="1">
      <c r="A687" s="60">
        <f>ROW() - ROW(Table1[[#Headers],[s]])</f>
        <v>686</v>
      </c>
      <c r="B687" t="s">
        <v>2872</v>
      </c>
      <c r="C687" s="163">
        <v>46113</v>
      </c>
      <c r="D687" s="52" t="s">
        <v>2873</v>
      </c>
      <c r="E687" t="s">
        <v>226</v>
      </c>
      <c r="F687" t="e" vm="17">
        <v>#VALUE!</v>
      </c>
      <c r="G687" s="43" t="s">
        <v>174</v>
      </c>
      <c r="H687" t="s">
        <v>152</v>
      </c>
      <c r="J687" s="18" t="s">
        <v>153</v>
      </c>
      <c r="K687" s="42" t="s">
        <v>154</v>
      </c>
      <c r="L687" s="20">
        <v>46140.353472222225</v>
      </c>
      <c r="M687" s="169" t="s">
        <v>1484</v>
      </c>
      <c r="N687" s="169" t="s">
        <v>1484</v>
      </c>
      <c r="O687" s="56">
        <v>46140.333333333336</v>
      </c>
      <c r="P687" s="56">
        <v>46140.354166666664</v>
      </c>
      <c r="Q687" s="56">
        <v>46140.395833333336</v>
      </c>
      <c r="S687" s="21" t="s">
        <v>2874</v>
      </c>
      <c r="T687" s="55" t="s">
        <v>2875</v>
      </c>
      <c r="V687" s="53" t="s">
        <v>2876</v>
      </c>
      <c r="Y687" t="s">
        <v>158</v>
      </c>
      <c r="Z687" t="s">
        <v>158</v>
      </c>
    </row>
    <row r="688" spans="1:26" ht="15" hidden="1" customHeight="1">
      <c r="A688" s="60">
        <f>ROW() - ROW(Table1[[#Headers],[s]])</f>
        <v>687</v>
      </c>
      <c r="B688" t="s">
        <v>2877</v>
      </c>
      <c r="C688" s="301" t="s">
        <v>60</v>
      </c>
      <c r="D688" s="19" t="s">
        <v>2878</v>
      </c>
      <c r="E688" t="s">
        <v>898</v>
      </c>
      <c r="F688" t="e" vm="16">
        <v>#VALUE!</v>
      </c>
      <c r="G688" s="43" t="s">
        <v>174</v>
      </c>
      <c r="H688" t="s">
        <v>245</v>
      </c>
      <c r="J688" s="18" t="s">
        <v>253</v>
      </c>
      <c r="K688" t="s">
        <v>2687</v>
      </c>
      <c r="L688" s="20">
        <v>46140.370138888888</v>
      </c>
      <c r="M688" s="18" t="s">
        <v>2879</v>
      </c>
      <c r="N688" s="18" t="s">
        <v>2879</v>
      </c>
      <c r="O688" s="3"/>
      <c r="P688" s="2"/>
      <c r="S688" s="21" t="s">
        <v>2687</v>
      </c>
      <c r="T688" s="18" t="s">
        <v>179</v>
      </c>
      <c r="V688" s="21" t="s">
        <v>2687</v>
      </c>
      <c r="X688" t="s">
        <v>2880</v>
      </c>
      <c r="Y688" t="s">
        <v>179</v>
      </c>
      <c r="Z688" t="s">
        <v>179</v>
      </c>
    </row>
    <row r="689" spans="1:26" ht="15" hidden="1" customHeight="1">
      <c r="A689" s="60">
        <f>ROW() - ROW(Table1[[#Headers],[s]])</f>
        <v>688</v>
      </c>
      <c r="B689" t="s">
        <v>1501</v>
      </c>
      <c r="C689" s="272">
        <v>46113</v>
      </c>
      <c r="D689" s="19" t="s">
        <v>2881</v>
      </c>
      <c r="E689" t="e" vm="58">
        <v>#VALUE!</v>
      </c>
      <c r="F689" t="e" vm="25">
        <v>#VALUE!</v>
      </c>
      <c r="G689" s="43" t="s">
        <v>174</v>
      </c>
      <c r="H689" t="s">
        <v>747</v>
      </c>
      <c r="J689" s="18" t="s">
        <v>253</v>
      </c>
      <c r="K689" s="42" t="s">
        <v>154</v>
      </c>
      <c r="L689" s="20">
        <v>46140.430555555555</v>
      </c>
      <c r="M689" s="55" t="s">
        <v>72</v>
      </c>
      <c r="N689" s="55" t="s">
        <v>72</v>
      </c>
      <c r="O689" s="20">
        <v>46140.46875</v>
      </c>
      <c r="P689" s="20">
        <v>46140.482638888891</v>
      </c>
      <c r="Q689" s="20">
        <v>46140.521527777775</v>
      </c>
      <c r="S689" s="21" t="s">
        <v>2882</v>
      </c>
      <c r="T689" s="241" t="s">
        <v>266</v>
      </c>
      <c r="V689" s="21" t="s">
        <v>660</v>
      </c>
      <c r="Y689" t="s">
        <v>158</v>
      </c>
      <c r="Z689" t="s">
        <v>70</v>
      </c>
    </row>
    <row r="690" spans="1:26" s="29" customFormat="1" ht="15" hidden="1" customHeight="1">
      <c r="A690" s="111">
        <f>ROW() - ROW(Table1[[#Headers],[s]])</f>
        <v>689</v>
      </c>
      <c r="B690" s="29" t="s">
        <v>2883</v>
      </c>
      <c r="C690" s="276">
        <v>46113</v>
      </c>
      <c r="D690" s="234" t="s">
        <v>2884</v>
      </c>
      <c r="E690" s="29" t="e" vm="138">
        <v>#VALUE!</v>
      </c>
      <c r="F690" s="29" t="e" vm="5">
        <v>#VALUE!</v>
      </c>
      <c r="G690" s="114" t="s">
        <v>174</v>
      </c>
      <c r="H690" s="29" t="s">
        <v>245</v>
      </c>
      <c r="J690" s="235" t="s">
        <v>253</v>
      </c>
      <c r="K690" s="148" t="s">
        <v>154</v>
      </c>
      <c r="L690" s="251">
        <v>46140.629166666666</v>
      </c>
      <c r="M690" s="235" t="s">
        <v>55</v>
      </c>
      <c r="N690" s="235" t="s">
        <v>55</v>
      </c>
      <c r="O690" s="251">
        <v>46140.666666666664</v>
      </c>
      <c r="P690" s="251">
        <v>46140.673611111109</v>
      </c>
      <c r="Q690" s="251">
        <v>46140.749305555553</v>
      </c>
      <c r="S690" s="252" t="s">
        <v>2885</v>
      </c>
      <c r="T690" s="153" t="s">
        <v>478</v>
      </c>
      <c r="V690" s="252" t="s">
        <v>2886</v>
      </c>
      <c r="Y690" s="29" t="s">
        <v>158</v>
      </c>
      <c r="Z690" s="29" t="s">
        <v>158</v>
      </c>
    </row>
    <row r="691" spans="1:26" ht="15" hidden="1" customHeight="1">
      <c r="A691" s="60">
        <f>ROW() - ROW(Table1[[#Headers],[s]])</f>
        <v>690</v>
      </c>
      <c r="B691" t="s">
        <v>2887</v>
      </c>
      <c r="C691" s="23" t="s">
        <v>60</v>
      </c>
      <c r="D691" s="19" t="s">
        <v>2888</v>
      </c>
      <c r="E691" t="e" vm="138">
        <v>#VALUE!</v>
      </c>
      <c r="F691" t="e" vm="5">
        <v>#VALUE!</v>
      </c>
      <c r="G691" s="43" t="s">
        <v>174</v>
      </c>
      <c r="H691" t="s">
        <v>747</v>
      </c>
      <c r="J691" s="18" t="s">
        <v>253</v>
      </c>
      <c r="K691" t="s">
        <v>2687</v>
      </c>
      <c r="L691" s="20">
        <v>46140.362500000003</v>
      </c>
      <c r="N691" s="18"/>
      <c r="O691" s="3"/>
      <c r="P691" s="2"/>
      <c r="S691" s="21" t="s">
        <v>2889</v>
      </c>
      <c r="T691" s="18" t="s">
        <v>179</v>
      </c>
      <c r="Y691" t="s">
        <v>179</v>
      </c>
      <c r="Z691" t="s">
        <v>179</v>
      </c>
    </row>
    <row r="692" spans="1:26" ht="15.75" hidden="1" customHeight="1">
      <c r="A692" s="60">
        <f>ROW() - ROW(Table1[[#Headers],[s]])</f>
        <v>691</v>
      </c>
      <c r="B692" s="250" t="s">
        <v>1986</v>
      </c>
      <c r="C692" s="161" t="s">
        <v>60</v>
      </c>
      <c r="D692" s="19" t="s">
        <v>2890</v>
      </c>
      <c r="E692" t="e" vm="58">
        <v>#VALUE!</v>
      </c>
      <c r="F692" t="e" vm="25">
        <v>#VALUE!</v>
      </c>
      <c r="G692" s="43" t="s">
        <v>174</v>
      </c>
      <c r="H692" t="s">
        <v>152</v>
      </c>
      <c r="J692" s="18" t="s">
        <v>153</v>
      </c>
      <c r="K692" s="42" t="s">
        <v>154</v>
      </c>
      <c r="L692" s="20">
        <v>46140.567361111112</v>
      </c>
      <c r="M692" s="55" t="s">
        <v>72</v>
      </c>
      <c r="N692" s="55" t="s">
        <v>72</v>
      </c>
      <c r="O692" s="3"/>
      <c r="P692" s="2"/>
      <c r="S692" s="53" t="s">
        <v>2891</v>
      </c>
      <c r="T692" s="18" t="s">
        <v>179</v>
      </c>
      <c r="V692" s="53" t="s">
        <v>2891</v>
      </c>
    </row>
    <row r="693" spans="1:26" ht="15" hidden="1" customHeight="1">
      <c r="A693" s="60">
        <f>ROW() - ROW(Table1[[#Headers],[s]])</f>
        <v>692</v>
      </c>
      <c r="B693" t="s">
        <v>2892</v>
      </c>
      <c r="C693" s="163">
        <v>46113</v>
      </c>
      <c r="D693" s="52" t="s">
        <v>2893</v>
      </c>
      <c r="E693" t="e" vm="12">
        <v>#VALUE!</v>
      </c>
      <c r="F693" t="e" vm="12">
        <v>#VALUE!</v>
      </c>
      <c r="G693" s="43" t="s">
        <v>174</v>
      </c>
      <c r="H693" t="s">
        <v>747</v>
      </c>
      <c r="J693" s="18" t="s">
        <v>253</v>
      </c>
      <c r="K693" s="42" t="s">
        <v>154</v>
      </c>
      <c r="L693" s="20">
        <v>46140.482638888891</v>
      </c>
      <c r="M693" s="55" t="s">
        <v>882</v>
      </c>
      <c r="N693" s="55" t="s">
        <v>882</v>
      </c>
      <c r="O693" s="20">
        <v>46140.506944444445</v>
      </c>
      <c r="P693" s="20">
        <v>46140.565972222219</v>
      </c>
      <c r="Q693" s="20">
        <v>46140.666666666664</v>
      </c>
      <c r="S693" s="21" t="s">
        <v>2894</v>
      </c>
      <c r="T693" s="55" t="s">
        <v>1338</v>
      </c>
      <c r="V693" s="53" t="s">
        <v>2895</v>
      </c>
      <c r="Y693" t="s">
        <v>158</v>
      </c>
      <c r="Z693" t="s">
        <v>158</v>
      </c>
    </row>
    <row r="694" spans="1:26" ht="15" hidden="1" customHeight="1">
      <c r="A694" s="60">
        <f>ROW() - ROW(Table1[[#Headers],[s]])</f>
        <v>693</v>
      </c>
      <c r="B694" t="s">
        <v>2896</v>
      </c>
      <c r="C694" s="163">
        <v>46113</v>
      </c>
      <c r="D694" s="333" t="s">
        <v>2897</v>
      </c>
      <c r="E694" t="e" vm="82">
        <v>#VALUE!</v>
      </c>
      <c r="F694" t="e" vm="5">
        <v>#VALUE!</v>
      </c>
      <c r="G694" s="43" t="s">
        <v>174</v>
      </c>
      <c r="H694" t="s">
        <v>747</v>
      </c>
      <c r="J694" s="18" t="s">
        <v>253</v>
      </c>
      <c r="K694" s="148" t="s">
        <v>2898</v>
      </c>
      <c r="L694" s="20">
        <v>46140.642361111109</v>
      </c>
      <c r="M694" s="55" t="s">
        <v>1997</v>
      </c>
      <c r="N694" s="55" t="s">
        <v>1997</v>
      </c>
      <c r="O694" s="20">
        <v>46140.729166666664</v>
      </c>
      <c r="P694" s="20">
        <v>46140.75</v>
      </c>
      <c r="Q694" s="20">
        <v>46140.935416666667</v>
      </c>
      <c r="S694" s="21" t="s">
        <v>1849</v>
      </c>
      <c r="T694" s="241" t="s">
        <v>266</v>
      </c>
      <c r="V694" s="53" t="s">
        <v>2899</v>
      </c>
      <c r="Y694" t="s">
        <v>158</v>
      </c>
      <c r="Z694" t="s">
        <v>158</v>
      </c>
    </row>
    <row r="695" spans="1:26" s="29" customFormat="1" ht="15" hidden="1" customHeight="1">
      <c r="A695" s="111">
        <f>ROW() - ROW(Table1[[#Headers],[s]])</f>
        <v>694</v>
      </c>
      <c r="B695" s="29" t="s">
        <v>2900</v>
      </c>
      <c r="C695" s="274">
        <v>46113</v>
      </c>
      <c r="D695" s="150" t="s">
        <v>2901</v>
      </c>
      <c r="E695" s="29" t="e" vm="221">
        <v>#VALUE!</v>
      </c>
      <c r="F695" s="29" t="e" vm="35">
        <v>#VALUE!</v>
      </c>
      <c r="G695" s="114" t="s">
        <v>174</v>
      </c>
      <c r="H695" s="29" t="s">
        <v>747</v>
      </c>
      <c r="J695" s="235" t="s">
        <v>253</v>
      </c>
      <c r="K695" s="148" t="s">
        <v>154</v>
      </c>
      <c r="L695" s="251">
        <v>46140.768055555556</v>
      </c>
      <c r="M695" s="153" t="s">
        <v>44</v>
      </c>
      <c r="N695" s="153" t="s">
        <v>44</v>
      </c>
      <c r="O695" s="251">
        <v>46140.8125</v>
      </c>
      <c r="P695" s="251">
        <v>46140.826388888891</v>
      </c>
      <c r="Q695" s="251">
        <v>46140.979861111111</v>
      </c>
      <c r="S695" s="252" t="s">
        <v>2902</v>
      </c>
      <c r="T695" s="153" t="s">
        <v>2903</v>
      </c>
      <c r="V695" s="154" t="s">
        <v>2904</v>
      </c>
      <c r="Y695" s="29" t="s">
        <v>158</v>
      </c>
      <c r="Z695" s="29" t="s">
        <v>158</v>
      </c>
    </row>
    <row r="696" spans="1:26" ht="15.75" hidden="1" customHeight="1">
      <c r="A696" s="60">
        <f>ROW() - ROW(Table1[[#Headers],[s]])</f>
        <v>695</v>
      </c>
      <c r="B696" s="250" t="s">
        <v>2905</v>
      </c>
      <c r="C696" s="163">
        <v>46113</v>
      </c>
      <c r="D696" s="52" t="s">
        <v>2906</v>
      </c>
      <c r="E696" t="e" vm="80">
        <v>#VALUE!</v>
      </c>
      <c r="F696" t="e" vm="10">
        <v>#VALUE!</v>
      </c>
      <c r="G696" s="43" t="s">
        <v>174</v>
      </c>
      <c r="H696" t="s">
        <v>152</v>
      </c>
      <c r="J696" s="18" t="s">
        <v>153</v>
      </c>
      <c r="K696" s="42" t="s">
        <v>154</v>
      </c>
      <c r="L696" s="20">
        <v>46140.775694444441</v>
      </c>
      <c r="M696" s="298" t="s">
        <v>78</v>
      </c>
      <c r="N696" s="55" t="s">
        <v>78</v>
      </c>
      <c r="O696" s="20">
        <v>46140.819444444445</v>
      </c>
      <c r="P696" s="20">
        <v>46140.833333333336</v>
      </c>
      <c r="Q696" s="20">
        <v>46140.885416666664</v>
      </c>
      <c r="S696" s="21" t="s">
        <v>2907</v>
      </c>
      <c r="T696" s="55" t="s">
        <v>164</v>
      </c>
      <c r="V696" s="53" t="s">
        <v>183</v>
      </c>
      <c r="Y696" t="s">
        <v>158</v>
      </c>
      <c r="Z696" t="s">
        <v>70</v>
      </c>
    </row>
    <row r="697" spans="1:26" ht="15" hidden="1" customHeight="1">
      <c r="A697" s="60">
        <f>ROW() - ROW(Table1[[#Headers],[s]])</f>
        <v>696</v>
      </c>
      <c r="B697" t="s">
        <v>2908</v>
      </c>
      <c r="C697" s="181" t="s">
        <v>60</v>
      </c>
      <c r="D697" s="52" t="s">
        <v>2909</v>
      </c>
      <c r="E697" t="e" vm="232">
        <v>#VALUE!</v>
      </c>
      <c r="F697" t="e" vm="2">
        <v>#VALUE!</v>
      </c>
      <c r="G697" s="43" t="s">
        <v>174</v>
      </c>
      <c r="H697" t="s">
        <v>747</v>
      </c>
      <c r="J697" s="18" t="s">
        <v>253</v>
      </c>
      <c r="K697" s="42" t="s">
        <v>548</v>
      </c>
      <c r="L697" s="20">
        <v>46140.831250000003</v>
      </c>
      <c r="M697" s="55" t="s">
        <v>162</v>
      </c>
      <c r="N697" s="55" t="s">
        <v>162</v>
      </c>
      <c r="O697" s="20">
        <v>46140.90625</v>
      </c>
      <c r="P697" s="20">
        <v>46140.9375</v>
      </c>
      <c r="Q697" s="58"/>
      <c r="S697" s="21" t="s">
        <v>2910</v>
      </c>
      <c r="T697" s="55" t="s">
        <v>164</v>
      </c>
      <c r="V697" s="21" t="s">
        <v>2910</v>
      </c>
      <c r="Y697" t="s">
        <v>179</v>
      </c>
      <c r="Z697" t="s">
        <v>179</v>
      </c>
    </row>
    <row r="698" spans="1:26" ht="15" hidden="1" customHeight="1">
      <c r="A698" s="60">
        <f>ROW() - ROW(Table1[[#Headers],[s]])</f>
        <v>697</v>
      </c>
      <c r="B698" t="s">
        <v>2911</v>
      </c>
      <c r="C698" s="163">
        <v>46113</v>
      </c>
      <c r="D698" s="52" t="s">
        <v>2912</v>
      </c>
      <c r="E698" t="e" vm="145">
        <v>#VALUE!</v>
      </c>
      <c r="F698" t="e" vm="16">
        <v>#VALUE!</v>
      </c>
      <c r="G698" s="43" t="s">
        <v>36</v>
      </c>
      <c r="H698" t="s">
        <v>152</v>
      </c>
      <c r="I698" t="s">
        <v>43</v>
      </c>
      <c r="J698" s="18" t="s">
        <v>153</v>
      </c>
      <c r="K698" s="42" t="s">
        <v>154</v>
      </c>
      <c r="L698" s="44">
        <v>46141.409722222219</v>
      </c>
      <c r="M698" s="55" t="s">
        <v>58</v>
      </c>
      <c r="N698" s="55" t="s">
        <v>58</v>
      </c>
      <c r="O698" s="56"/>
      <c r="P698" s="20"/>
      <c r="Q698" s="58">
        <v>46141.552083333336</v>
      </c>
      <c r="S698" s="21" t="s">
        <v>2631</v>
      </c>
      <c r="T698" s="55" t="s">
        <v>164</v>
      </c>
      <c r="V698" s="299" t="s">
        <v>1875</v>
      </c>
      <c r="Y698" t="s">
        <v>158</v>
      </c>
      <c r="Z698" t="s">
        <v>70</v>
      </c>
    </row>
    <row r="699" spans="1:26" ht="15" hidden="1" customHeight="1">
      <c r="A699" s="60">
        <f>ROW() - ROW(Table1[[#Headers],[s]])</f>
        <v>698</v>
      </c>
      <c r="B699" t="s">
        <v>2913</v>
      </c>
      <c r="C699" s="272">
        <v>46113</v>
      </c>
      <c r="D699" s="19" t="s">
        <v>2914</v>
      </c>
      <c r="E699" t="e" vm="79">
        <v>#VALUE!</v>
      </c>
      <c r="F699" t="e" vm="25">
        <v>#VALUE!</v>
      </c>
      <c r="G699" s="5" t="s">
        <v>36</v>
      </c>
      <c r="H699" t="s">
        <v>747</v>
      </c>
      <c r="I699" t="s">
        <v>43</v>
      </c>
      <c r="J699" s="18" t="s">
        <v>253</v>
      </c>
      <c r="K699" s="42" t="s">
        <v>154</v>
      </c>
      <c r="L699" s="20">
        <v>46141.438194444447</v>
      </c>
      <c r="M699" s="18" t="s">
        <v>53</v>
      </c>
      <c r="N699" s="18" t="s">
        <v>53</v>
      </c>
      <c r="O699" s="3"/>
      <c r="P699" s="20"/>
      <c r="Q699" s="22">
        <v>46141.518055555556</v>
      </c>
      <c r="S699" s="21" t="s">
        <v>2915</v>
      </c>
      <c r="T699" s="18" t="s">
        <v>164</v>
      </c>
      <c r="V699" s="299" t="s">
        <v>1875</v>
      </c>
      <c r="Y699" t="s">
        <v>203</v>
      </c>
      <c r="Z699" t="s">
        <v>70</v>
      </c>
    </row>
    <row r="700" spans="1:26" ht="15" hidden="1" customHeight="1">
      <c r="A700" s="60">
        <f>ROW() - ROW(Table1[[#Headers],[s]])</f>
        <v>699</v>
      </c>
      <c r="B700" t="s">
        <v>2916</v>
      </c>
      <c r="C700" s="272">
        <v>46113</v>
      </c>
      <c r="D700" s="19" t="s">
        <v>2917</v>
      </c>
      <c r="E700" t="e" vm="233">
        <v>#VALUE!</v>
      </c>
      <c r="F700" t="e" vm="35">
        <v>#VALUE!</v>
      </c>
      <c r="G700" s="5" t="s">
        <v>36</v>
      </c>
      <c r="H700" t="s">
        <v>245</v>
      </c>
      <c r="I700" t="s">
        <v>43</v>
      </c>
      <c r="J700" s="18" t="s">
        <v>253</v>
      </c>
      <c r="K700" s="42" t="s">
        <v>154</v>
      </c>
      <c r="L700" s="20">
        <v>46141.540972222225</v>
      </c>
      <c r="M700" s="18" t="s">
        <v>68</v>
      </c>
      <c r="N700" s="18" t="s">
        <v>68</v>
      </c>
      <c r="O700" s="3"/>
      <c r="P700" s="20"/>
      <c r="Q700" s="22">
        <v>46141.73541666667</v>
      </c>
      <c r="S700" s="21" t="s">
        <v>2918</v>
      </c>
      <c r="T700" s="18" t="s">
        <v>266</v>
      </c>
      <c r="V700" s="21" t="s">
        <v>1102</v>
      </c>
      <c r="Y700" t="s">
        <v>158</v>
      </c>
      <c r="Z700" t="s">
        <v>67</v>
      </c>
    </row>
    <row r="701" spans="1:26" ht="15" customHeight="1">
      <c r="A701" s="254">
        <v>699</v>
      </c>
      <c r="B701" s="255" t="s">
        <v>2919</v>
      </c>
      <c r="C701" s="347">
        <v>46143</v>
      </c>
      <c r="D701" s="332" t="s">
        <v>2920</v>
      </c>
      <c r="E701" s="257" t="e" vm="234">
        <v>#VALUE!</v>
      </c>
      <c r="F701" s="255" t="s">
        <v>2921</v>
      </c>
      <c r="G701" s="5" t="s">
        <v>186</v>
      </c>
      <c r="H701" s="255" t="s">
        <v>747</v>
      </c>
      <c r="I701" s="306" t="s">
        <v>2922</v>
      </c>
      <c r="J701" s="338" t="s">
        <v>253</v>
      </c>
      <c r="K701" s="255" t="s">
        <v>2923</v>
      </c>
      <c r="L701" s="20">
        <v>46141.602083333331</v>
      </c>
      <c r="M701" s="18" t="s">
        <v>68</v>
      </c>
      <c r="N701" s="18" t="s">
        <v>2924</v>
      </c>
      <c r="O701" s="3">
        <v>46141.770833333336</v>
      </c>
      <c r="P701" s="20">
        <v>46141.899305555555</v>
      </c>
      <c r="Q701" s="22">
        <v>46142.885416666664</v>
      </c>
      <c r="S701" s="21" t="s">
        <v>2925</v>
      </c>
      <c r="T701" s="18" t="s">
        <v>2926</v>
      </c>
      <c r="V701" s="240" t="s">
        <v>2927</v>
      </c>
      <c r="W701" t="s">
        <v>2928</v>
      </c>
      <c r="Y701" t="s">
        <v>70</v>
      </c>
      <c r="Z701" t="s">
        <v>158</v>
      </c>
    </row>
    <row r="702" spans="1:26" ht="15" hidden="1" customHeight="1">
      <c r="A702" s="60">
        <v>700</v>
      </c>
      <c r="B702" t="s">
        <v>2929</v>
      </c>
      <c r="C702" s="272">
        <v>46143</v>
      </c>
      <c r="D702" s="19" t="s">
        <v>2930</v>
      </c>
      <c r="E702" t="e" vm="181">
        <v>#VALUE!</v>
      </c>
      <c r="F702" t="e" vm="21">
        <v>#VALUE!</v>
      </c>
      <c r="G702" s="5" t="s">
        <v>1057</v>
      </c>
      <c r="H702" t="s">
        <v>152</v>
      </c>
      <c r="I702" s="233" t="s">
        <v>43</v>
      </c>
      <c r="J702" s="18" t="s">
        <v>153</v>
      </c>
      <c r="K702" t="s">
        <v>154</v>
      </c>
      <c r="L702" s="20">
        <v>46141.632638888892</v>
      </c>
      <c r="M702" s="18" t="s">
        <v>39</v>
      </c>
      <c r="N702" s="18" t="s">
        <v>39</v>
      </c>
      <c r="O702" s="3">
        <v>46142.468055555553</v>
      </c>
      <c r="P702" s="20">
        <v>46142.484722222223</v>
      </c>
      <c r="Q702" s="22">
        <v>46142.53125</v>
      </c>
      <c r="S702" s="21" t="s">
        <v>2931</v>
      </c>
      <c r="T702" s="18" t="s">
        <v>164</v>
      </c>
      <c r="V702" s="21" t="s">
        <v>2932</v>
      </c>
      <c r="Y702" t="s">
        <v>158</v>
      </c>
      <c r="Z702" t="s">
        <v>158</v>
      </c>
    </row>
    <row r="703" spans="1:26" ht="15" hidden="1" customHeight="1">
      <c r="A703" s="60">
        <f>ROW() - ROW(Table1[[#Headers],[s]])</f>
        <v>702</v>
      </c>
      <c r="B703" s="19" t="s">
        <v>2933</v>
      </c>
      <c r="C703" s="272">
        <v>46113</v>
      </c>
      <c r="D703" t="s">
        <v>2934</v>
      </c>
      <c r="E703" t="e" vm="205">
        <v>#VALUE!</v>
      </c>
      <c r="F703" t="e" vm="10">
        <v>#VALUE!</v>
      </c>
      <c r="G703" s="5" t="s">
        <v>36</v>
      </c>
      <c r="H703" t="s">
        <v>152</v>
      </c>
      <c r="I703" t="s">
        <v>43</v>
      </c>
      <c r="J703" s="18" t="s">
        <v>153</v>
      </c>
      <c r="K703" t="s">
        <v>154</v>
      </c>
      <c r="L703" s="20">
        <v>46141.682638888888</v>
      </c>
      <c r="M703" s="18" t="s">
        <v>78</v>
      </c>
      <c r="N703" s="55" t="s">
        <v>78</v>
      </c>
      <c r="O703" s="3"/>
      <c r="P703" s="20"/>
      <c r="Q703" s="22">
        <v>46141.8125</v>
      </c>
      <c r="S703" s="21" t="s">
        <v>2935</v>
      </c>
      <c r="T703" s="18" t="s">
        <v>164</v>
      </c>
      <c r="V703" s="21" t="s">
        <v>2936</v>
      </c>
      <c r="Y703" t="s">
        <v>158</v>
      </c>
      <c r="Z703" t="s">
        <v>70</v>
      </c>
    </row>
    <row r="704" spans="1:26" ht="15" hidden="1" customHeight="1">
      <c r="A704" s="60">
        <f>ROW() - ROW(Table1[[#Headers],[s]])</f>
        <v>703</v>
      </c>
      <c r="B704" t="s">
        <v>2937</v>
      </c>
      <c r="C704" s="272">
        <v>46113</v>
      </c>
      <c r="D704" s="19" t="s">
        <v>2938</v>
      </c>
      <c r="E704" t="e" vm="38">
        <v>#VALUE!</v>
      </c>
      <c r="F704" t="e" vm="10">
        <v>#VALUE!</v>
      </c>
      <c r="G704" s="5" t="s">
        <v>36</v>
      </c>
      <c r="H704" t="s">
        <v>152</v>
      </c>
      <c r="I704" t="s">
        <v>43</v>
      </c>
      <c r="J704" s="18" t="s">
        <v>153</v>
      </c>
      <c r="K704" s="42" t="s">
        <v>154</v>
      </c>
      <c r="L704" s="20">
        <v>46141.684027777781</v>
      </c>
      <c r="M704" s="18" t="s">
        <v>78</v>
      </c>
      <c r="N704" s="55" t="s">
        <v>78</v>
      </c>
      <c r="O704" s="3"/>
      <c r="P704" s="20"/>
      <c r="Q704" s="22">
        <v>46141.743055555555</v>
      </c>
      <c r="S704" s="21" t="s">
        <v>2939</v>
      </c>
      <c r="T704" s="18" t="s">
        <v>164</v>
      </c>
      <c r="V704" s="21" t="s">
        <v>2940</v>
      </c>
      <c r="Y704" t="s">
        <v>203</v>
      </c>
      <c r="Z704" t="s">
        <v>70</v>
      </c>
    </row>
    <row r="705" spans="1:27" ht="15" hidden="1" customHeight="1">
      <c r="A705" s="60">
        <f>ROW() - ROW(Table1[[#Headers],[s]])</f>
        <v>704</v>
      </c>
      <c r="B705" t="s">
        <v>2941</v>
      </c>
      <c r="C705" s="272">
        <v>46113</v>
      </c>
      <c r="D705" s="19" t="s">
        <v>2942</v>
      </c>
      <c r="E705" t="e" vm="58">
        <v>#VALUE!</v>
      </c>
      <c r="F705" t="e" vm="25">
        <v>#VALUE!</v>
      </c>
      <c r="G705" s="5" t="s">
        <v>36</v>
      </c>
      <c r="H705" t="s">
        <v>747</v>
      </c>
      <c r="I705" t="s">
        <v>43</v>
      </c>
      <c r="J705" s="18" t="s">
        <v>253</v>
      </c>
      <c r="K705" s="42" t="s">
        <v>154</v>
      </c>
      <c r="L705" s="20">
        <v>46141.84652777778</v>
      </c>
      <c r="M705" s="18" t="s">
        <v>1403</v>
      </c>
      <c r="N705" s="18" t="s">
        <v>1403</v>
      </c>
      <c r="O705" s="3"/>
      <c r="P705" s="20"/>
      <c r="Q705" s="22">
        <v>46141.915277777778</v>
      </c>
      <c r="S705" s="21" t="s">
        <v>2943</v>
      </c>
      <c r="T705" s="18" t="s">
        <v>164</v>
      </c>
      <c r="V705" s="21" t="s">
        <v>164</v>
      </c>
      <c r="Y705" t="s">
        <v>158</v>
      </c>
      <c r="Z705" t="s">
        <v>70</v>
      </c>
    </row>
    <row r="706" spans="1:27" ht="15" hidden="1" customHeight="1">
      <c r="A706" s="60">
        <v>704</v>
      </c>
      <c r="B706" t="s">
        <v>2944</v>
      </c>
      <c r="C706" s="272">
        <v>46113</v>
      </c>
      <c r="D706" s="19" t="s">
        <v>2945</v>
      </c>
      <c r="E706" t="e" vm="184">
        <v>#VALUE!</v>
      </c>
      <c r="F706" t="e" vm="22">
        <v>#VALUE!</v>
      </c>
      <c r="G706" s="5" t="s">
        <v>1057</v>
      </c>
      <c r="H706" t="s">
        <v>245</v>
      </c>
      <c r="I706" t="s">
        <v>43</v>
      </c>
      <c r="J706" s="18" t="s">
        <v>253</v>
      </c>
      <c r="K706" t="s">
        <v>154</v>
      </c>
      <c r="L706" s="20">
        <v>46141.87777777778</v>
      </c>
      <c r="M706" s="18" t="s">
        <v>53</v>
      </c>
      <c r="N706" s="18" t="s">
        <v>2946</v>
      </c>
      <c r="O706" s="3">
        <v>46142.340277777781</v>
      </c>
      <c r="P706" s="20">
        <v>46142.54583333333</v>
      </c>
      <c r="Q706" s="22">
        <v>46142.730555555558</v>
      </c>
      <c r="S706" s="21" t="s">
        <v>861</v>
      </c>
      <c r="T706" s="18" t="s">
        <v>164</v>
      </c>
      <c r="V706" s="21" t="s">
        <v>2947</v>
      </c>
      <c r="Y706" t="s">
        <v>70</v>
      </c>
      <c r="Z706" t="s">
        <v>158</v>
      </c>
    </row>
    <row r="707" spans="1:27" ht="15" hidden="1" customHeight="1">
      <c r="A707" s="60">
        <v>705</v>
      </c>
      <c r="B707" t="s">
        <v>2948</v>
      </c>
      <c r="C707" s="272">
        <v>46113</v>
      </c>
      <c r="D707" s="19" t="s">
        <v>2949</v>
      </c>
      <c r="E707" t="s">
        <v>2950</v>
      </c>
      <c r="F707" t="e" vm="7">
        <v>#VALUE!</v>
      </c>
      <c r="G707" s="5" t="s">
        <v>1057</v>
      </c>
      <c r="H707" t="s">
        <v>747</v>
      </c>
      <c r="I707" t="s">
        <v>43</v>
      </c>
      <c r="J707" s="18" t="s">
        <v>253</v>
      </c>
      <c r="K707" t="s">
        <v>154</v>
      </c>
      <c r="L707" s="20">
        <v>46142.259722222225</v>
      </c>
      <c r="M707" s="18" t="s">
        <v>2951</v>
      </c>
      <c r="N707" s="18" t="s">
        <v>2951</v>
      </c>
      <c r="O707" s="3">
        <v>46142.5</v>
      </c>
      <c r="P707" s="20">
        <v>46142.555555555555</v>
      </c>
      <c r="Q707" s="22">
        <v>46142.567361111112</v>
      </c>
      <c r="S707" s="21" t="s">
        <v>2952</v>
      </c>
      <c r="T707" s="18" t="s">
        <v>164</v>
      </c>
      <c r="V707" s="21" t="s">
        <v>2953</v>
      </c>
      <c r="W707" t="s">
        <v>2954</v>
      </c>
      <c r="Y707" t="s">
        <v>158</v>
      </c>
      <c r="Z707" t="s">
        <v>70</v>
      </c>
    </row>
    <row r="708" spans="1:27" ht="15" hidden="1" customHeight="1">
      <c r="A708" s="60">
        <v>706</v>
      </c>
      <c r="B708" t="s">
        <v>2955</v>
      </c>
      <c r="C708" s="272">
        <v>46143</v>
      </c>
      <c r="D708" s="19" t="s">
        <v>2956</v>
      </c>
      <c r="E708" t="s">
        <v>2957</v>
      </c>
      <c r="F708" t="e" vm="40">
        <v>#VALUE!</v>
      </c>
      <c r="G708" s="5" t="s">
        <v>1057</v>
      </c>
      <c r="H708" t="s">
        <v>152</v>
      </c>
      <c r="I708" t="s">
        <v>43</v>
      </c>
      <c r="J708" s="18" t="s">
        <v>153</v>
      </c>
      <c r="K708" t="s">
        <v>154</v>
      </c>
      <c r="L708" s="20">
        <v>46142.433333333334</v>
      </c>
      <c r="M708" s="18" t="s">
        <v>39</v>
      </c>
      <c r="N708" s="18" t="s">
        <v>39</v>
      </c>
      <c r="O708" s="3">
        <v>46142.59375</v>
      </c>
      <c r="P708" s="20">
        <v>46142.605555555558</v>
      </c>
      <c r="Q708" s="22">
        <v>46142.622916666667</v>
      </c>
      <c r="S708" s="21" t="s">
        <v>2958</v>
      </c>
      <c r="T708" s="18" t="s">
        <v>164</v>
      </c>
      <c r="V708" s="21" t="s">
        <v>2959</v>
      </c>
      <c r="Y708" t="s">
        <v>158</v>
      </c>
      <c r="Z708" t="s">
        <v>70</v>
      </c>
    </row>
    <row r="709" spans="1:27" ht="15" hidden="1" customHeight="1">
      <c r="A709" s="60">
        <v>707</v>
      </c>
      <c r="B709" t="s">
        <v>2960</v>
      </c>
      <c r="C709" s="163">
        <v>46143</v>
      </c>
      <c r="D709" s="52" t="s">
        <v>2961</v>
      </c>
      <c r="E709" t="e" vm="52">
        <v>#VALUE!</v>
      </c>
      <c r="F709" t="e" vm="25">
        <v>#VALUE!</v>
      </c>
      <c r="G709" s="43" t="s">
        <v>1057</v>
      </c>
      <c r="H709" t="s">
        <v>152</v>
      </c>
      <c r="I709" t="s">
        <v>43</v>
      </c>
      <c r="J709" s="18" t="s">
        <v>153</v>
      </c>
      <c r="K709" s="42" t="s">
        <v>154</v>
      </c>
      <c r="L709" s="44">
        <v>46142.45416666667</v>
      </c>
      <c r="M709" s="55" t="s">
        <v>72</v>
      </c>
      <c r="N709" s="55" t="s">
        <v>72</v>
      </c>
      <c r="O709" s="56">
        <v>46142.8125</v>
      </c>
      <c r="P709" s="20">
        <v>46142.834722222222</v>
      </c>
      <c r="Q709" s="58">
        <v>46142.84097222222</v>
      </c>
      <c r="S709" s="21" t="s">
        <v>2962</v>
      </c>
      <c r="T709" s="55" t="s">
        <v>164</v>
      </c>
      <c r="V709" s="53" t="s">
        <v>2963</v>
      </c>
      <c r="Y709" t="s">
        <v>158</v>
      </c>
      <c r="Z709" t="s">
        <v>70</v>
      </c>
    </row>
    <row r="710" spans="1:27" ht="15" hidden="1" customHeight="1">
      <c r="A710" s="60">
        <v>708</v>
      </c>
      <c r="B710" t="s">
        <v>2964</v>
      </c>
      <c r="C710" s="272">
        <v>46143</v>
      </c>
      <c r="D710" s="19" t="s">
        <v>2965</v>
      </c>
      <c r="E710" t="e" vm="179">
        <v>#VALUE!</v>
      </c>
      <c r="F710" t="e" vm="1">
        <v>#VALUE!</v>
      </c>
      <c r="G710" s="5" t="s">
        <v>1057</v>
      </c>
      <c r="H710" t="s">
        <v>152</v>
      </c>
      <c r="I710" t="s">
        <v>43</v>
      </c>
      <c r="J710" s="18" t="s">
        <v>153</v>
      </c>
      <c r="K710" t="s">
        <v>154</v>
      </c>
      <c r="L710" s="20">
        <v>46142.457638888889</v>
      </c>
      <c r="M710" s="18" t="s">
        <v>1937</v>
      </c>
      <c r="N710" s="18" t="s">
        <v>1937</v>
      </c>
      <c r="O710" s="3">
        <v>46142.534722222219</v>
      </c>
      <c r="P710" s="20">
        <v>46142.534722222219</v>
      </c>
      <c r="Q710" s="22">
        <v>46142.541666666664</v>
      </c>
      <c r="S710" s="21" t="s">
        <v>2966</v>
      </c>
      <c r="T710" s="18" t="s">
        <v>164</v>
      </c>
      <c r="V710" s="21" t="s">
        <v>2967</v>
      </c>
      <c r="Y710" t="s">
        <v>158</v>
      </c>
      <c r="Z710" t="s">
        <v>70</v>
      </c>
    </row>
    <row r="711" spans="1:27" ht="15" hidden="1" customHeight="1">
      <c r="A711" s="60">
        <v>709</v>
      </c>
      <c r="B711" t="s">
        <v>2968</v>
      </c>
      <c r="C711" s="272">
        <v>46143</v>
      </c>
      <c r="D711" s="19" t="s">
        <v>2969</v>
      </c>
      <c r="E711" t="e" vm="80">
        <v>#VALUE!</v>
      </c>
      <c r="F711" t="e" vm="10">
        <v>#VALUE!</v>
      </c>
      <c r="G711" s="5" t="s">
        <v>1057</v>
      </c>
      <c r="H711" t="s">
        <v>152</v>
      </c>
      <c r="I711" t="s">
        <v>43</v>
      </c>
      <c r="J711" s="18" t="s">
        <v>153</v>
      </c>
      <c r="K711" t="s">
        <v>154</v>
      </c>
      <c r="L711" s="20">
        <v>46142.51666666667</v>
      </c>
      <c r="M711" s="18" t="s">
        <v>78</v>
      </c>
      <c r="N711" s="55" t="s">
        <v>78</v>
      </c>
      <c r="O711" s="3">
        <v>46142.708333333336</v>
      </c>
      <c r="P711" s="20">
        <v>46142.715277777781</v>
      </c>
      <c r="Q711" s="22">
        <v>46142.743055555555</v>
      </c>
      <c r="S711" s="21" t="s">
        <v>2970</v>
      </c>
      <c r="T711" s="18" t="s">
        <v>164</v>
      </c>
      <c r="V711" s="21" t="s">
        <v>2971</v>
      </c>
      <c r="Y711" t="s">
        <v>158</v>
      </c>
      <c r="Z711" t="s">
        <v>70</v>
      </c>
    </row>
    <row r="712" spans="1:27" ht="15" customHeight="1">
      <c r="A712" s="60">
        <v>710</v>
      </c>
      <c r="B712" t="s">
        <v>2972</v>
      </c>
      <c r="C712" s="272">
        <v>46143</v>
      </c>
      <c r="D712" s="19" t="s">
        <v>2973</v>
      </c>
      <c r="E712" t="e" vm="235">
        <v>#VALUE!</v>
      </c>
      <c r="F712" t="e" vm="7">
        <v>#VALUE!</v>
      </c>
      <c r="G712" s="5" t="s">
        <v>186</v>
      </c>
      <c r="H712" t="s">
        <v>152</v>
      </c>
      <c r="I712" s="306" t="s">
        <v>43</v>
      </c>
      <c r="J712" s="18" t="s">
        <v>153</v>
      </c>
      <c r="K712" t="s">
        <v>154</v>
      </c>
      <c r="L712" s="20">
        <v>46142.565972222219</v>
      </c>
      <c r="M712" s="18" t="s">
        <v>1937</v>
      </c>
      <c r="N712" s="18" t="s">
        <v>1937</v>
      </c>
      <c r="O712" s="3">
        <v>46143.833333333336</v>
      </c>
      <c r="P712" s="20">
        <v>46143.840277777781</v>
      </c>
      <c r="Q712" s="22">
        <v>46143.986111111109</v>
      </c>
      <c r="S712" s="21" t="s">
        <v>598</v>
      </c>
      <c r="T712" s="18" t="s">
        <v>164</v>
      </c>
      <c r="V712" s="21" t="s">
        <v>2388</v>
      </c>
      <c r="Y712" t="s">
        <v>158</v>
      </c>
      <c r="Z712" t="s">
        <v>158</v>
      </c>
    </row>
    <row r="713" spans="1:27" ht="15" hidden="1" customHeight="1">
      <c r="A713" s="60">
        <v>711</v>
      </c>
      <c r="B713" t="s">
        <v>2974</v>
      </c>
      <c r="C713" s="272">
        <v>46113</v>
      </c>
      <c r="D713" s="19" t="s">
        <v>2975</v>
      </c>
      <c r="E713" t="e" vm="138">
        <v>#VALUE!</v>
      </c>
      <c r="F713" t="e" vm="5">
        <v>#VALUE!</v>
      </c>
      <c r="G713" s="5" t="s">
        <v>1057</v>
      </c>
      <c r="H713" t="s">
        <v>747</v>
      </c>
      <c r="I713" t="s">
        <v>43</v>
      </c>
      <c r="J713" s="18" t="s">
        <v>153</v>
      </c>
      <c r="K713" t="s">
        <v>154</v>
      </c>
      <c r="L713" s="20">
        <v>46142.643055555556</v>
      </c>
      <c r="M713" s="55" t="s">
        <v>55</v>
      </c>
      <c r="N713" s="55" t="s">
        <v>55</v>
      </c>
      <c r="O713" s="3">
        <v>46142.666666666664</v>
      </c>
      <c r="P713" s="20">
        <v>46142.673611111109</v>
      </c>
      <c r="Q713" s="22">
        <v>46142.727083333331</v>
      </c>
      <c r="S713" s="21" t="s">
        <v>2976</v>
      </c>
      <c r="T713" s="18" t="s">
        <v>164</v>
      </c>
      <c r="V713" s="21" t="s">
        <v>2977</v>
      </c>
      <c r="W713" t="s">
        <v>2978</v>
      </c>
      <c r="Y713" t="s">
        <v>158</v>
      </c>
      <c r="Z713" t="s">
        <v>158</v>
      </c>
    </row>
    <row r="714" spans="1:27" ht="15" hidden="1" customHeight="1">
      <c r="A714" s="60">
        <v>712</v>
      </c>
      <c r="B714" t="s">
        <v>2979</v>
      </c>
      <c r="C714" s="272">
        <v>46143</v>
      </c>
      <c r="D714" s="19" t="s">
        <v>2980</v>
      </c>
      <c r="E714" t="e" vm="106">
        <v>#VALUE!</v>
      </c>
      <c r="F714" t="e" vm="5">
        <v>#VALUE!</v>
      </c>
      <c r="G714" s="5" t="s">
        <v>1057</v>
      </c>
      <c r="H714" t="s">
        <v>747</v>
      </c>
      <c r="I714" t="s">
        <v>43</v>
      </c>
      <c r="J714" s="18" t="s">
        <v>153</v>
      </c>
      <c r="K714" t="s">
        <v>154</v>
      </c>
      <c r="L714" s="20">
        <v>46142.747916666667</v>
      </c>
      <c r="M714" s="55" t="s">
        <v>55</v>
      </c>
      <c r="N714" s="55" t="s">
        <v>55</v>
      </c>
      <c r="O714" s="3">
        <v>46142.847222222219</v>
      </c>
      <c r="P714" s="20">
        <v>46143.003472222219</v>
      </c>
      <c r="Q714" s="22">
        <v>46143.055555555555</v>
      </c>
      <c r="S714" s="21" t="s">
        <v>2981</v>
      </c>
      <c r="T714" s="18" t="s">
        <v>164</v>
      </c>
      <c r="V714" s="21" t="s">
        <v>2982</v>
      </c>
      <c r="W714" t="s">
        <v>2983</v>
      </c>
      <c r="Y714" t="s">
        <v>158</v>
      </c>
      <c r="Z714" t="s">
        <v>158</v>
      </c>
    </row>
    <row r="715" spans="1:27" ht="15" customHeight="1">
      <c r="A715" s="60">
        <f>ROW() - ROW(Table1[[#Headers],[s]])</f>
        <v>714</v>
      </c>
      <c r="B715" t="s">
        <v>2984</v>
      </c>
      <c r="C715" s="272">
        <v>46143</v>
      </c>
      <c r="D715" s="19" t="s">
        <v>2985</v>
      </c>
      <c r="E715" t="e" vm="68">
        <v>#VALUE!</v>
      </c>
      <c r="F715" t="e" vm="26">
        <v>#VALUE!</v>
      </c>
      <c r="G715" s="5" t="s">
        <v>186</v>
      </c>
      <c r="H715" t="s">
        <v>747</v>
      </c>
      <c r="I715" s="306" t="s">
        <v>43</v>
      </c>
      <c r="J715" s="18" t="s">
        <v>253</v>
      </c>
      <c r="K715" t="s">
        <v>154</v>
      </c>
      <c r="L715" s="20">
        <v>46143.267361111109</v>
      </c>
      <c r="M715" s="18" t="s">
        <v>800</v>
      </c>
      <c r="N715" s="18" t="s">
        <v>800</v>
      </c>
      <c r="O715" s="3">
        <v>46143.384722222225</v>
      </c>
      <c r="P715" s="20">
        <v>46143.416666666664</v>
      </c>
      <c r="Q715" s="22">
        <v>46143.776388888888</v>
      </c>
      <c r="S715" s="21" t="s">
        <v>2986</v>
      </c>
      <c r="T715" s="18" t="s">
        <v>164</v>
      </c>
      <c r="V715" s="21" t="s">
        <v>2987</v>
      </c>
      <c r="Y715" t="s">
        <v>70</v>
      </c>
      <c r="Z715" t="s">
        <v>70</v>
      </c>
      <c r="AA715" t="s">
        <v>2988</v>
      </c>
    </row>
    <row r="716" spans="1:27" ht="15.75" customHeight="1">
      <c r="A716" s="60">
        <f>ROW() - ROW(Table1[[#Headers],[s]])</f>
        <v>715</v>
      </c>
      <c r="B716" t="s">
        <v>2989</v>
      </c>
      <c r="C716" s="272">
        <v>46143</v>
      </c>
      <c r="D716" s="305" t="s">
        <v>2990</v>
      </c>
      <c r="E716" t="e" vm="236">
        <v>#VALUE!</v>
      </c>
      <c r="F716" t="e" vm="35">
        <v>#VALUE!</v>
      </c>
      <c r="G716" s="5" t="s">
        <v>186</v>
      </c>
      <c r="H716" t="s">
        <v>245</v>
      </c>
      <c r="I716" s="306" t="s">
        <v>43</v>
      </c>
      <c r="J716" s="18" t="s">
        <v>253</v>
      </c>
      <c r="K716" t="s">
        <v>154</v>
      </c>
      <c r="L716" s="20">
        <v>46143.723611111112</v>
      </c>
      <c r="M716" s="18" t="s">
        <v>44</v>
      </c>
      <c r="N716" s="18" t="s">
        <v>44</v>
      </c>
      <c r="O716" s="3">
        <v>46143.833333333336</v>
      </c>
      <c r="P716" s="20">
        <v>46144.083333333336</v>
      </c>
      <c r="Q716" s="22">
        <v>46144.236805555556</v>
      </c>
      <c r="S716" s="387" t="s">
        <v>473</v>
      </c>
      <c r="T716" s="18" t="s">
        <v>164</v>
      </c>
      <c r="V716" s="387" t="s">
        <v>2991</v>
      </c>
      <c r="Y716" t="s">
        <v>70</v>
      </c>
      <c r="Z716" t="s">
        <v>158</v>
      </c>
    </row>
    <row r="717" spans="1:27" ht="15" hidden="1" customHeight="1">
      <c r="A717" s="60">
        <f>ROW() - ROW(Table1[[#Headers],[s]])</f>
        <v>716</v>
      </c>
      <c r="B717" t="s">
        <v>2992</v>
      </c>
      <c r="C717" s="272">
        <v>46143</v>
      </c>
      <c r="D717" s="19" t="s">
        <v>2993</v>
      </c>
      <c r="E717" t="e" vm="118">
        <v>#VALUE!</v>
      </c>
      <c r="F717" t="e" vm="25">
        <v>#VALUE!</v>
      </c>
      <c r="G717" s="5" t="s">
        <v>174</v>
      </c>
      <c r="H717" t="s">
        <v>152</v>
      </c>
      <c r="J717" s="18" t="s">
        <v>153</v>
      </c>
      <c r="K717" t="s">
        <v>154</v>
      </c>
      <c r="L717" s="20">
        <v>46143.565972222219</v>
      </c>
      <c r="M717" s="18" t="s">
        <v>72</v>
      </c>
      <c r="N717" s="18" t="s">
        <v>72</v>
      </c>
      <c r="O717" s="3">
        <v>46144.333333333336</v>
      </c>
      <c r="P717" s="3">
        <v>46144.354166666664</v>
      </c>
      <c r="Q717" s="3">
        <v>46144.375</v>
      </c>
      <c r="S717" s="21" t="s">
        <v>2994</v>
      </c>
      <c r="T717" s="18" t="s">
        <v>266</v>
      </c>
      <c r="V717" s="21" t="s">
        <v>2995</v>
      </c>
      <c r="Y717" t="s">
        <v>158</v>
      </c>
      <c r="Z717" t="s">
        <v>70</v>
      </c>
    </row>
    <row r="718" spans="1:27" ht="15" customHeight="1">
      <c r="A718" s="60">
        <f>ROW() - ROW(Table1[[#Headers],[s]])</f>
        <v>717</v>
      </c>
      <c r="B718" t="s">
        <v>2996</v>
      </c>
      <c r="C718" s="272">
        <v>46143</v>
      </c>
      <c r="D718" s="19" t="s">
        <v>2997</v>
      </c>
      <c r="E718" t="e" vm="205">
        <v>#VALUE!</v>
      </c>
      <c r="F718" t="e" vm="10">
        <v>#VALUE!</v>
      </c>
      <c r="G718" s="5" t="s">
        <v>186</v>
      </c>
      <c r="H718" t="s">
        <v>152</v>
      </c>
      <c r="I718" s="306" t="s">
        <v>43</v>
      </c>
      <c r="J718" s="18" t="s">
        <v>153</v>
      </c>
      <c r="K718" t="s">
        <v>154</v>
      </c>
      <c r="L718" s="20">
        <v>46143.581944444442</v>
      </c>
      <c r="M718" s="18" t="s">
        <v>78</v>
      </c>
      <c r="N718" s="55" t="s">
        <v>78</v>
      </c>
      <c r="O718" s="3">
        <v>46143.708333333336</v>
      </c>
      <c r="P718" s="20">
        <v>46143.715277777781</v>
      </c>
      <c r="Q718" s="22">
        <v>46143.755555555559</v>
      </c>
      <c r="S718" s="21" t="s">
        <v>2998</v>
      </c>
      <c r="T718" s="18" t="s">
        <v>164</v>
      </c>
      <c r="V718" s="21" t="s">
        <v>581</v>
      </c>
      <c r="Y718" t="s">
        <v>158</v>
      </c>
      <c r="Z718" t="s">
        <v>70</v>
      </c>
    </row>
    <row r="719" spans="1:27" ht="15" hidden="1" customHeight="1">
      <c r="A719" s="60">
        <f>ROW() - ROW(Table1[[#Headers],[s]])</f>
        <v>718</v>
      </c>
      <c r="B719" t="s">
        <v>2999</v>
      </c>
      <c r="C719" s="163">
        <v>46143</v>
      </c>
      <c r="D719" s="52" t="s">
        <v>3000</v>
      </c>
      <c r="E719" t="e" vm="237">
        <v>#VALUE!</v>
      </c>
      <c r="F719" t="e" vm="23">
        <v>#VALUE!</v>
      </c>
      <c r="G719" s="5" t="s">
        <v>174</v>
      </c>
      <c r="H719" t="s">
        <v>747</v>
      </c>
      <c r="J719" s="18" t="s">
        <v>253</v>
      </c>
      <c r="K719" s="42" t="s">
        <v>3001</v>
      </c>
      <c r="L719" s="44">
        <v>46144.564583333333</v>
      </c>
      <c r="M719" s="55" t="s">
        <v>58</v>
      </c>
      <c r="N719" s="55" t="s">
        <v>58</v>
      </c>
      <c r="O719" s="44">
        <v>46058.618055555555</v>
      </c>
      <c r="P719" s="44">
        <v>46058.625</v>
      </c>
      <c r="Q719" s="58">
        <v>46145.76458333333</v>
      </c>
      <c r="S719" s="21" t="s">
        <v>3002</v>
      </c>
      <c r="T719" s="55" t="s">
        <v>164</v>
      </c>
      <c r="V719" s="53" t="s">
        <v>404</v>
      </c>
      <c r="Y719" t="s">
        <v>158</v>
      </c>
      <c r="Z719" t="s">
        <v>67</v>
      </c>
    </row>
    <row r="720" spans="1:27" ht="15" hidden="1" customHeight="1">
      <c r="A720" s="60">
        <f>ROW() - ROW(Table1[[#Headers],[s]])</f>
        <v>719</v>
      </c>
      <c r="C720" s="163">
        <v>46143</v>
      </c>
      <c r="D720" s="52" t="s">
        <v>3003</v>
      </c>
      <c r="G720" s="43" t="s">
        <v>174</v>
      </c>
      <c r="K720" s="42"/>
      <c r="L720" s="44"/>
      <c r="M720" s="55" t="s">
        <v>162</v>
      </c>
      <c r="N720" s="55" t="s">
        <v>162</v>
      </c>
      <c r="O720" s="56"/>
      <c r="P720" s="20"/>
      <c r="Q720" s="58"/>
      <c r="T720" s="55"/>
      <c r="V720" s="53"/>
    </row>
    <row r="721" spans="1:26" ht="15.75" hidden="1" customHeight="1">
      <c r="A721" s="60">
        <f>ROW() - ROW(Table1[[#Headers],[s]])</f>
        <v>720</v>
      </c>
      <c r="B721" s="223" t="s">
        <v>3004</v>
      </c>
      <c r="C721" s="272">
        <v>46143</v>
      </c>
      <c r="D721" s="19" t="s">
        <v>3005</v>
      </c>
      <c r="E721" t="e" vm="38">
        <v>#VALUE!</v>
      </c>
      <c r="F721" t="e" vm="10">
        <v>#VALUE!</v>
      </c>
      <c r="G721" s="5" t="s">
        <v>174</v>
      </c>
      <c r="H721" t="s">
        <v>152</v>
      </c>
      <c r="J721" s="18" t="s">
        <v>153</v>
      </c>
      <c r="K721" t="s">
        <v>154</v>
      </c>
      <c r="L721" s="20">
        <v>46145.517361111109</v>
      </c>
      <c r="M721" s="18" t="s">
        <v>78</v>
      </c>
      <c r="N721" s="55" t="s">
        <v>78</v>
      </c>
      <c r="O721" s="20">
        <v>46086.5625</v>
      </c>
      <c r="P721" s="20">
        <v>46086.583333333336</v>
      </c>
      <c r="Q721" s="20">
        <v>46145.614583333336</v>
      </c>
      <c r="S721" s="21" t="s">
        <v>3006</v>
      </c>
      <c r="T721" s="18" t="s">
        <v>164</v>
      </c>
      <c r="V721" s="21" t="s">
        <v>3007</v>
      </c>
      <c r="Y721" t="s">
        <v>158</v>
      </c>
      <c r="Z721" t="s">
        <v>70</v>
      </c>
    </row>
    <row r="722" spans="1:26" ht="15.75" hidden="1" customHeight="1">
      <c r="A722" s="60">
        <f>ROW() - ROW(Table1[[#Headers],[s]])</f>
        <v>721</v>
      </c>
      <c r="B722" s="223" t="s">
        <v>3008</v>
      </c>
      <c r="C722" s="163">
        <v>46143</v>
      </c>
      <c r="D722" s="52" t="s">
        <v>3009</v>
      </c>
      <c r="E722" t="e" vm="205">
        <v>#VALUE!</v>
      </c>
      <c r="F722" t="e" vm="10">
        <v>#VALUE!</v>
      </c>
      <c r="G722" s="5" t="s">
        <v>174</v>
      </c>
      <c r="H722" t="s">
        <v>152</v>
      </c>
      <c r="J722" s="18" t="s">
        <v>153</v>
      </c>
      <c r="K722" t="s">
        <v>154</v>
      </c>
      <c r="L722" s="20">
        <v>46145.643750000003</v>
      </c>
      <c r="M722" s="18" t="s">
        <v>78</v>
      </c>
      <c r="N722" s="55" t="s">
        <v>78</v>
      </c>
      <c r="O722" s="44">
        <v>46086.697916666664</v>
      </c>
      <c r="P722" s="44">
        <v>46086.704861111109</v>
      </c>
      <c r="Q722" s="44">
        <v>46145.732638888891</v>
      </c>
      <c r="S722" s="21" t="s">
        <v>3010</v>
      </c>
      <c r="T722" s="55" t="s">
        <v>3011</v>
      </c>
      <c r="V722" s="53" t="s">
        <v>3012</v>
      </c>
      <c r="Y722" t="s">
        <v>158</v>
      </c>
      <c r="Z722" t="s">
        <v>70</v>
      </c>
    </row>
    <row r="723" spans="1:26" ht="15.75" hidden="1" customHeight="1">
      <c r="A723" s="60">
        <f>ROW() - ROW(Table1[[#Headers],[s]])</f>
        <v>722</v>
      </c>
      <c r="B723" s="223" t="s">
        <v>3013</v>
      </c>
      <c r="C723" s="272">
        <v>46143</v>
      </c>
      <c r="D723" s="19" t="s">
        <v>3014</v>
      </c>
      <c r="E723" t="e" vm="238">
        <v>#VALUE!</v>
      </c>
      <c r="F723" t="e" vm="10">
        <v>#VALUE!</v>
      </c>
      <c r="G723" s="5" t="s">
        <v>174</v>
      </c>
      <c r="H723" t="s">
        <v>152</v>
      </c>
      <c r="J723" s="18" t="s">
        <v>153</v>
      </c>
      <c r="K723" t="s">
        <v>154</v>
      </c>
      <c r="L723" s="20">
        <v>46145.607638888891</v>
      </c>
      <c r="M723" s="18" t="s">
        <v>78</v>
      </c>
      <c r="N723" s="55" t="s">
        <v>78</v>
      </c>
      <c r="O723" s="44">
        <v>46086.65625</v>
      </c>
      <c r="P723" s="44">
        <v>46086.673611111109</v>
      </c>
      <c r="Q723" s="44">
        <v>46145.715277777781</v>
      </c>
      <c r="R723" s="44">
        <v>46086.607638888891</v>
      </c>
      <c r="S723" s="21" t="s">
        <v>663</v>
      </c>
      <c r="T723" s="18" t="s">
        <v>164</v>
      </c>
      <c r="V723" s="21" t="s">
        <v>183</v>
      </c>
      <c r="Y723" t="s">
        <v>158</v>
      </c>
      <c r="Z723" t="s">
        <v>70</v>
      </c>
    </row>
    <row r="724" spans="1:26" ht="15.75" hidden="1" customHeight="1">
      <c r="A724" s="60">
        <f>ROW() - ROW(Table1[[#Headers],[s]])</f>
        <v>723</v>
      </c>
      <c r="B724" s="223" t="s">
        <v>3015</v>
      </c>
      <c r="C724" s="272">
        <v>46143</v>
      </c>
      <c r="D724" s="19" t="s">
        <v>3016</v>
      </c>
      <c r="E724" t="e" vm="238">
        <v>#VALUE!</v>
      </c>
      <c r="F724" t="e" vm="10">
        <v>#VALUE!</v>
      </c>
      <c r="G724" s="5" t="s">
        <v>174</v>
      </c>
      <c r="H724" t="s">
        <v>152</v>
      </c>
      <c r="J724" s="18" t="s">
        <v>153</v>
      </c>
      <c r="K724" t="s">
        <v>154</v>
      </c>
      <c r="L724" s="20">
        <v>46145.643750000003</v>
      </c>
      <c r="M724" s="18" t="s">
        <v>78</v>
      </c>
      <c r="N724" s="55" t="s">
        <v>78</v>
      </c>
      <c r="O724" s="44">
        <v>46086.697916666664</v>
      </c>
      <c r="P724" s="44">
        <v>46086.71875</v>
      </c>
      <c r="Q724" s="44">
        <v>46145.0625</v>
      </c>
      <c r="S724" s="21" t="s">
        <v>3010</v>
      </c>
      <c r="T724" s="55" t="s">
        <v>3011</v>
      </c>
      <c r="V724" s="53" t="s">
        <v>3012</v>
      </c>
      <c r="Y724" t="s">
        <v>158</v>
      </c>
      <c r="Z724" t="s">
        <v>70</v>
      </c>
    </row>
    <row r="725" spans="1:26" ht="15.75" hidden="1" customHeight="1">
      <c r="A725" s="60">
        <f>ROW() - ROW(Table1[[#Headers],[s]])</f>
        <v>724</v>
      </c>
      <c r="B725" s="223" t="s">
        <v>3017</v>
      </c>
      <c r="C725" s="272">
        <v>46143</v>
      </c>
      <c r="D725" s="19" t="s">
        <v>3018</v>
      </c>
      <c r="E725" t="e" vm="239">
        <v>#VALUE!</v>
      </c>
      <c r="F725" t="e" vm="2">
        <v>#VALUE!</v>
      </c>
      <c r="G725" s="5" t="s">
        <v>36</v>
      </c>
      <c r="H725" t="s">
        <v>152</v>
      </c>
      <c r="I725" t="s">
        <v>43</v>
      </c>
      <c r="J725" s="18" t="s">
        <v>153</v>
      </c>
      <c r="K725" t="s">
        <v>154</v>
      </c>
      <c r="L725" s="20">
        <v>46145.518055555556</v>
      </c>
      <c r="M725" s="18" t="s">
        <v>162</v>
      </c>
      <c r="N725" s="18" t="s">
        <v>162</v>
      </c>
      <c r="O725" s="3"/>
      <c r="P725" s="20"/>
      <c r="Q725" s="22">
        <v>46146.479166666664</v>
      </c>
      <c r="S725" s="21" t="s">
        <v>3019</v>
      </c>
      <c r="T725" s="18" t="s">
        <v>164</v>
      </c>
      <c r="V725" s="21" t="s">
        <v>3020</v>
      </c>
      <c r="Y725" t="s">
        <v>158</v>
      </c>
      <c r="Z725" t="s">
        <v>70</v>
      </c>
    </row>
    <row r="726" spans="1:26" ht="15" hidden="1" customHeight="1">
      <c r="A726" s="60">
        <f>ROW() - ROW(Table1[[#Headers],[s]])</f>
        <v>725</v>
      </c>
      <c r="B726" t="s">
        <v>3021</v>
      </c>
      <c r="C726" s="272">
        <v>46143</v>
      </c>
      <c r="D726" s="19" t="s">
        <v>3022</v>
      </c>
      <c r="E726" t="e" vm="216">
        <v>#VALUE!</v>
      </c>
      <c r="F726" t="e" vm="25">
        <v>#VALUE!</v>
      </c>
      <c r="G726" s="5" t="s">
        <v>36</v>
      </c>
      <c r="H726" t="s">
        <v>152</v>
      </c>
      <c r="I726" t="s">
        <v>43</v>
      </c>
      <c r="J726" s="18" t="s">
        <v>153</v>
      </c>
      <c r="K726" t="s">
        <v>154</v>
      </c>
      <c r="L726" s="20">
        <v>46146.455555555556</v>
      </c>
      <c r="M726" s="18" t="s">
        <v>72</v>
      </c>
      <c r="N726" s="18" t="s">
        <v>72</v>
      </c>
      <c r="O726" s="3"/>
      <c r="P726" s="20"/>
      <c r="Q726" s="22">
        <v>46146.541666666664</v>
      </c>
      <c r="S726" s="21" t="s">
        <v>3023</v>
      </c>
      <c r="T726" s="18" t="s">
        <v>164</v>
      </c>
      <c r="V726" s="21" t="s">
        <v>3024</v>
      </c>
      <c r="Y726" t="s">
        <v>158</v>
      </c>
      <c r="Z726" t="s">
        <v>70</v>
      </c>
    </row>
    <row r="727" spans="1:26" ht="15" hidden="1" customHeight="1">
      <c r="A727" s="60">
        <f>ROW() - ROW(Table1[[#Headers],[s]])</f>
        <v>726</v>
      </c>
      <c r="B727" t="s">
        <v>3025</v>
      </c>
      <c r="C727" s="272">
        <v>46143</v>
      </c>
      <c r="D727" s="19" t="s">
        <v>3026</v>
      </c>
      <c r="E727" t="e" vm="238">
        <v>#VALUE!</v>
      </c>
      <c r="F727" t="e" vm="10">
        <v>#VALUE!</v>
      </c>
      <c r="G727" s="5" t="s">
        <v>36</v>
      </c>
      <c r="H727" t="s">
        <v>152</v>
      </c>
      <c r="I727" t="s">
        <v>43</v>
      </c>
      <c r="J727" s="18" t="s">
        <v>153</v>
      </c>
      <c r="K727" t="s">
        <v>154</v>
      </c>
      <c r="L727" s="20">
        <v>46146.455555555556</v>
      </c>
      <c r="M727" s="18" t="s">
        <v>78</v>
      </c>
      <c r="N727" s="55" t="s">
        <v>78</v>
      </c>
      <c r="O727" s="3"/>
      <c r="P727" s="20"/>
      <c r="Q727" s="22">
        <v>46146.776388888888</v>
      </c>
      <c r="S727" s="21" t="s">
        <v>3027</v>
      </c>
      <c r="T727" s="18" t="s">
        <v>164</v>
      </c>
      <c r="V727" s="21" t="s">
        <v>3028</v>
      </c>
      <c r="Y727" t="s">
        <v>158</v>
      </c>
      <c r="Z727" t="s">
        <v>70</v>
      </c>
    </row>
    <row r="728" spans="1:26" ht="15" hidden="1" customHeight="1">
      <c r="A728" s="60">
        <f>ROW() - ROW(Table1[[#Headers],[s]])</f>
        <v>727</v>
      </c>
      <c r="B728" t="s">
        <v>3029</v>
      </c>
      <c r="C728" s="272">
        <v>46143</v>
      </c>
      <c r="D728" s="19" t="s">
        <v>3030</v>
      </c>
      <c r="E728" t="e" vm="9">
        <v>#VALUE!</v>
      </c>
      <c r="F728" t="e" vm="10">
        <v>#VALUE!</v>
      </c>
      <c r="G728" s="5" t="s">
        <v>36</v>
      </c>
      <c r="H728" t="s">
        <v>152</v>
      </c>
      <c r="I728" t="s">
        <v>43</v>
      </c>
      <c r="J728" s="18" t="s">
        <v>153</v>
      </c>
      <c r="K728" t="s">
        <v>154</v>
      </c>
      <c r="L728" s="20">
        <v>46146.456944444442</v>
      </c>
      <c r="M728" s="18" t="s">
        <v>78</v>
      </c>
      <c r="N728" s="55" t="s">
        <v>78</v>
      </c>
      <c r="O728" s="3"/>
      <c r="P728" s="20"/>
      <c r="Q728" s="22">
        <v>46146.864583333336</v>
      </c>
      <c r="S728" s="21" t="s">
        <v>3031</v>
      </c>
      <c r="T728" s="18" t="s">
        <v>164</v>
      </c>
      <c r="V728" s="21" t="s">
        <v>761</v>
      </c>
      <c r="Y728" t="s">
        <v>158</v>
      </c>
      <c r="Z728" t="s">
        <v>70</v>
      </c>
    </row>
    <row r="729" spans="1:26" ht="15" hidden="1" customHeight="1">
      <c r="A729" s="60">
        <f>ROW() - ROW(Table1[[#Headers],[s]])</f>
        <v>728</v>
      </c>
      <c r="B729" t="s">
        <v>3032</v>
      </c>
      <c r="C729" s="272">
        <v>46143</v>
      </c>
      <c r="D729" s="19" t="s">
        <v>3033</v>
      </c>
      <c r="E729" t="e" vm="69">
        <v>#VALUE!</v>
      </c>
      <c r="F729" t="e" vm="2">
        <v>#VALUE!</v>
      </c>
      <c r="G729" s="5" t="s">
        <v>36</v>
      </c>
      <c r="H729" t="s">
        <v>152</v>
      </c>
      <c r="I729" t="s">
        <v>43</v>
      </c>
      <c r="J729" s="18" t="s">
        <v>153</v>
      </c>
      <c r="K729" t="s">
        <v>154</v>
      </c>
      <c r="L729" s="20">
        <v>46146.456944444442</v>
      </c>
      <c r="M729" s="18" t="s">
        <v>162</v>
      </c>
      <c r="N729" s="18" t="s">
        <v>162</v>
      </c>
      <c r="O729" s="3"/>
      <c r="P729" s="20"/>
      <c r="Q729" s="22">
        <v>46146.659722222219</v>
      </c>
      <c r="S729" s="21" t="s">
        <v>3034</v>
      </c>
      <c r="T729" s="18" t="s">
        <v>164</v>
      </c>
      <c r="V729" s="21" t="s">
        <v>3035</v>
      </c>
      <c r="Y729" t="s">
        <v>158</v>
      </c>
      <c r="Z729" t="s">
        <v>70</v>
      </c>
    </row>
    <row r="730" spans="1:26" ht="15" hidden="1" customHeight="1">
      <c r="A730" s="60">
        <f>ROW() - ROW(Table1[[#Headers],[s]])</f>
        <v>729</v>
      </c>
      <c r="B730" t="s">
        <v>3036</v>
      </c>
      <c r="C730" s="163">
        <v>46143</v>
      </c>
      <c r="D730" s="52" t="s">
        <v>3037</v>
      </c>
      <c r="E730" t="e" vm="187">
        <v>#VALUE!</v>
      </c>
      <c r="F730" t="e" vm="16">
        <v>#VALUE!</v>
      </c>
      <c r="G730" s="43" t="s">
        <v>36</v>
      </c>
      <c r="H730" t="s">
        <v>152</v>
      </c>
      <c r="I730" t="s">
        <v>43</v>
      </c>
      <c r="J730" s="18" t="s">
        <v>153</v>
      </c>
      <c r="K730" s="42" t="s">
        <v>154</v>
      </c>
      <c r="L730" s="44">
        <v>46146.491666666669</v>
      </c>
      <c r="M730" s="18" t="s">
        <v>1937</v>
      </c>
      <c r="N730" s="55" t="s">
        <v>1937</v>
      </c>
      <c r="O730" s="56"/>
      <c r="Q730" s="58">
        <v>46146.652777777781</v>
      </c>
      <c r="S730" s="21" t="s">
        <v>3038</v>
      </c>
      <c r="T730" s="18" t="s">
        <v>164</v>
      </c>
      <c r="V730" s="53" t="s">
        <v>3039</v>
      </c>
      <c r="Y730" t="s">
        <v>203</v>
      </c>
      <c r="Z730" t="s">
        <v>70</v>
      </c>
    </row>
    <row r="731" spans="1:26" ht="15" hidden="1" customHeight="1">
      <c r="A731" s="60">
        <f>ROW() - ROW(Table1[[#Headers],[s]])</f>
        <v>730</v>
      </c>
      <c r="B731" s="210" t="s">
        <v>777</v>
      </c>
      <c r="C731" s="163">
        <v>46143</v>
      </c>
      <c r="D731" s="52" t="s">
        <v>3040</v>
      </c>
      <c r="E731" t="e" vm="99">
        <v>#VALUE!</v>
      </c>
      <c r="F731" t="e" vm="35">
        <v>#VALUE!</v>
      </c>
      <c r="G731" s="43" t="s">
        <v>36</v>
      </c>
      <c r="H731" t="s">
        <v>152</v>
      </c>
      <c r="I731" t="s">
        <v>43</v>
      </c>
      <c r="J731" s="18" t="s">
        <v>153</v>
      </c>
      <c r="K731" s="42" t="s">
        <v>154</v>
      </c>
      <c r="L731" s="44">
        <v>46146.50277777778</v>
      </c>
      <c r="M731" s="55" t="s">
        <v>85</v>
      </c>
      <c r="N731" s="55" t="s">
        <v>85</v>
      </c>
      <c r="O731" s="56"/>
      <c r="Q731" s="58">
        <v>46146.645833333336</v>
      </c>
      <c r="S731" s="21" t="s">
        <v>3041</v>
      </c>
      <c r="T731" s="18" t="s">
        <v>164</v>
      </c>
      <c r="V731" s="53" t="s">
        <v>3042</v>
      </c>
      <c r="Y731" t="s">
        <v>158</v>
      </c>
      <c r="Z731" t="s">
        <v>70</v>
      </c>
    </row>
    <row r="732" spans="1:26" ht="15" hidden="1" customHeight="1">
      <c r="A732" s="60">
        <f>ROW() - ROW(Table1[[#Headers],[s]])</f>
        <v>731</v>
      </c>
      <c r="B732" t="s">
        <v>3043</v>
      </c>
      <c r="C732" s="272">
        <v>46143</v>
      </c>
      <c r="D732" s="19" t="s">
        <v>3044</v>
      </c>
      <c r="E732" t="e" vm="24">
        <v>#VALUE!</v>
      </c>
      <c r="F732" t="e" vm="25">
        <v>#VALUE!</v>
      </c>
      <c r="G732" s="43" t="s">
        <v>36</v>
      </c>
      <c r="H732" t="s">
        <v>152</v>
      </c>
      <c r="I732" t="s">
        <v>43</v>
      </c>
      <c r="J732" s="18" t="s">
        <v>153</v>
      </c>
      <c r="K732" s="42" t="s">
        <v>154</v>
      </c>
      <c r="L732" s="20">
        <v>46146.506944444445</v>
      </c>
      <c r="M732" s="18" t="s">
        <v>72</v>
      </c>
      <c r="N732" s="18" t="s">
        <v>72</v>
      </c>
      <c r="O732" s="3"/>
      <c r="Q732" s="22">
        <v>46146.638888888891</v>
      </c>
      <c r="S732" s="21" t="s">
        <v>3045</v>
      </c>
      <c r="T732" s="18" t="s">
        <v>164</v>
      </c>
      <c r="V732" s="21" t="s">
        <v>1461</v>
      </c>
      <c r="Y732" t="s">
        <v>158</v>
      </c>
      <c r="Z732" t="s">
        <v>70</v>
      </c>
    </row>
    <row r="733" spans="1:26" ht="15" hidden="1" customHeight="1">
      <c r="A733" s="60">
        <f>ROW() - ROW(Table1[[#Headers],[s]])</f>
        <v>732</v>
      </c>
      <c r="B733" t="s">
        <v>2979</v>
      </c>
      <c r="C733" s="272">
        <v>46143</v>
      </c>
      <c r="D733" s="19" t="s">
        <v>3046</v>
      </c>
      <c r="E733" t="e" vm="114">
        <v>#VALUE!</v>
      </c>
      <c r="F733" t="e" vm="5">
        <v>#VALUE!</v>
      </c>
      <c r="G733" s="5" t="s">
        <v>36</v>
      </c>
      <c r="H733" t="s">
        <v>747</v>
      </c>
      <c r="I733" t="s">
        <v>43</v>
      </c>
      <c r="J733" s="18" t="s">
        <v>253</v>
      </c>
      <c r="K733" t="s">
        <v>154</v>
      </c>
      <c r="L733" s="20">
        <v>46146.511805555558</v>
      </c>
      <c r="M733" s="18" t="s">
        <v>55</v>
      </c>
      <c r="N733" s="18" t="s">
        <v>55</v>
      </c>
      <c r="O733" s="3"/>
      <c r="Q733" s="22">
        <v>46146.630555555559</v>
      </c>
      <c r="S733" s="21" t="s">
        <v>3047</v>
      </c>
      <c r="T733" s="18" t="s">
        <v>164</v>
      </c>
      <c r="V733" s="21" t="s">
        <v>2201</v>
      </c>
      <c r="Y733" t="s">
        <v>158</v>
      </c>
      <c r="Z733" t="s">
        <v>158</v>
      </c>
    </row>
    <row r="734" spans="1:26" ht="15" hidden="1" customHeight="1">
      <c r="A734" s="60">
        <f>ROW() - ROW(Table1[[#Headers],[s]])</f>
        <v>733</v>
      </c>
      <c r="B734" t="s">
        <v>3048</v>
      </c>
      <c r="C734" s="272">
        <v>46143</v>
      </c>
      <c r="D734" s="19" t="s">
        <v>3049</v>
      </c>
      <c r="E734" t="e" vm="80">
        <v>#VALUE!</v>
      </c>
      <c r="F734" t="e" vm="10">
        <v>#VALUE!</v>
      </c>
      <c r="G734" s="5" t="s">
        <v>36</v>
      </c>
      <c r="H734" t="s">
        <v>152</v>
      </c>
      <c r="I734" t="s">
        <v>43</v>
      </c>
      <c r="J734" s="18" t="s">
        <v>153</v>
      </c>
      <c r="K734" t="s">
        <v>154</v>
      </c>
      <c r="L734" s="20">
        <v>46146.708333333336</v>
      </c>
      <c r="M734" s="18" t="s">
        <v>78</v>
      </c>
      <c r="N734" s="55" t="s">
        <v>78</v>
      </c>
      <c r="O734" s="3"/>
      <c r="Q734" s="22">
        <v>46146.8125</v>
      </c>
      <c r="S734" s="21" t="s">
        <v>3050</v>
      </c>
      <c r="T734" s="18" t="s">
        <v>164</v>
      </c>
      <c r="V734" s="21" t="s">
        <v>3051</v>
      </c>
      <c r="Y734" t="s">
        <v>158</v>
      </c>
      <c r="Z734" t="s">
        <v>70</v>
      </c>
    </row>
    <row r="735" spans="1:26" ht="15" hidden="1" customHeight="1">
      <c r="A735" s="60">
        <f>ROW() - ROW(Table1[[#Headers],[s]])</f>
        <v>734</v>
      </c>
      <c r="B735" t="s">
        <v>3052</v>
      </c>
      <c r="C735" s="272">
        <v>46143</v>
      </c>
      <c r="D735" s="19" t="s">
        <v>3053</v>
      </c>
      <c r="E735" t="e" vm="9">
        <v>#VALUE!</v>
      </c>
      <c r="F735" t="e" vm="10">
        <v>#VALUE!</v>
      </c>
      <c r="G735" s="5" t="s">
        <v>36</v>
      </c>
      <c r="H735" t="s">
        <v>152</v>
      </c>
      <c r="I735" t="s">
        <v>43</v>
      </c>
      <c r="J735" s="18" t="s">
        <v>153</v>
      </c>
      <c r="K735" t="s">
        <v>154</v>
      </c>
      <c r="L735" s="20">
        <v>46146.72152777778</v>
      </c>
      <c r="M735" s="18" t="s">
        <v>78</v>
      </c>
      <c r="N735" s="55" t="s">
        <v>78</v>
      </c>
      <c r="O735" s="3"/>
      <c r="Q735" s="22">
        <v>46146.847222222219</v>
      </c>
      <c r="S735" s="21" t="s">
        <v>3054</v>
      </c>
      <c r="T735" s="18" t="s">
        <v>164</v>
      </c>
      <c r="V735" s="21" t="s">
        <v>3055</v>
      </c>
      <c r="Y735" t="s">
        <v>158</v>
      </c>
      <c r="Z735" t="s">
        <v>70</v>
      </c>
    </row>
    <row r="736" spans="1:26" ht="15" hidden="1" customHeight="1">
      <c r="A736" s="60">
        <f>ROW() - ROW(Table1[[#Headers],[s]])</f>
        <v>735</v>
      </c>
      <c r="B736" t="s">
        <v>3056</v>
      </c>
      <c r="C736" s="181" t="s">
        <v>60</v>
      </c>
      <c r="D736" s="52" t="s">
        <v>3057</v>
      </c>
      <c r="E736" t="e" vm="240">
        <v>#VALUE!</v>
      </c>
      <c r="F736" t="e" vm="7">
        <v>#VALUE!</v>
      </c>
      <c r="G736" s="43" t="s">
        <v>36</v>
      </c>
      <c r="H736" t="s">
        <v>152</v>
      </c>
      <c r="I736" t="s">
        <v>60</v>
      </c>
      <c r="J736" s="18" t="s">
        <v>153</v>
      </c>
      <c r="K736" s="42" t="s">
        <v>1345</v>
      </c>
      <c r="L736" s="44">
        <v>46146.730555555558</v>
      </c>
      <c r="M736" s="55" t="s">
        <v>68</v>
      </c>
      <c r="N736" s="55" t="s">
        <v>68</v>
      </c>
      <c r="O736" s="56"/>
      <c r="Q736" s="58">
        <v>46146.916666666664</v>
      </c>
      <c r="S736" s="21" t="s">
        <v>3058</v>
      </c>
      <c r="T736" s="18" t="s">
        <v>179</v>
      </c>
      <c r="V736" s="21" t="s">
        <v>3058</v>
      </c>
      <c r="Y736" t="s">
        <v>179</v>
      </c>
      <c r="Z736" t="s">
        <v>179</v>
      </c>
    </row>
    <row r="737" spans="1:26" ht="15" hidden="1" customHeight="1">
      <c r="A737" s="60">
        <f>ROW() - ROW(Table1[[#Headers],[s]])</f>
        <v>736</v>
      </c>
      <c r="B737" t="s">
        <v>3059</v>
      </c>
      <c r="C737" s="181" t="s">
        <v>60</v>
      </c>
      <c r="D737" s="19" t="s">
        <v>3060</v>
      </c>
      <c r="E737" t="e" vm="240">
        <v>#VALUE!</v>
      </c>
      <c r="F737" t="e" vm="7">
        <v>#VALUE!</v>
      </c>
      <c r="G737" s="43" t="s">
        <v>36</v>
      </c>
      <c r="H737" t="s">
        <v>152</v>
      </c>
      <c r="I737" t="s">
        <v>60</v>
      </c>
      <c r="J737" s="18" t="s">
        <v>153</v>
      </c>
      <c r="K737" s="42" t="s">
        <v>1345</v>
      </c>
      <c r="L737" s="20">
        <v>46146.737500000003</v>
      </c>
      <c r="M737" s="55" t="s">
        <v>68</v>
      </c>
      <c r="N737" s="55" t="s">
        <v>68</v>
      </c>
      <c r="O737" s="3"/>
      <c r="Q737" s="58">
        <v>46146.916666666664</v>
      </c>
      <c r="S737" s="21" t="s">
        <v>3058</v>
      </c>
      <c r="T737" s="18" t="s">
        <v>179</v>
      </c>
      <c r="V737" s="21" t="s">
        <v>3058</v>
      </c>
      <c r="Y737" t="s">
        <v>179</v>
      </c>
      <c r="Z737" t="s">
        <v>179</v>
      </c>
    </row>
    <row r="738" spans="1:26" ht="15" hidden="1" customHeight="1">
      <c r="A738" s="60">
        <f>ROW() - ROW(Table1[[#Headers],[s]])</f>
        <v>737</v>
      </c>
      <c r="B738" t="s">
        <v>3061</v>
      </c>
      <c r="C738" s="181" t="s">
        <v>60</v>
      </c>
      <c r="D738" s="19" t="s">
        <v>3062</v>
      </c>
      <c r="E738" t="e" vm="240">
        <v>#VALUE!</v>
      </c>
      <c r="F738" t="e" vm="7">
        <v>#VALUE!</v>
      </c>
      <c r="G738" s="43" t="s">
        <v>36</v>
      </c>
      <c r="H738" t="s">
        <v>152</v>
      </c>
      <c r="I738" t="s">
        <v>60</v>
      </c>
      <c r="J738" s="18" t="s">
        <v>153</v>
      </c>
      <c r="K738" s="42" t="s">
        <v>1345</v>
      </c>
      <c r="L738" s="20">
        <v>46146.738194444442</v>
      </c>
      <c r="M738" s="55" t="s">
        <v>68</v>
      </c>
      <c r="N738" s="55" t="s">
        <v>68</v>
      </c>
      <c r="O738" s="3"/>
      <c r="Q738" s="58">
        <v>46146.916666666664</v>
      </c>
      <c r="S738" s="21" t="s">
        <v>3058</v>
      </c>
      <c r="T738" s="18" t="s">
        <v>179</v>
      </c>
      <c r="V738" s="21" t="s">
        <v>3058</v>
      </c>
      <c r="Y738" t="s">
        <v>179</v>
      </c>
      <c r="Z738" t="s">
        <v>179</v>
      </c>
    </row>
    <row r="739" spans="1:26" ht="15" hidden="1" customHeight="1">
      <c r="A739" s="60">
        <f>ROW() - ROW(Table1[[#Headers],[s]])</f>
        <v>738</v>
      </c>
      <c r="B739" t="s">
        <v>3063</v>
      </c>
      <c r="C739" s="272">
        <v>46143</v>
      </c>
      <c r="D739" s="19" t="s">
        <v>3064</v>
      </c>
      <c r="E739" t="e" vm="213">
        <v>#VALUE!</v>
      </c>
      <c r="F739" t="e" vm="40">
        <v>#VALUE!</v>
      </c>
      <c r="G739" s="5" t="s">
        <v>174</v>
      </c>
      <c r="H739" t="s">
        <v>152</v>
      </c>
      <c r="J739" s="18" t="s">
        <v>153</v>
      </c>
      <c r="K739" t="s">
        <v>154</v>
      </c>
      <c r="L739" s="20">
        <v>46147.449305555558</v>
      </c>
      <c r="M739" s="18" t="s">
        <v>602</v>
      </c>
      <c r="N739" s="18" t="s">
        <v>602</v>
      </c>
      <c r="O739" s="3">
        <v>46147.479166666664</v>
      </c>
      <c r="P739" s="3">
        <v>46147.493055555555</v>
      </c>
      <c r="Q739" s="3">
        <v>46147.604166666664</v>
      </c>
      <c r="S739" s="21" t="s">
        <v>3065</v>
      </c>
      <c r="T739" s="18" t="s">
        <v>478</v>
      </c>
      <c r="V739" s="21" t="s">
        <v>2538</v>
      </c>
      <c r="Y739" t="s">
        <v>158</v>
      </c>
      <c r="Z739" t="s">
        <v>70</v>
      </c>
    </row>
    <row r="740" spans="1:26" ht="15" hidden="1" customHeight="1">
      <c r="A740" s="60">
        <f>ROW() - ROW(Table1[[#Headers],[s]])</f>
        <v>739</v>
      </c>
      <c r="B740" t="s">
        <v>3066</v>
      </c>
      <c r="C740" s="272">
        <v>46143</v>
      </c>
      <c r="D740" s="19" t="s">
        <v>3067</v>
      </c>
      <c r="E740" t="e" vm="9">
        <v>#VALUE!</v>
      </c>
      <c r="F740" t="e" vm="10">
        <v>#VALUE!</v>
      </c>
      <c r="G740" s="5" t="s">
        <v>174</v>
      </c>
      <c r="H740" t="s">
        <v>152</v>
      </c>
      <c r="J740" s="18" t="s">
        <v>153</v>
      </c>
      <c r="K740" t="s">
        <v>154</v>
      </c>
      <c r="L740" s="20">
        <v>46147.477083333331</v>
      </c>
      <c r="M740" s="18" t="s">
        <v>78</v>
      </c>
      <c r="N740" s="55" t="s">
        <v>78</v>
      </c>
      <c r="O740" s="20">
        <v>46147.520833333336</v>
      </c>
      <c r="P740" s="20">
        <v>46147.548611111109</v>
      </c>
      <c r="Q740" s="20">
        <v>46147.583333333336</v>
      </c>
      <c r="S740" s="21" t="s">
        <v>3068</v>
      </c>
      <c r="T740" s="18" t="s">
        <v>653</v>
      </c>
      <c r="V740" s="21" t="s">
        <v>3069</v>
      </c>
      <c r="Y740" t="s">
        <v>158</v>
      </c>
      <c r="Z740" t="s">
        <v>70</v>
      </c>
    </row>
    <row r="741" spans="1:26" ht="15" hidden="1" customHeight="1">
      <c r="A741" s="60">
        <f>ROW() - ROW(Table1[[#Headers],[s]])</f>
        <v>740</v>
      </c>
      <c r="B741" t="s">
        <v>3070</v>
      </c>
      <c r="C741" s="272">
        <v>46143</v>
      </c>
      <c r="D741" s="19" t="s">
        <v>3071</v>
      </c>
      <c r="E741" t="e" vm="241">
        <v>#VALUE!</v>
      </c>
      <c r="F741" t="e" vm="2">
        <v>#VALUE!</v>
      </c>
      <c r="G741" s="5" t="s">
        <v>174</v>
      </c>
      <c r="H741" t="s">
        <v>152</v>
      </c>
      <c r="J741" s="18" t="s">
        <v>153</v>
      </c>
      <c r="K741" t="s">
        <v>154</v>
      </c>
      <c r="L741" s="20">
        <v>46147.489583333336</v>
      </c>
      <c r="M741" s="18" t="s">
        <v>162</v>
      </c>
      <c r="N741" s="18" t="s">
        <v>162</v>
      </c>
      <c r="O741" s="20">
        <v>46147.555555555555</v>
      </c>
      <c r="P741" s="20">
        <v>46147.572916666664</v>
      </c>
      <c r="Q741" s="20">
        <v>46147.631944444445</v>
      </c>
      <c r="S741" s="21" t="s">
        <v>473</v>
      </c>
      <c r="T741" s="18" t="s">
        <v>266</v>
      </c>
      <c r="V741" s="21" t="s">
        <v>3072</v>
      </c>
      <c r="Y741" t="s">
        <v>158</v>
      </c>
      <c r="Z741" t="s">
        <v>158</v>
      </c>
    </row>
    <row r="742" spans="1:26" ht="15" hidden="1" customHeight="1">
      <c r="A742" s="60">
        <f>ROW() - ROW(Table1[[#Headers],[s]])</f>
        <v>741</v>
      </c>
      <c r="B742" t="s">
        <v>3073</v>
      </c>
      <c r="C742" s="272">
        <v>46143</v>
      </c>
      <c r="D742" s="19" t="s">
        <v>3074</v>
      </c>
      <c r="E742" t="s">
        <v>898</v>
      </c>
      <c r="F742" t="e" vm="25">
        <v>#VALUE!</v>
      </c>
      <c r="G742" s="5" t="s">
        <v>174</v>
      </c>
      <c r="H742" t="s">
        <v>152</v>
      </c>
      <c r="J742" s="18" t="s">
        <v>153</v>
      </c>
      <c r="K742" t="s">
        <v>154</v>
      </c>
      <c r="L742" s="20">
        <v>46147.573611111111</v>
      </c>
      <c r="M742" s="18" t="s">
        <v>72</v>
      </c>
      <c r="N742" s="18" t="s">
        <v>72</v>
      </c>
      <c r="O742" s="20">
        <v>46147.635416666664</v>
      </c>
      <c r="P742" s="20">
        <v>46147.645833333336</v>
      </c>
      <c r="Q742" s="20">
        <v>46147.677083333336</v>
      </c>
      <c r="S742" s="21" t="s">
        <v>3075</v>
      </c>
      <c r="T742" s="18" t="s">
        <v>3076</v>
      </c>
      <c r="V742" s="21" t="s">
        <v>3077</v>
      </c>
      <c r="Y742" t="s">
        <v>158</v>
      </c>
      <c r="Z742" t="s">
        <v>70</v>
      </c>
    </row>
    <row r="743" spans="1:26" ht="15" hidden="1" customHeight="1">
      <c r="A743" s="60">
        <f>ROW() - ROW(Table1[[#Headers],[s]])</f>
        <v>742</v>
      </c>
      <c r="B743" t="s">
        <v>3078</v>
      </c>
      <c r="C743" s="272">
        <v>46143</v>
      </c>
      <c r="D743" s="19" t="s">
        <v>3079</v>
      </c>
      <c r="E743" t="e" vm="238">
        <v>#VALUE!</v>
      </c>
      <c r="F743" t="e" vm="10">
        <v>#VALUE!</v>
      </c>
      <c r="G743" s="5" t="s">
        <v>174</v>
      </c>
      <c r="H743" t="s">
        <v>152</v>
      </c>
      <c r="J743" s="18" t="s">
        <v>153</v>
      </c>
      <c r="K743" t="s">
        <v>154</v>
      </c>
      <c r="L743" s="20">
        <v>46147.65347222222</v>
      </c>
      <c r="M743" s="18" t="s">
        <v>78</v>
      </c>
      <c r="N743" s="55" t="s">
        <v>78</v>
      </c>
      <c r="O743" s="20">
        <v>46147.71875</v>
      </c>
      <c r="P743" s="20">
        <v>46147.739583333336</v>
      </c>
      <c r="Q743" s="20">
        <v>46147.78125</v>
      </c>
      <c r="S743" s="21" t="s">
        <v>3080</v>
      </c>
      <c r="T743" s="18" t="s">
        <v>3081</v>
      </c>
      <c r="V743" s="21" t="s">
        <v>758</v>
      </c>
      <c r="Y743" t="s">
        <v>158</v>
      </c>
      <c r="Z743" t="s">
        <v>70</v>
      </c>
    </row>
    <row r="744" spans="1:26" ht="15" hidden="1" customHeight="1">
      <c r="A744" s="60">
        <f>ROW() - ROW(Table1[[#Headers],[s]])</f>
        <v>743</v>
      </c>
      <c r="B744" t="s">
        <v>3082</v>
      </c>
      <c r="C744" s="272">
        <v>46143</v>
      </c>
      <c r="D744" t="s">
        <v>3083</v>
      </c>
      <c r="E744" t="e" vm="131">
        <v>#VALUE!</v>
      </c>
      <c r="F744" t="e" vm="25">
        <v>#VALUE!</v>
      </c>
      <c r="G744" s="5" t="s">
        <v>174</v>
      </c>
      <c r="H744" t="s">
        <v>152</v>
      </c>
      <c r="J744" s="18" t="s">
        <v>153</v>
      </c>
      <c r="K744" t="s">
        <v>154</v>
      </c>
      <c r="L744" s="20">
        <v>46147.659722222219</v>
      </c>
      <c r="M744" s="18" t="s">
        <v>72</v>
      </c>
      <c r="N744" s="18" t="s">
        <v>72</v>
      </c>
      <c r="O744" s="20">
        <v>46147.6875</v>
      </c>
      <c r="P744" s="20">
        <v>46147.715277777781</v>
      </c>
      <c r="Q744" s="20">
        <v>46147.746527777781</v>
      </c>
      <c r="S744" s="21" t="s">
        <v>3084</v>
      </c>
      <c r="T744" s="18" t="s">
        <v>3081</v>
      </c>
      <c r="V744" s="21" t="s">
        <v>3012</v>
      </c>
      <c r="Y744" t="s">
        <v>158</v>
      </c>
      <c r="Z744" t="s">
        <v>70</v>
      </c>
    </row>
    <row r="745" spans="1:26" ht="15" hidden="1" customHeight="1">
      <c r="A745" s="60">
        <f>ROW() - ROW(Table1[[#Headers],[s]])</f>
        <v>744</v>
      </c>
      <c r="B745" t="s">
        <v>3085</v>
      </c>
      <c r="C745" s="272">
        <v>46143</v>
      </c>
      <c r="D745" s="19" t="s">
        <v>3086</v>
      </c>
      <c r="E745" t="e" vm="94">
        <v>#VALUE!</v>
      </c>
      <c r="F745" t="e" vm="17">
        <v>#VALUE!</v>
      </c>
      <c r="G745" s="5" t="s">
        <v>1057</v>
      </c>
      <c r="H745" t="s">
        <v>152</v>
      </c>
      <c r="I745" s="233" t="s">
        <v>43</v>
      </c>
      <c r="J745" s="18" t="s">
        <v>153</v>
      </c>
      <c r="K745" t="s">
        <v>154</v>
      </c>
      <c r="L745" s="20">
        <v>46147.479166666664</v>
      </c>
      <c r="M745" s="169" t="s">
        <v>1484</v>
      </c>
      <c r="N745" s="169" t="s">
        <v>1484</v>
      </c>
      <c r="O745" s="3">
        <v>46147.833333333336</v>
      </c>
      <c r="P745" s="3">
        <v>46147.833333333336</v>
      </c>
      <c r="Q745" s="3">
        <v>46147.677083333336</v>
      </c>
      <c r="S745" s="21" t="s">
        <v>3087</v>
      </c>
      <c r="T745" s="18" t="s">
        <v>3076</v>
      </c>
      <c r="V745" s="21" t="s">
        <v>3088</v>
      </c>
      <c r="Y745" t="s">
        <v>158</v>
      </c>
      <c r="Z745" t="s">
        <v>70</v>
      </c>
    </row>
    <row r="746" spans="1:26" ht="15" hidden="1" customHeight="1">
      <c r="A746" s="60">
        <f>ROW() - ROW(Table1[[#Headers],[s]])</f>
        <v>745</v>
      </c>
      <c r="B746" t="s">
        <v>3089</v>
      </c>
      <c r="C746" s="272">
        <v>46143</v>
      </c>
      <c r="D746" s="19" t="s">
        <v>3090</v>
      </c>
      <c r="E746" t="e" vm="58">
        <v>#VALUE!</v>
      </c>
      <c r="F746" t="e" vm="25">
        <v>#VALUE!</v>
      </c>
      <c r="G746" s="5" t="s">
        <v>1057</v>
      </c>
      <c r="H746" t="s">
        <v>152</v>
      </c>
      <c r="I746" s="233" t="s">
        <v>43</v>
      </c>
      <c r="J746" s="18" t="s">
        <v>153</v>
      </c>
      <c r="K746" t="s">
        <v>154</v>
      </c>
      <c r="L746" s="20">
        <v>46147.621527777781</v>
      </c>
      <c r="M746" s="18" t="s">
        <v>72</v>
      </c>
      <c r="N746" s="18" t="s">
        <v>72</v>
      </c>
      <c r="O746" s="3">
        <v>46147.770833333336</v>
      </c>
      <c r="P746" s="3">
        <v>46147.791666666664</v>
      </c>
      <c r="Q746" s="3">
        <v>46148.517361111109</v>
      </c>
      <c r="S746" s="21" t="s">
        <v>3091</v>
      </c>
      <c r="T746" s="18" t="s">
        <v>3076</v>
      </c>
      <c r="V746" s="21" t="s">
        <v>3092</v>
      </c>
      <c r="Y746" t="s">
        <v>158</v>
      </c>
      <c r="Z746" t="s">
        <v>70</v>
      </c>
    </row>
    <row r="747" spans="1:26" ht="15" hidden="1" customHeight="1">
      <c r="A747" s="60">
        <f>ROW() - ROW(Table1[[#Headers],[s]])</f>
        <v>746</v>
      </c>
      <c r="B747" t="s">
        <v>3093</v>
      </c>
      <c r="C747" s="181" t="s">
        <v>60</v>
      </c>
      <c r="D747" s="19" t="s">
        <v>3094</v>
      </c>
      <c r="E747" t="e" vm="58">
        <v>#VALUE!</v>
      </c>
      <c r="F747" t="e" vm="25">
        <v>#VALUE!</v>
      </c>
      <c r="G747" s="5" t="s">
        <v>1057</v>
      </c>
      <c r="H747" t="s">
        <v>152</v>
      </c>
      <c r="I747" t="s">
        <v>60</v>
      </c>
      <c r="J747" s="18" t="s">
        <v>153</v>
      </c>
      <c r="K747" t="s">
        <v>1345</v>
      </c>
      <c r="L747" s="20">
        <v>46147.621527777781</v>
      </c>
      <c r="M747" s="18" t="s">
        <v>72</v>
      </c>
      <c r="N747" s="18" t="s">
        <v>72</v>
      </c>
      <c r="O747" s="3">
        <v>46147.770833333336</v>
      </c>
      <c r="P747" s="3">
        <v>46147.791666666664</v>
      </c>
      <c r="Q747" s="3">
        <v>46148.517361111109</v>
      </c>
      <c r="S747" s="21" t="s">
        <v>1345</v>
      </c>
      <c r="T747" s="18" t="s">
        <v>179</v>
      </c>
      <c r="Y747" t="s">
        <v>179</v>
      </c>
      <c r="Z747" t="s">
        <v>179</v>
      </c>
    </row>
    <row r="748" spans="1:26" ht="15" hidden="1" customHeight="1">
      <c r="A748" s="60">
        <f>ROW() - ROW(Table1[[#Headers],[s]])</f>
        <v>747</v>
      </c>
      <c r="B748" t="s">
        <v>3095</v>
      </c>
      <c r="C748" s="272">
        <v>46143</v>
      </c>
      <c r="D748" s="19" t="s">
        <v>3096</v>
      </c>
      <c r="E748" t="e" vm="77">
        <v>#VALUE!</v>
      </c>
      <c r="F748" t="e" vm="46">
        <v>#VALUE!</v>
      </c>
      <c r="G748" s="5" t="s">
        <v>3097</v>
      </c>
      <c r="H748" t="s">
        <v>245</v>
      </c>
      <c r="I748" s="314" t="s">
        <v>43</v>
      </c>
      <c r="J748" s="18" t="s">
        <v>253</v>
      </c>
      <c r="K748" t="s">
        <v>154</v>
      </c>
      <c r="L748" s="20">
        <v>46148.018055555556</v>
      </c>
      <c r="M748" s="18" t="s">
        <v>59</v>
      </c>
      <c r="N748" s="18" t="s">
        <v>59</v>
      </c>
      <c r="O748" s="20">
        <v>46148.333333333336</v>
      </c>
      <c r="P748" s="20">
        <v>46148.347222222219</v>
      </c>
      <c r="Q748" s="20">
        <v>46148.64166666667</v>
      </c>
      <c r="S748" s="21" t="s">
        <v>3098</v>
      </c>
      <c r="T748" s="18" t="s">
        <v>478</v>
      </c>
      <c r="V748" s="21" t="s">
        <v>3099</v>
      </c>
      <c r="Y748" t="s">
        <v>158</v>
      </c>
      <c r="Z748" t="s">
        <v>70</v>
      </c>
    </row>
    <row r="749" spans="1:26" ht="15" hidden="1" customHeight="1">
      <c r="A749" s="60">
        <f>ROW() - ROW(Table1[[#Headers],[s]])</f>
        <v>748</v>
      </c>
      <c r="B749" t="s">
        <v>2979</v>
      </c>
      <c r="C749" s="23" t="s">
        <v>60</v>
      </c>
      <c r="D749" s="19" t="s">
        <v>3100</v>
      </c>
      <c r="E749" t="e" vm="106">
        <v>#VALUE!</v>
      </c>
      <c r="F749" t="e" vm="5">
        <v>#VALUE!</v>
      </c>
      <c r="G749" s="5" t="s">
        <v>1057</v>
      </c>
      <c r="H749" t="s">
        <v>747</v>
      </c>
      <c r="I749" t="s">
        <v>60</v>
      </c>
      <c r="J749" s="18" t="s">
        <v>253</v>
      </c>
      <c r="K749" t="s">
        <v>3101</v>
      </c>
      <c r="L749" s="20">
        <v>46148.365972222222</v>
      </c>
      <c r="M749" s="18" t="s">
        <v>55</v>
      </c>
      <c r="N749" s="18"/>
      <c r="O749" s="20">
        <v>46148.381944444445</v>
      </c>
      <c r="P749" s="20">
        <v>46148.381944444445</v>
      </c>
      <c r="Q749" s="20">
        <v>46148.385416666664</v>
      </c>
      <c r="S749" s="21" t="s">
        <v>3102</v>
      </c>
      <c r="T749" s="18" t="s">
        <v>2926</v>
      </c>
      <c r="V749" s="21" t="s">
        <v>3102</v>
      </c>
      <c r="Y749" t="s">
        <v>179</v>
      </c>
      <c r="Z749" t="s">
        <v>179</v>
      </c>
    </row>
    <row r="750" spans="1:26" ht="15" hidden="1" customHeight="1">
      <c r="A750" s="60">
        <f>ROW() - ROW(Table1[[#Headers],[s]])</f>
        <v>749</v>
      </c>
      <c r="B750" t="s">
        <v>3103</v>
      </c>
      <c r="C750" s="272">
        <v>46143</v>
      </c>
      <c r="D750" s="19" t="s">
        <v>3104</v>
      </c>
      <c r="E750" t="e" vm="83">
        <v>#VALUE!</v>
      </c>
      <c r="F750" t="e" vm="37">
        <v>#VALUE!</v>
      </c>
      <c r="G750" s="5" t="s">
        <v>1057</v>
      </c>
      <c r="H750" t="s">
        <v>152</v>
      </c>
      <c r="I750" s="233" t="s">
        <v>43</v>
      </c>
      <c r="J750" s="18" t="s">
        <v>153</v>
      </c>
      <c r="K750" t="s">
        <v>154</v>
      </c>
      <c r="L750" s="20">
        <v>46148.448611111111</v>
      </c>
      <c r="M750" s="18" t="s">
        <v>59</v>
      </c>
      <c r="N750" s="18" t="s">
        <v>59</v>
      </c>
      <c r="O750" s="3">
        <v>46148.666666666664</v>
      </c>
      <c r="P750" s="3">
        <v>46148.736111111109</v>
      </c>
      <c r="Q750" s="3">
        <v>46148.8125</v>
      </c>
      <c r="S750" s="21" t="s">
        <v>3105</v>
      </c>
      <c r="T750" s="18" t="s">
        <v>478</v>
      </c>
      <c r="V750" s="21" t="s">
        <v>3106</v>
      </c>
      <c r="Y750" t="s">
        <v>158</v>
      </c>
      <c r="Z750" t="s">
        <v>70</v>
      </c>
    </row>
    <row r="751" spans="1:26" ht="15" hidden="1" customHeight="1">
      <c r="A751" s="60">
        <f>ROW() - ROW(Table1[[#Headers],[s]])</f>
        <v>750</v>
      </c>
      <c r="B751" t="s">
        <v>3107</v>
      </c>
      <c r="C751" s="272">
        <v>46143</v>
      </c>
      <c r="D751" s="19" t="s">
        <v>3108</v>
      </c>
      <c r="E751" t="e" vm="152">
        <v>#VALUE!</v>
      </c>
      <c r="F751" t="e" vm="2">
        <v>#VALUE!</v>
      </c>
      <c r="G751" s="5" t="s">
        <v>1057</v>
      </c>
      <c r="H751" t="s">
        <v>152</v>
      </c>
      <c r="I751" s="233" t="s">
        <v>43</v>
      </c>
      <c r="J751" s="18" t="s">
        <v>153</v>
      </c>
      <c r="K751" t="s">
        <v>154</v>
      </c>
      <c r="L751" s="20">
        <v>46148.45208333333</v>
      </c>
      <c r="M751" s="18" t="s">
        <v>162</v>
      </c>
      <c r="N751" s="18" t="s">
        <v>162</v>
      </c>
      <c r="O751" s="3">
        <v>46148.645833333336</v>
      </c>
      <c r="P751" s="3">
        <v>46148.650694444441</v>
      </c>
      <c r="Q751" s="3">
        <v>46148.711805555555</v>
      </c>
      <c r="S751" s="21" t="s">
        <v>3109</v>
      </c>
      <c r="T751" s="18" t="s">
        <v>478</v>
      </c>
      <c r="V751" s="21" t="s">
        <v>3110</v>
      </c>
      <c r="Y751" t="s">
        <v>158</v>
      </c>
      <c r="Z751" t="s">
        <v>70</v>
      </c>
    </row>
    <row r="752" spans="1:26" ht="15" customHeight="1">
      <c r="A752" s="60">
        <f>ROW() - ROW(Table1[[#Headers],[s]])</f>
        <v>751</v>
      </c>
      <c r="B752" t="s">
        <v>3111</v>
      </c>
      <c r="C752" s="272">
        <v>46143</v>
      </c>
      <c r="D752" s="19" t="s">
        <v>3112</v>
      </c>
      <c r="E752" t="e" vm="17">
        <v>#VALUE!</v>
      </c>
      <c r="F752" t="e" vm="17">
        <v>#VALUE!</v>
      </c>
      <c r="G752" s="5" t="s">
        <v>186</v>
      </c>
      <c r="H752" t="s">
        <v>152</v>
      </c>
      <c r="I752" s="306" t="s">
        <v>43</v>
      </c>
      <c r="J752" s="18" t="s">
        <v>153</v>
      </c>
      <c r="K752" t="s">
        <v>154</v>
      </c>
      <c r="L752" s="20">
        <v>46148.481944444444</v>
      </c>
      <c r="M752" s="169" t="s">
        <v>1484</v>
      </c>
      <c r="N752" s="169" t="s">
        <v>1484</v>
      </c>
      <c r="O752" s="3">
        <v>46148.666666666664</v>
      </c>
      <c r="P752" s="2">
        <v>46148.673611111109</v>
      </c>
      <c r="Q752" s="22">
        <v>46148.727777777778</v>
      </c>
      <c r="S752" s="21" t="s">
        <v>598</v>
      </c>
      <c r="T752" s="18" t="s">
        <v>478</v>
      </c>
      <c r="V752" s="21" t="s">
        <v>3113</v>
      </c>
      <c r="Y752" t="s">
        <v>158</v>
      </c>
      <c r="Z752" t="s">
        <v>158</v>
      </c>
    </row>
    <row r="753" spans="1:26" ht="15" hidden="1" customHeight="1">
      <c r="A753" s="60">
        <f>ROW() - ROW(Table1[[#Headers],[s]])</f>
        <v>752</v>
      </c>
      <c r="B753" t="s">
        <v>3114</v>
      </c>
      <c r="C753" s="272">
        <v>46143</v>
      </c>
      <c r="D753" s="19" t="s">
        <v>3115</v>
      </c>
      <c r="E753" t="e" vm="9">
        <v>#VALUE!</v>
      </c>
      <c r="F753" t="e" vm="10">
        <v>#VALUE!</v>
      </c>
      <c r="G753" s="5" t="s">
        <v>1057</v>
      </c>
      <c r="H753" t="s">
        <v>152</v>
      </c>
      <c r="I753" s="233" t="s">
        <v>43</v>
      </c>
      <c r="J753" s="18" t="s">
        <v>153</v>
      </c>
      <c r="K753" t="s">
        <v>154</v>
      </c>
      <c r="L753" s="20">
        <v>46148.481944444444</v>
      </c>
      <c r="M753" s="18" t="s">
        <v>78</v>
      </c>
      <c r="N753" s="55" t="s">
        <v>78</v>
      </c>
      <c r="O753" s="3">
        <v>46148.645833333336</v>
      </c>
      <c r="P753" s="3">
        <v>46148.672222222223</v>
      </c>
      <c r="Q753" s="3">
        <v>46148.728472222225</v>
      </c>
      <c r="S753" s="21" t="s">
        <v>3116</v>
      </c>
      <c r="T753" s="18" t="s">
        <v>478</v>
      </c>
      <c r="V753" s="21" t="s">
        <v>3117</v>
      </c>
      <c r="Y753" t="s">
        <v>158</v>
      </c>
      <c r="Z753" t="s">
        <v>70</v>
      </c>
    </row>
    <row r="754" spans="1:26" ht="15.75" hidden="1" customHeight="1">
      <c r="A754" s="60">
        <f>ROW() - ROW(Table1[[#Headers],[s]])</f>
        <v>753</v>
      </c>
      <c r="B754" s="230" t="s">
        <v>3118</v>
      </c>
      <c r="C754" s="272">
        <v>46143</v>
      </c>
      <c r="D754" s="19" t="s">
        <v>3119</v>
      </c>
      <c r="E754" t="e" vm="54">
        <v>#VALUE!</v>
      </c>
      <c r="F754" t="e" vm="2">
        <v>#VALUE!</v>
      </c>
      <c r="G754" s="5" t="s">
        <v>1057</v>
      </c>
      <c r="H754" t="s">
        <v>152</v>
      </c>
      <c r="I754" s="233" t="s">
        <v>43</v>
      </c>
      <c r="J754" s="18" t="s">
        <v>153</v>
      </c>
      <c r="K754" t="s">
        <v>154</v>
      </c>
      <c r="L754" s="20">
        <v>46148.484027777777</v>
      </c>
      <c r="M754" s="18" t="s">
        <v>162</v>
      </c>
      <c r="N754" s="18" t="s">
        <v>162</v>
      </c>
      <c r="O754" s="3">
        <v>46148.756944444445</v>
      </c>
      <c r="P754" s="3">
        <v>46148.786805555559</v>
      </c>
      <c r="Q754" s="3">
        <v>46148.803472222222</v>
      </c>
      <c r="S754" s="21" t="s">
        <v>3120</v>
      </c>
      <c r="T754" s="18" t="s">
        <v>478</v>
      </c>
      <c r="V754" s="21" t="s">
        <v>3121</v>
      </c>
      <c r="Y754" t="s">
        <v>158</v>
      </c>
      <c r="Z754" t="s">
        <v>70</v>
      </c>
    </row>
    <row r="755" spans="1:26" ht="15" hidden="1" customHeight="1">
      <c r="A755" s="60">
        <f>ROW() - ROW(Table1[[#Headers],[s]])</f>
        <v>754</v>
      </c>
      <c r="B755" t="s">
        <v>3122</v>
      </c>
      <c r="C755" s="272">
        <v>46143</v>
      </c>
      <c r="D755" s="19" t="s">
        <v>3123</v>
      </c>
      <c r="E755" t="e" vm="114">
        <v>#VALUE!</v>
      </c>
      <c r="F755" t="e" vm="5">
        <v>#VALUE!</v>
      </c>
      <c r="G755" s="5" t="s">
        <v>1057</v>
      </c>
      <c r="H755" t="s">
        <v>747</v>
      </c>
      <c r="I755" s="233" t="s">
        <v>43</v>
      </c>
      <c r="J755" s="18" t="s">
        <v>253</v>
      </c>
      <c r="K755" t="s">
        <v>154</v>
      </c>
      <c r="L755" s="20">
        <v>46148.61041666667</v>
      </c>
      <c r="M755" s="55" t="s">
        <v>55</v>
      </c>
      <c r="N755" s="55" t="s">
        <v>55</v>
      </c>
      <c r="O755" s="3">
        <v>46148.708333333336</v>
      </c>
      <c r="P755" s="3">
        <v>46148.729166666664</v>
      </c>
      <c r="Q755" s="3">
        <v>46148.807638888888</v>
      </c>
      <c r="S755" s="21" t="s">
        <v>3124</v>
      </c>
      <c r="T755" s="18" t="s">
        <v>266</v>
      </c>
      <c r="V755" s="21" t="s">
        <v>3125</v>
      </c>
      <c r="Y755" t="s">
        <v>158</v>
      </c>
      <c r="Z755" t="s">
        <v>70</v>
      </c>
    </row>
    <row r="756" spans="1:26" ht="15" customHeight="1">
      <c r="A756" s="60">
        <f>ROW() - ROW(Table1[[#Headers],[s]])</f>
        <v>755</v>
      </c>
      <c r="B756" t="s">
        <v>3126</v>
      </c>
      <c r="C756" s="272">
        <v>46143</v>
      </c>
      <c r="D756" s="19" t="s">
        <v>3127</v>
      </c>
      <c r="E756" t="e" vm="166">
        <v>#VALUE!</v>
      </c>
      <c r="F756" t="e" vm="23">
        <v>#VALUE!</v>
      </c>
      <c r="G756" s="5" t="s">
        <v>186</v>
      </c>
      <c r="H756" t="s">
        <v>747</v>
      </c>
      <c r="I756" s="306" t="s">
        <v>43</v>
      </c>
      <c r="J756" s="18" t="s">
        <v>253</v>
      </c>
      <c r="K756" t="s">
        <v>154</v>
      </c>
      <c r="L756" s="20">
        <v>46148.61041666667</v>
      </c>
      <c r="M756" s="18" t="s">
        <v>58</v>
      </c>
      <c r="N756" s="18" t="s">
        <v>58</v>
      </c>
      <c r="O756" s="3">
        <v>46149.333333333336</v>
      </c>
      <c r="P756" s="2">
        <v>46149.458333333336</v>
      </c>
      <c r="Q756" s="22">
        <v>46149.5625</v>
      </c>
      <c r="S756" s="21" t="s">
        <v>3128</v>
      </c>
      <c r="T756" s="18" t="s">
        <v>266</v>
      </c>
      <c r="V756" s="21" t="s">
        <v>3129</v>
      </c>
      <c r="Y756" t="s">
        <v>70</v>
      </c>
      <c r="Z756" t="s">
        <v>158</v>
      </c>
    </row>
    <row r="757" spans="1:26" ht="15" customHeight="1">
      <c r="A757" s="60">
        <f>ROW() - ROW(Table1[[#Headers],[s]])</f>
        <v>756</v>
      </c>
      <c r="B757" t="s">
        <v>3130</v>
      </c>
      <c r="C757" s="272">
        <v>46143</v>
      </c>
      <c r="D757" s="19" t="s">
        <v>3131</v>
      </c>
      <c r="E757" t="e" vm="242">
        <v>#VALUE!</v>
      </c>
      <c r="F757" t="e" vm="17">
        <v>#VALUE!</v>
      </c>
      <c r="G757" s="5" t="s">
        <v>186</v>
      </c>
      <c r="H757" t="s">
        <v>152</v>
      </c>
      <c r="I757" s="306" t="s">
        <v>43</v>
      </c>
      <c r="J757" s="18" t="s">
        <v>153</v>
      </c>
      <c r="K757" t="s">
        <v>154</v>
      </c>
      <c r="L757" s="20">
        <v>46149.436805555553</v>
      </c>
      <c r="M757" s="169" t="s">
        <v>1484</v>
      </c>
      <c r="N757" s="169" t="s">
        <v>1484</v>
      </c>
      <c r="O757" s="3">
        <v>46149.625</v>
      </c>
      <c r="P757" s="2">
        <v>46149.631944444445</v>
      </c>
      <c r="Q757" s="22">
        <v>46149.75</v>
      </c>
      <c r="S757" s="21" t="s">
        <v>3132</v>
      </c>
      <c r="T757" s="18" t="s">
        <v>478</v>
      </c>
      <c r="V757" s="21" t="s">
        <v>581</v>
      </c>
      <c r="Y757" t="s">
        <v>158</v>
      </c>
      <c r="Z757" t="s">
        <v>70</v>
      </c>
    </row>
    <row r="758" spans="1:26" ht="15.75" customHeight="1">
      <c r="A758" s="60">
        <f>ROW() - ROW(Table1[[#Headers],[s]])</f>
        <v>757</v>
      </c>
      <c r="B758" t="s">
        <v>3133</v>
      </c>
      <c r="C758" s="272">
        <v>46143</v>
      </c>
      <c r="D758" s="242" t="s">
        <v>3134</v>
      </c>
      <c r="E758" s="24" t="e" vm="243">
        <v>#VALUE!</v>
      </c>
      <c r="F758" s="24" t="e" vm="23">
        <v>#VALUE!</v>
      </c>
      <c r="G758" s="256" t="s">
        <v>186</v>
      </c>
      <c r="H758" s="24" t="s">
        <v>747</v>
      </c>
      <c r="I758" s="306" t="s">
        <v>43</v>
      </c>
      <c r="J758" s="259" t="s">
        <v>253</v>
      </c>
      <c r="K758" s="24" t="s">
        <v>3135</v>
      </c>
      <c r="L758" s="258">
        <v>46149.434027777781</v>
      </c>
      <c r="M758" s="259" t="s">
        <v>3136</v>
      </c>
      <c r="N758" s="18" t="s">
        <v>3136</v>
      </c>
      <c r="O758" s="3">
        <v>46149.520833333336</v>
      </c>
      <c r="P758" s="2">
        <v>46149.5625</v>
      </c>
      <c r="Q758" s="22">
        <v>46149.75</v>
      </c>
      <c r="R758" t="s">
        <v>3137</v>
      </c>
      <c r="S758" s="21" t="s">
        <v>3138</v>
      </c>
      <c r="T758" s="18" t="s">
        <v>3139</v>
      </c>
      <c r="V758" s="387" t="s">
        <v>3140</v>
      </c>
      <c r="Y758" t="s">
        <v>203</v>
      </c>
      <c r="Z758" t="s">
        <v>158</v>
      </c>
    </row>
    <row r="759" spans="1:26" ht="15" customHeight="1">
      <c r="A759" s="60">
        <f>ROW() - ROW(Table1[[#Headers],[s]])</f>
        <v>758</v>
      </c>
      <c r="B759" t="s">
        <v>3141</v>
      </c>
      <c r="C759" s="23" t="s">
        <v>60</v>
      </c>
      <c r="D759" s="19" t="s">
        <v>3142</v>
      </c>
      <c r="E759" t="e" vm="106">
        <v>#VALUE!</v>
      </c>
      <c r="F759" t="e" vm="5">
        <v>#VALUE!</v>
      </c>
      <c r="G759" s="5" t="s">
        <v>186</v>
      </c>
      <c r="H759" t="s">
        <v>245</v>
      </c>
      <c r="I759" t="s">
        <v>60</v>
      </c>
      <c r="J759" s="18" t="s">
        <v>253</v>
      </c>
      <c r="K759" t="s">
        <v>3143</v>
      </c>
      <c r="M759" s="18" t="s">
        <v>3144</v>
      </c>
      <c r="N759" s="18"/>
      <c r="O759" s="3"/>
      <c r="S759" s="21" t="s">
        <v>3144</v>
      </c>
      <c r="T759" s="18" t="s">
        <v>179</v>
      </c>
      <c r="Y759" t="s">
        <v>179</v>
      </c>
      <c r="Z759" t="s">
        <v>179</v>
      </c>
    </row>
    <row r="760" spans="1:26" ht="15" customHeight="1">
      <c r="A760" s="60">
        <f>ROW() - ROW(Table1[[#Headers],[s]])</f>
        <v>759</v>
      </c>
      <c r="B760" s="268" t="s">
        <v>3145</v>
      </c>
      <c r="C760" s="272">
        <v>46143</v>
      </c>
      <c r="D760" s="19" t="s">
        <v>3146</v>
      </c>
      <c r="E760" t="s">
        <v>1116</v>
      </c>
      <c r="F760" t="e" vm="35">
        <v>#VALUE!</v>
      </c>
      <c r="G760" s="5" t="s">
        <v>186</v>
      </c>
      <c r="H760" t="s">
        <v>152</v>
      </c>
      <c r="I760" s="306" t="s">
        <v>43</v>
      </c>
      <c r="J760" s="18" t="s">
        <v>153</v>
      </c>
      <c r="K760" s="24" t="s">
        <v>3147</v>
      </c>
      <c r="L760" s="20">
        <v>46149.492361111108</v>
      </c>
      <c r="M760" s="18" t="s">
        <v>1643</v>
      </c>
      <c r="N760" s="18" t="s">
        <v>1643</v>
      </c>
      <c r="O760" s="3">
        <v>46149.666666666664</v>
      </c>
      <c r="P760" s="2">
        <v>46149.673611111109</v>
      </c>
      <c r="Q760" s="22">
        <v>46149.916666666664</v>
      </c>
      <c r="R760" t="s">
        <v>3148</v>
      </c>
      <c r="S760" s="21" t="s">
        <v>788</v>
      </c>
      <c r="T760" s="18" t="s">
        <v>478</v>
      </c>
      <c r="V760" s="21" t="s">
        <v>3149</v>
      </c>
      <c r="Y760" t="s">
        <v>158</v>
      </c>
      <c r="Z760" t="s">
        <v>158</v>
      </c>
    </row>
    <row r="761" spans="1:26" ht="15" customHeight="1">
      <c r="A761" s="60">
        <f>ROW() - ROW(Table1[[#Headers],[s]])</f>
        <v>760</v>
      </c>
      <c r="B761" t="s">
        <v>3150</v>
      </c>
      <c r="C761" s="272">
        <v>46143</v>
      </c>
      <c r="D761" s="19" t="s">
        <v>3151</v>
      </c>
      <c r="E761" t="e" vm="241">
        <v>#VALUE!</v>
      </c>
      <c r="F761" t="e" vm="2">
        <v>#VALUE!</v>
      </c>
      <c r="G761" s="5" t="s">
        <v>186</v>
      </c>
      <c r="H761" t="s">
        <v>152</v>
      </c>
      <c r="I761" s="306" t="s">
        <v>43</v>
      </c>
      <c r="J761" s="18" t="s">
        <v>153</v>
      </c>
      <c r="K761" t="s">
        <v>154</v>
      </c>
      <c r="L761" s="20">
        <v>46149.500694444447</v>
      </c>
      <c r="M761" s="18" t="s">
        <v>162</v>
      </c>
      <c r="N761" s="18" t="s">
        <v>162</v>
      </c>
      <c r="O761" s="3">
        <v>46149.75</v>
      </c>
      <c r="P761" s="2">
        <v>46149.756944444445</v>
      </c>
      <c r="Q761" s="22">
        <v>46149.830555555556</v>
      </c>
      <c r="S761" s="21" t="s">
        <v>3152</v>
      </c>
      <c r="T761" s="18" t="s">
        <v>478</v>
      </c>
      <c r="V761" s="21" t="s">
        <v>2364</v>
      </c>
      <c r="Y761" t="s">
        <v>158</v>
      </c>
      <c r="Z761" t="s">
        <v>70</v>
      </c>
    </row>
    <row r="762" spans="1:26" ht="15" customHeight="1">
      <c r="A762" s="60">
        <f>ROW() - ROW(Table1[[#Headers],[s]])</f>
        <v>761</v>
      </c>
      <c r="B762" t="s">
        <v>2560</v>
      </c>
      <c r="C762" s="272">
        <v>46143</v>
      </c>
      <c r="D762" s="19" t="s">
        <v>3153</v>
      </c>
      <c r="E762" t="e" vm="134">
        <v>#VALUE!</v>
      </c>
      <c r="F762" t="e" vm="35">
        <v>#VALUE!</v>
      </c>
      <c r="G762" s="5" t="s">
        <v>186</v>
      </c>
      <c r="H762" t="s">
        <v>152</v>
      </c>
      <c r="I762" s="306" t="s">
        <v>43</v>
      </c>
      <c r="J762" s="18" t="s">
        <v>153</v>
      </c>
      <c r="K762" t="s">
        <v>154</v>
      </c>
      <c r="L762" s="20">
        <v>46149.511805555558</v>
      </c>
      <c r="M762" s="18" t="s">
        <v>1643</v>
      </c>
      <c r="N762" s="18" t="s">
        <v>1643</v>
      </c>
      <c r="O762" s="3">
        <v>46149.625</v>
      </c>
      <c r="P762" s="2">
        <v>46149.631944444445</v>
      </c>
      <c r="Q762" s="22">
        <v>46149.706944444442</v>
      </c>
      <c r="S762" s="21" t="s">
        <v>3154</v>
      </c>
      <c r="T762" s="18" t="s">
        <v>478</v>
      </c>
      <c r="V762" s="21" t="s">
        <v>3155</v>
      </c>
      <c r="Y762" t="s">
        <v>158</v>
      </c>
      <c r="Z762" t="s">
        <v>70</v>
      </c>
    </row>
    <row r="763" spans="1:26" ht="15" customHeight="1">
      <c r="A763" s="60">
        <f>ROW() - ROW(Table1[[#Headers],[s]])</f>
        <v>762</v>
      </c>
      <c r="B763" t="s">
        <v>1114</v>
      </c>
      <c r="C763" s="181" t="s">
        <v>60</v>
      </c>
      <c r="D763" s="19" t="s">
        <v>3156</v>
      </c>
      <c r="E763" t="s">
        <v>1116</v>
      </c>
      <c r="F763" t="e" vm="35">
        <v>#VALUE!</v>
      </c>
      <c r="G763" s="5" t="s">
        <v>186</v>
      </c>
      <c r="H763" t="s">
        <v>152</v>
      </c>
      <c r="I763" t="s">
        <v>3157</v>
      </c>
      <c r="J763" s="18" t="s">
        <v>153</v>
      </c>
      <c r="K763" s="42" t="s">
        <v>154</v>
      </c>
      <c r="L763" s="20">
        <v>46149.561111111114</v>
      </c>
      <c r="N763" s="18"/>
      <c r="O763" s="3"/>
      <c r="S763" s="21" t="s">
        <v>3157</v>
      </c>
      <c r="T763" s="18" t="s">
        <v>179</v>
      </c>
      <c r="Y763" t="s">
        <v>179</v>
      </c>
      <c r="Z763" t="s">
        <v>179</v>
      </c>
    </row>
    <row r="764" spans="1:26" ht="15" customHeight="1">
      <c r="A764" s="60">
        <f>ROW() - ROW(Table1[[#Headers],[s]])</f>
        <v>763</v>
      </c>
      <c r="B764" t="s">
        <v>3158</v>
      </c>
      <c r="C764" s="181" t="s">
        <v>60</v>
      </c>
      <c r="D764" s="52" t="s">
        <v>3159</v>
      </c>
      <c r="E764" t="s">
        <v>1116</v>
      </c>
      <c r="F764" t="e" vm="35">
        <v>#VALUE!</v>
      </c>
      <c r="G764" s="5" t="s">
        <v>186</v>
      </c>
      <c r="H764" t="s">
        <v>152</v>
      </c>
      <c r="I764" t="s">
        <v>3157</v>
      </c>
      <c r="J764" s="18" t="s">
        <v>153</v>
      </c>
      <c r="K764" s="42" t="s">
        <v>154</v>
      </c>
      <c r="L764" s="44">
        <v>46149.660416666666</v>
      </c>
      <c r="M764" s="55"/>
      <c r="N764" s="55"/>
      <c r="O764" s="56"/>
      <c r="Q764" s="58"/>
      <c r="S764" s="21" t="s">
        <v>3157</v>
      </c>
      <c r="T764" s="18" t="s">
        <v>179</v>
      </c>
      <c r="V764" s="53"/>
      <c r="Y764" t="s">
        <v>179</v>
      </c>
      <c r="Z764" t="s">
        <v>179</v>
      </c>
    </row>
    <row r="765" spans="1:26" ht="15" hidden="1" customHeight="1">
      <c r="A765" s="60">
        <f>ROW() - ROW(Table1[[#Headers],[s]])</f>
        <v>764</v>
      </c>
      <c r="B765" t="s">
        <v>2830</v>
      </c>
      <c r="C765" s="272">
        <v>46143</v>
      </c>
      <c r="D765" s="19" t="s">
        <v>3160</v>
      </c>
      <c r="E765" t="e" vm="206">
        <v>#VALUE!</v>
      </c>
      <c r="F765" t="e" vm="10">
        <v>#VALUE!</v>
      </c>
      <c r="G765" s="5" t="s">
        <v>174</v>
      </c>
      <c r="H765" t="s">
        <v>152</v>
      </c>
      <c r="J765" s="18" t="s">
        <v>153</v>
      </c>
      <c r="K765" t="s">
        <v>154</v>
      </c>
      <c r="L765" s="20">
        <v>46149.662499999999</v>
      </c>
      <c r="M765" s="18" t="s">
        <v>78</v>
      </c>
      <c r="N765" s="55" t="s">
        <v>78</v>
      </c>
      <c r="O765" s="3">
        <v>46150.333333333336</v>
      </c>
      <c r="P765" s="3">
        <v>46150.354166666664</v>
      </c>
      <c r="Q765" s="3">
        <v>46150.395833333336</v>
      </c>
      <c r="S765" s="21" t="s">
        <v>3161</v>
      </c>
      <c r="T765" s="18" t="s">
        <v>3081</v>
      </c>
      <c r="V765" s="21" t="s">
        <v>3162</v>
      </c>
      <c r="Y765" t="s">
        <v>158</v>
      </c>
      <c r="Z765" t="s">
        <v>70</v>
      </c>
    </row>
    <row r="766" spans="1:26" ht="15.75" customHeight="1">
      <c r="A766" s="60">
        <f>ROW() - ROW(Table1[[#Headers],[s]])</f>
        <v>765</v>
      </c>
      <c r="B766" t="s">
        <v>3163</v>
      </c>
      <c r="C766" s="272">
        <v>46143</v>
      </c>
      <c r="D766" s="305" t="s">
        <v>3164</v>
      </c>
      <c r="E766" s="32" t="e" vm="130">
        <v>#VALUE!</v>
      </c>
      <c r="F766" t="e" vm="35">
        <v>#VALUE!</v>
      </c>
      <c r="G766" s="5" t="s">
        <v>186</v>
      </c>
      <c r="H766" t="s">
        <v>747</v>
      </c>
      <c r="I766" t="s">
        <v>43</v>
      </c>
      <c r="J766" s="18" t="s">
        <v>253</v>
      </c>
      <c r="K766" t="s">
        <v>154</v>
      </c>
      <c r="L766" s="20">
        <v>46149.716666666667</v>
      </c>
      <c r="M766" s="18" t="s">
        <v>1062</v>
      </c>
      <c r="N766" s="18" t="s">
        <v>1062</v>
      </c>
      <c r="O766" s="3">
        <v>46149.791666666664</v>
      </c>
      <c r="P766" s="2">
        <v>46149.8125</v>
      </c>
      <c r="Q766" s="22">
        <v>46149.938888888886</v>
      </c>
      <c r="S766" s="387" t="s">
        <v>3165</v>
      </c>
      <c r="T766" s="18" t="s">
        <v>478</v>
      </c>
      <c r="V766" s="387" t="s">
        <v>2388</v>
      </c>
      <c r="Y766" t="s">
        <v>158</v>
      </c>
      <c r="Z766" t="s">
        <v>158</v>
      </c>
    </row>
    <row r="767" spans="1:26" ht="15.75" hidden="1" customHeight="1">
      <c r="A767" s="60">
        <f>ROW() - ROW(Table1[[#Headers],[s]])</f>
        <v>766</v>
      </c>
      <c r="B767" s="223" t="s">
        <v>3166</v>
      </c>
      <c r="C767" s="272">
        <v>46143</v>
      </c>
      <c r="D767" s="19" t="s">
        <v>3167</v>
      </c>
      <c r="E767" t="s">
        <v>1942</v>
      </c>
      <c r="F767" t="e" vm="49">
        <v>#VALUE!</v>
      </c>
      <c r="G767" s="5" t="s">
        <v>174</v>
      </c>
      <c r="H767" t="s">
        <v>152</v>
      </c>
      <c r="J767" s="18" t="s">
        <v>153</v>
      </c>
      <c r="K767" t="s">
        <v>154</v>
      </c>
      <c r="L767" s="20">
        <v>46150.500694444447</v>
      </c>
      <c r="M767" s="18" t="s">
        <v>3168</v>
      </c>
      <c r="N767" s="18" t="s">
        <v>3168</v>
      </c>
      <c r="O767" s="20">
        <v>46150.572916666664</v>
      </c>
      <c r="P767" s="20">
        <v>46150.59375</v>
      </c>
      <c r="Q767" s="20">
        <v>46150.690972222219</v>
      </c>
      <c r="S767" s="21" t="s">
        <v>3169</v>
      </c>
      <c r="T767" s="18" t="s">
        <v>516</v>
      </c>
      <c r="V767" s="21" t="s">
        <v>3169</v>
      </c>
      <c r="Y767" t="s">
        <v>158</v>
      </c>
      <c r="Z767" t="s">
        <v>70</v>
      </c>
    </row>
    <row r="768" spans="1:26" ht="15.75" hidden="1" customHeight="1">
      <c r="A768" s="60">
        <f>ROW() - ROW(Table1[[#Headers],[s]])</f>
        <v>767</v>
      </c>
      <c r="B768" s="223" t="s">
        <v>3170</v>
      </c>
      <c r="C768" s="181" t="s">
        <v>60</v>
      </c>
      <c r="D768" s="52" t="s">
        <v>3171</v>
      </c>
      <c r="E768" t="s">
        <v>1116</v>
      </c>
      <c r="F768" t="e" vm="35">
        <v>#VALUE!</v>
      </c>
      <c r="G768" s="5" t="s">
        <v>174</v>
      </c>
      <c r="H768" t="s">
        <v>152</v>
      </c>
      <c r="J768" s="18" t="s">
        <v>153</v>
      </c>
      <c r="K768" t="s">
        <v>3172</v>
      </c>
      <c r="L768" s="20">
        <v>46150.47152777778</v>
      </c>
      <c r="M768" s="18" t="s">
        <v>1643</v>
      </c>
      <c r="N768" s="18" t="s">
        <v>1643</v>
      </c>
      <c r="O768" s="20">
        <v>46150.545138888891</v>
      </c>
      <c r="P768" s="20">
        <v>46150.572916666664</v>
      </c>
      <c r="Q768" s="20">
        <v>46150.611111111109</v>
      </c>
      <c r="S768" s="21" t="s">
        <v>3173</v>
      </c>
      <c r="T768" s="18" t="s">
        <v>179</v>
      </c>
      <c r="V768" s="21" t="s">
        <v>3173</v>
      </c>
      <c r="Y768" t="s">
        <v>179</v>
      </c>
      <c r="Z768" t="s">
        <v>179</v>
      </c>
    </row>
    <row r="769" spans="1:26" ht="15.75" hidden="1" customHeight="1">
      <c r="A769" s="60">
        <f>ROW() - ROW(Table1[[#Headers],[s]])</f>
        <v>768</v>
      </c>
      <c r="B769" s="223" t="s">
        <v>1806</v>
      </c>
      <c r="C769" s="272">
        <v>46143</v>
      </c>
      <c r="D769" s="19" t="s">
        <v>3174</v>
      </c>
      <c r="E769" t="e" vm="169">
        <v>#VALUE!</v>
      </c>
      <c r="F769" t="e" vm="5">
        <v>#VALUE!</v>
      </c>
      <c r="G769" s="5" t="s">
        <v>174</v>
      </c>
      <c r="H769" t="s">
        <v>152</v>
      </c>
      <c r="J769" s="18" t="s">
        <v>153</v>
      </c>
      <c r="K769" t="s">
        <v>154</v>
      </c>
      <c r="L769" s="20">
        <v>46150.470138888886</v>
      </c>
      <c r="M769" s="18" t="s">
        <v>55</v>
      </c>
      <c r="N769" s="18" t="s">
        <v>55</v>
      </c>
      <c r="O769" s="20">
        <v>46150.552083333336</v>
      </c>
      <c r="P769" s="20">
        <v>46150.572916666664</v>
      </c>
      <c r="Q769" s="20">
        <v>46150.625</v>
      </c>
      <c r="S769" s="21" t="s">
        <v>3175</v>
      </c>
      <c r="T769" s="18" t="s">
        <v>3176</v>
      </c>
      <c r="V769" s="21" t="s">
        <v>3177</v>
      </c>
      <c r="Y769" t="s">
        <v>158</v>
      </c>
      <c r="Z769" t="s">
        <v>70</v>
      </c>
    </row>
    <row r="770" spans="1:26" ht="15.75" hidden="1" customHeight="1">
      <c r="A770" s="60">
        <f>ROW() - ROW(Table1[[#Headers],[s]])</f>
        <v>769</v>
      </c>
      <c r="B770" s="223" t="s">
        <v>3178</v>
      </c>
      <c r="C770" s="272">
        <v>46143</v>
      </c>
      <c r="D770" s="19" t="s">
        <v>3179</v>
      </c>
      <c r="E770" t="e" vm="9">
        <v>#VALUE!</v>
      </c>
      <c r="F770" t="e" vm="10">
        <v>#VALUE!</v>
      </c>
      <c r="G770" s="5" t="s">
        <v>174</v>
      </c>
      <c r="H770" t="s">
        <v>152</v>
      </c>
      <c r="J770" s="18" t="s">
        <v>153</v>
      </c>
      <c r="K770" t="s">
        <v>154</v>
      </c>
      <c r="L770" s="20">
        <v>46150.467361111114</v>
      </c>
      <c r="M770" s="18" t="s">
        <v>78</v>
      </c>
      <c r="N770" s="55" t="s">
        <v>78</v>
      </c>
      <c r="O770" s="20">
        <v>46150.545138888891</v>
      </c>
      <c r="P770" s="20">
        <v>46150.572916666664</v>
      </c>
      <c r="Q770" s="20">
        <v>46150.604166666664</v>
      </c>
      <c r="S770" s="21" t="s">
        <v>3180</v>
      </c>
      <c r="T770" s="18" t="s">
        <v>3176</v>
      </c>
      <c r="V770" s="21" t="s">
        <v>930</v>
      </c>
      <c r="Y770" t="s">
        <v>158</v>
      </c>
      <c r="Z770" t="s">
        <v>70</v>
      </c>
    </row>
    <row r="771" spans="1:26" ht="15.75" hidden="1" customHeight="1">
      <c r="A771" s="60">
        <f>ROW() - ROW(Table1[[#Headers],[s]])</f>
        <v>770</v>
      </c>
      <c r="B771" s="223" t="s">
        <v>3181</v>
      </c>
      <c r="C771" s="272">
        <v>46143</v>
      </c>
      <c r="D771" s="19" t="s">
        <v>3182</v>
      </c>
      <c r="E771" t="e" vm="244">
        <v>#VALUE!</v>
      </c>
      <c r="F771" t="e" vm="21">
        <v>#VALUE!</v>
      </c>
      <c r="G771" s="5" t="s">
        <v>174</v>
      </c>
      <c r="H771" t="s">
        <v>152</v>
      </c>
      <c r="J771" s="18" t="s">
        <v>153</v>
      </c>
      <c r="K771" t="s">
        <v>154</v>
      </c>
      <c r="L771" s="20">
        <v>46150.443749999999</v>
      </c>
      <c r="M771" s="18" t="s">
        <v>39</v>
      </c>
      <c r="N771" s="18" t="s">
        <v>39</v>
      </c>
      <c r="O771" s="20">
        <v>46150.479166666664</v>
      </c>
      <c r="P771" s="20">
        <v>46150.5</v>
      </c>
      <c r="Q771" s="20">
        <v>46150.534722222219</v>
      </c>
      <c r="S771" s="21" t="s">
        <v>3183</v>
      </c>
      <c r="T771" s="18" t="s">
        <v>179</v>
      </c>
      <c r="V771" s="21" t="s">
        <v>3184</v>
      </c>
      <c r="Y771" t="s">
        <v>158</v>
      </c>
      <c r="Z771" t="s">
        <v>70</v>
      </c>
    </row>
    <row r="772" spans="1:26" ht="15.75" hidden="1" customHeight="1">
      <c r="A772" s="60">
        <f>ROW() - ROW(Table1[[#Headers],[s]])</f>
        <v>771</v>
      </c>
      <c r="B772" s="223" t="s">
        <v>2863</v>
      </c>
      <c r="C772" s="272">
        <v>46143</v>
      </c>
      <c r="D772" s="19" t="s">
        <v>3185</v>
      </c>
      <c r="E772" t="e" vm="61">
        <v>#VALUE!</v>
      </c>
      <c r="F772" t="e" vm="21">
        <v>#VALUE!</v>
      </c>
      <c r="G772" s="5" t="s">
        <v>174</v>
      </c>
      <c r="H772" t="s">
        <v>152</v>
      </c>
      <c r="J772" s="18" t="s">
        <v>153</v>
      </c>
      <c r="K772" t="s">
        <v>154</v>
      </c>
      <c r="L772" s="20">
        <v>46150.677777777775</v>
      </c>
      <c r="M772" s="18" t="s">
        <v>39</v>
      </c>
      <c r="N772" s="18" t="s">
        <v>39</v>
      </c>
      <c r="O772" s="20">
        <v>46150.71875</v>
      </c>
      <c r="P772" s="20">
        <v>46150.739583333336</v>
      </c>
      <c r="Q772" s="20">
        <v>46150.8125</v>
      </c>
      <c r="S772" s="21" t="s">
        <v>3186</v>
      </c>
      <c r="T772" s="18" t="s">
        <v>3187</v>
      </c>
      <c r="V772" s="21" t="s">
        <v>3186</v>
      </c>
      <c r="Y772" t="s">
        <v>158</v>
      </c>
      <c r="Z772" t="s">
        <v>158</v>
      </c>
    </row>
    <row r="773" spans="1:26" ht="15" hidden="1" customHeight="1">
      <c r="A773" s="60">
        <f>ROW() - ROW(Table1[[#Headers],[s]])</f>
        <v>772</v>
      </c>
      <c r="B773" t="s">
        <v>3188</v>
      </c>
      <c r="C773" s="181" t="s">
        <v>60</v>
      </c>
      <c r="D773" s="52" t="s">
        <v>3189</v>
      </c>
      <c r="E773" t="s">
        <v>575</v>
      </c>
      <c r="F773" t="e" vm="39">
        <v>#VALUE!</v>
      </c>
      <c r="G773" s="5" t="s">
        <v>1057</v>
      </c>
      <c r="H773" t="s">
        <v>152</v>
      </c>
      <c r="I773" t="s">
        <v>60</v>
      </c>
      <c r="J773" s="18" t="s">
        <v>153</v>
      </c>
      <c r="K773" s="42" t="s">
        <v>154</v>
      </c>
      <c r="L773" s="20">
        <v>46150.649305555555</v>
      </c>
      <c r="M773" s="55" t="s">
        <v>3190</v>
      </c>
      <c r="N773" s="55" t="s">
        <v>3190</v>
      </c>
      <c r="O773" s="56">
        <v>46151.25</v>
      </c>
      <c r="P773" s="2">
        <v>46151.28125</v>
      </c>
      <c r="Q773" s="58">
        <v>46151.322916666664</v>
      </c>
      <c r="R773" t="s">
        <v>3191</v>
      </c>
      <c r="S773" s="21" t="s">
        <v>3192</v>
      </c>
      <c r="T773" s="55" t="s">
        <v>3011</v>
      </c>
      <c r="V773" s="53" t="s">
        <v>3193</v>
      </c>
      <c r="Y773" t="s">
        <v>179</v>
      </c>
      <c r="Z773" t="s">
        <v>179</v>
      </c>
    </row>
    <row r="774" spans="1:26" ht="15" hidden="1" customHeight="1">
      <c r="A774" s="60">
        <f>ROW() - ROW(Table1[[#Headers],[s]])</f>
        <v>773</v>
      </c>
      <c r="B774" t="s">
        <v>3194</v>
      </c>
      <c r="C774" s="163">
        <v>46143</v>
      </c>
      <c r="D774" s="52" t="s">
        <v>3195</v>
      </c>
      <c r="E774" t="e" vm="156">
        <v>#VALUE!</v>
      </c>
      <c r="F774" t="e" vm="1">
        <v>#VALUE!</v>
      </c>
      <c r="G774" s="5" t="s">
        <v>174</v>
      </c>
      <c r="H774" t="s">
        <v>152</v>
      </c>
      <c r="J774" s="18" t="s">
        <v>153</v>
      </c>
      <c r="K774" s="42" t="s">
        <v>154</v>
      </c>
      <c r="L774" s="20">
        <v>46150.655555555553</v>
      </c>
      <c r="M774" s="55" t="s">
        <v>1937</v>
      </c>
      <c r="N774" s="55" t="s">
        <v>1937</v>
      </c>
      <c r="O774" s="56"/>
      <c r="Q774" s="58"/>
      <c r="S774" s="21" t="s">
        <v>473</v>
      </c>
      <c r="T774" s="55" t="s">
        <v>3196</v>
      </c>
      <c r="V774" s="53" t="s">
        <v>3197</v>
      </c>
      <c r="Y774" t="s">
        <v>70</v>
      </c>
      <c r="Z774" t="s">
        <v>158</v>
      </c>
    </row>
    <row r="775" spans="1:26" ht="15.75" hidden="1" customHeight="1">
      <c r="A775" s="60">
        <f>ROW() - ROW(Table1[[#Headers],[s]])</f>
        <v>774</v>
      </c>
      <c r="B775" s="223" t="s">
        <v>3198</v>
      </c>
      <c r="C775" s="163">
        <v>46143</v>
      </c>
      <c r="D775" s="52" t="s">
        <v>3199</v>
      </c>
      <c r="E775" t="s">
        <v>575</v>
      </c>
      <c r="F775" t="e" vm="39">
        <v>#VALUE!</v>
      </c>
      <c r="G775" s="5" t="s">
        <v>1057</v>
      </c>
      <c r="H775" t="s">
        <v>152</v>
      </c>
      <c r="I775" t="s">
        <v>43</v>
      </c>
      <c r="J775" s="18" t="s">
        <v>153</v>
      </c>
      <c r="K775" t="s">
        <v>154</v>
      </c>
      <c r="L775" s="20">
        <v>46150.667361111111</v>
      </c>
      <c r="M775" s="55" t="s">
        <v>3190</v>
      </c>
      <c r="N775" s="55" t="s">
        <v>3190</v>
      </c>
      <c r="O775" s="56">
        <v>46151.25</v>
      </c>
      <c r="P775" s="2">
        <v>46151.28125</v>
      </c>
      <c r="Q775" s="58">
        <v>46151.322916666664</v>
      </c>
      <c r="R775" t="s">
        <v>3191</v>
      </c>
      <c r="S775" s="21" t="s">
        <v>3192</v>
      </c>
      <c r="T775" s="55" t="s">
        <v>3011</v>
      </c>
      <c r="V775" s="53" t="s">
        <v>3193</v>
      </c>
      <c r="Y775" t="s">
        <v>158</v>
      </c>
      <c r="Z775" t="s">
        <v>70</v>
      </c>
    </row>
    <row r="776" spans="1:26" ht="15.75" hidden="1" customHeight="1">
      <c r="A776" s="60">
        <f>ROW() - ROW(Table1[[#Headers],[s]])</f>
        <v>775</v>
      </c>
      <c r="B776" s="223" t="s">
        <v>3200</v>
      </c>
      <c r="C776" s="163">
        <v>46143</v>
      </c>
      <c r="D776" s="52" t="s">
        <v>3201</v>
      </c>
      <c r="E776" t="e" vm="245">
        <v>#VALUE!</v>
      </c>
      <c r="F776" t="e" vm="25">
        <v>#VALUE!</v>
      </c>
      <c r="G776" s="5" t="s">
        <v>174</v>
      </c>
      <c r="H776" t="s">
        <v>152</v>
      </c>
      <c r="J776" s="18" t="s">
        <v>153</v>
      </c>
      <c r="K776" t="s">
        <v>154</v>
      </c>
      <c r="L776" s="20">
        <v>46150.667361111111</v>
      </c>
      <c r="M776" s="55" t="s">
        <v>72</v>
      </c>
      <c r="N776" s="55" t="s">
        <v>72</v>
      </c>
      <c r="O776" s="20">
        <v>46150.701388888891</v>
      </c>
      <c r="P776" s="20">
        <v>46150.732638888891</v>
      </c>
      <c r="Q776" s="20">
        <v>46150.770833333336</v>
      </c>
      <c r="S776" s="21" t="s">
        <v>3202</v>
      </c>
      <c r="T776" s="55" t="s">
        <v>3203</v>
      </c>
      <c r="V776" s="53" t="s">
        <v>2501</v>
      </c>
      <c r="Y776" t="s">
        <v>158</v>
      </c>
      <c r="Z776" t="s">
        <v>158</v>
      </c>
    </row>
    <row r="777" spans="1:26" ht="15.75" hidden="1" customHeight="1">
      <c r="A777" s="60">
        <f>ROW() - ROW(Table1[[#Headers],[s]])</f>
        <v>776</v>
      </c>
      <c r="B777" s="223" t="s">
        <v>3204</v>
      </c>
      <c r="C777" s="163">
        <v>46174</v>
      </c>
      <c r="D777" s="52" t="s">
        <v>3205</v>
      </c>
      <c r="E777" t="e" vm="83">
        <v>#VALUE!</v>
      </c>
      <c r="F777" t="e" vm="37">
        <v>#VALUE!</v>
      </c>
      <c r="G777" s="5" t="s">
        <v>174</v>
      </c>
      <c r="H777" t="s">
        <v>152</v>
      </c>
      <c r="J777" s="18" t="s">
        <v>153</v>
      </c>
      <c r="K777" t="s">
        <v>154</v>
      </c>
      <c r="L777" s="20">
        <v>46150.651388888888</v>
      </c>
      <c r="M777" s="55" t="s">
        <v>1023</v>
      </c>
      <c r="N777" s="55" t="s">
        <v>1023</v>
      </c>
      <c r="O777" s="20">
        <v>46150.729166666664</v>
      </c>
      <c r="P777" s="20">
        <v>46150.75</v>
      </c>
      <c r="Q777" s="20">
        <v>46150.75</v>
      </c>
      <c r="S777" s="21" t="s">
        <v>3206</v>
      </c>
      <c r="T777" s="55"/>
      <c r="V777" s="21" t="s">
        <v>3206</v>
      </c>
      <c r="Y777" t="s">
        <v>158</v>
      </c>
      <c r="Z777" t="s">
        <v>70</v>
      </c>
    </row>
    <row r="778" spans="1:26" ht="15.75" hidden="1" customHeight="1">
      <c r="A778" s="60">
        <f>ROW() - ROW(Table1[[#Headers],[s]])</f>
        <v>777</v>
      </c>
      <c r="B778" s="223" t="s">
        <v>3207</v>
      </c>
      <c r="C778" s="163">
        <v>46143</v>
      </c>
      <c r="D778" s="52" t="s">
        <v>3208</v>
      </c>
      <c r="E778" t="e" vm="9">
        <v>#VALUE!</v>
      </c>
      <c r="F778" t="e" vm="10">
        <v>#VALUE!</v>
      </c>
      <c r="G778" s="5" t="s">
        <v>174</v>
      </c>
      <c r="H778" t="s">
        <v>152</v>
      </c>
      <c r="J778" s="18" t="s">
        <v>153</v>
      </c>
      <c r="K778" t="s">
        <v>154</v>
      </c>
      <c r="L778" s="20">
        <v>46150.530555555553</v>
      </c>
      <c r="M778" s="18" t="s">
        <v>78</v>
      </c>
      <c r="N778" s="55" t="s">
        <v>78</v>
      </c>
      <c r="O778" s="20">
        <v>46150.572916666664</v>
      </c>
      <c r="P778" s="20">
        <v>46150.604166666664</v>
      </c>
      <c r="Q778" s="20">
        <v>46150.659722222219</v>
      </c>
      <c r="S778" s="21" t="s">
        <v>3209</v>
      </c>
      <c r="T778" s="55"/>
      <c r="V778" s="53" t="s">
        <v>3210</v>
      </c>
      <c r="Y778" t="s">
        <v>158</v>
      </c>
      <c r="Z778" t="s">
        <v>70</v>
      </c>
    </row>
    <row r="779" spans="1:26" ht="15.75" hidden="1" customHeight="1">
      <c r="A779" s="60">
        <f>ROW() - ROW(Table1[[#Headers],[s]])</f>
        <v>778</v>
      </c>
      <c r="B779" s="223" t="s">
        <v>3211</v>
      </c>
      <c r="C779" s="163">
        <v>46143</v>
      </c>
      <c r="D779" s="52" t="s">
        <v>3212</v>
      </c>
      <c r="E779" t="e" vm="121">
        <v>#VALUE!</v>
      </c>
      <c r="F779" t="e" vm="17">
        <v>#VALUE!</v>
      </c>
      <c r="G779" s="43" t="s">
        <v>1057</v>
      </c>
      <c r="H779" t="s">
        <v>747</v>
      </c>
      <c r="I779" s="314" t="s">
        <v>43</v>
      </c>
      <c r="J779" s="18" t="s">
        <v>253</v>
      </c>
      <c r="K779" t="s">
        <v>3213</v>
      </c>
      <c r="L779" s="20">
        <v>46151.113194444442</v>
      </c>
      <c r="M779" s="55" t="s">
        <v>3214</v>
      </c>
      <c r="N779" s="55" t="s">
        <v>3214</v>
      </c>
      <c r="O779" s="20">
        <v>46151.354166666664</v>
      </c>
      <c r="P779" s="20">
        <v>46151.4375</v>
      </c>
      <c r="Q779" s="20">
        <v>46151.501388888886</v>
      </c>
      <c r="R779" t="s">
        <v>3191</v>
      </c>
      <c r="S779" s="21" t="s">
        <v>3215</v>
      </c>
      <c r="T779" s="18" t="s">
        <v>2165</v>
      </c>
      <c r="V779" s="21" t="s">
        <v>3216</v>
      </c>
      <c r="W779" t="s">
        <v>3217</v>
      </c>
      <c r="Y779" t="s">
        <v>158</v>
      </c>
      <c r="Z779" t="s">
        <v>158</v>
      </c>
    </row>
    <row r="780" spans="1:26" ht="15" hidden="1" customHeight="1">
      <c r="A780" s="60">
        <f>ROW() - ROW(Table1[[#Headers],[s]])</f>
        <v>779</v>
      </c>
      <c r="B780" s="304" t="s">
        <v>3218</v>
      </c>
      <c r="C780" s="163">
        <v>46143</v>
      </c>
      <c r="D780" s="52" t="s">
        <v>3219</v>
      </c>
      <c r="E780" t="e" vm="20">
        <v>#VALUE!</v>
      </c>
      <c r="F780" t="e" vm="21">
        <v>#VALUE!</v>
      </c>
      <c r="G780" s="43" t="s">
        <v>1057</v>
      </c>
      <c r="H780" t="s">
        <v>152</v>
      </c>
      <c r="I780" t="s">
        <v>43</v>
      </c>
      <c r="J780" s="18" t="s">
        <v>153</v>
      </c>
      <c r="K780" t="s">
        <v>154</v>
      </c>
      <c r="L780" s="20">
        <v>46151.554861111108</v>
      </c>
      <c r="M780" s="18" t="s">
        <v>39</v>
      </c>
      <c r="N780" s="18" t="s">
        <v>39</v>
      </c>
      <c r="O780" s="20">
        <v>46151.729166666664</v>
      </c>
      <c r="P780" s="20">
        <v>46151.753472222219</v>
      </c>
      <c r="Q780" s="20">
        <v>46151.833333333336</v>
      </c>
      <c r="R780" t="s">
        <v>3220</v>
      </c>
      <c r="S780" s="21" t="s">
        <v>3221</v>
      </c>
      <c r="T780" s="18" t="s">
        <v>266</v>
      </c>
      <c r="V780" s="53" t="s">
        <v>3222</v>
      </c>
      <c r="W780" t="s">
        <v>3223</v>
      </c>
      <c r="Y780" t="s">
        <v>158</v>
      </c>
      <c r="Z780" t="s">
        <v>70</v>
      </c>
    </row>
    <row r="781" spans="1:26" ht="15.75" hidden="1" customHeight="1">
      <c r="A781" s="60">
        <f>ROW() - ROW(Table1[[#Headers],[s]])</f>
        <v>780</v>
      </c>
      <c r="B781" s="223" t="s">
        <v>3224</v>
      </c>
      <c r="C781" s="163">
        <v>46143</v>
      </c>
      <c r="D781" s="52" t="s">
        <v>3225</v>
      </c>
      <c r="E781" t="e" vm="246">
        <v>#VALUE!</v>
      </c>
      <c r="F781" t="e" vm="12">
        <v>#VALUE!</v>
      </c>
      <c r="G781" s="43" t="s">
        <v>1057</v>
      </c>
      <c r="H781" t="s">
        <v>152</v>
      </c>
      <c r="I781" t="s">
        <v>43</v>
      </c>
      <c r="J781" s="18" t="s">
        <v>153</v>
      </c>
      <c r="K781" t="s">
        <v>154</v>
      </c>
      <c r="L781" s="20">
        <v>46151.5625</v>
      </c>
      <c r="M781" s="18" t="s">
        <v>72</v>
      </c>
      <c r="N781" s="18" t="s">
        <v>3226</v>
      </c>
      <c r="O781" s="20">
        <v>46151.677083333336</v>
      </c>
      <c r="P781" s="20">
        <v>46151.697916666664</v>
      </c>
      <c r="Q781" s="20">
        <v>46151.75</v>
      </c>
      <c r="R781" t="s">
        <v>3191</v>
      </c>
      <c r="S781" s="21" t="s">
        <v>3227</v>
      </c>
      <c r="T781" s="18" t="s">
        <v>478</v>
      </c>
      <c r="V781" s="53" t="s">
        <v>3228</v>
      </c>
      <c r="W781" t="s">
        <v>3229</v>
      </c>
      <c r="Y781" t="s">
        <v>158</v>
      </c>
      <c r="Z781" t="s">
        <v>67</v>
      </c>
    </row>
    <row r="782" spans="1:26" ht="15.75" hidden="1" customHeight="1">
      <c r="A782" s="60">
        <f>ROW() - ROW(Table1[[#Headers],[s]])</f>
        <v>781</v>
      </c>
      <c r="B782" s="223" t="s">
        <v>3230</v>
      </c>
      <c r="C782" s="163">
        <v>46143</v>
      </c>
      <c r="D782" s="52" t="s">
        <v>3231</v>
      </c>
      <c r="E782" t="e" vm="69">
        <v>#VALUE!</v>
      </c>
      <c r="F782" t="e" vm="2">
        <v>#VALUE!</v>
      </c>
      <c r="G782" s="43" t="s">
        <v>1057</v>
      </c>
      <c r="H782" t="s">
        <v>152</v>
      </c>
      <c r="I782" t="s">
        <v>43</v>
      </c>
      <c r="J782" s="18" t="s">
        <v>153</v>
      </c>
      <c r="K782" t="s">
        <v>154</v>
      </c>
      <c r="L782" s="20">
        <v>46151.56527777778</v>
      </c>
      <c r="M782" s="18" t="s">
        <v>162</v>
      </c>
      <c r="N782" s="18" t="s">
        <v>162</v>
      </c>
      <c r="O782" s="20">
        <v>46151.791666666664</v>
      </c>
      <c r="P782" s="20">
        <v>46152.333333333336</v>
      </c>
      <c r="Q782" s="20">
        <v>46152.388888888891</v>
      </c>
      <c r="R782" t="s">
        <v>3232</v>
      </c>
      <c r="S782" s="21" t="s">
        <v>3233</v>
      </c>
      <c r="T782" s="18" t="s">
        <v>478</v>
      </c>
      <c r="V782" s="53" t="s">
        <v>3234</v>
      </c>
      <c r="Y782" t="s">
        <v>158</v>
      </c>
      <c r="Z782" t="s">
        <v>70</v>
      </c>
    </row>
    <row r="783" spans="1:26" ht="15" hidden="1" customHeight="1">
      <c r="A783" s="60">
        <f>ROW() - ROW(Table1[[#Headers],[s]])</f>
        <v>782</v>
      </c>
      <c r="B783" s="304" t="s">
        <v>3235</v>
      </c>
      <c r="C783" s="181" t="s">
        <v>60</v>
      </c>
      <c r="D783" s="52" t="s">
        <v>3236</v>
      </c>
      <c r="E783" t="e" vm="20">
        <v>#VALUE!</v>
      </c>
      <c r="F783" t="e" vm="21">
        <v>#VALUE!</v>
      </c>
      <c r="G783" s="43" t="s">
        <v>1057</v>
      </c>
      <c r="H783" t="s">
        <v>152</v>
      </c>
      <c r="I783" t="s">
        <v>60</v>
      </c>
      <c r="J783" s="18" t="s">
        <v>153</v>
      </c>
      <c r="K783" s="42" t="s">
        <v>154</v>
      </c>
      <c r="L783" s="20">
        <v>46151.771527777775</v>
      </c>
      <c r="M783" s="18" t="s">
        <v>39</v>
      </c>
      <c r="N783" s="18" t="s">
        <v>39</v>
      </c>
      <c r="O783" s="20">
        <v>46151.729166666664</v>
      </c>
      <c r="P783" s="20">
        <v>46151.753472222219</v>
      </c>
      <c r="Q783" s="20">
        <v>46151.833333333336</v>
      </c>
      <c r="R783" t="s">
        <v>3220</v>
      </c>
      <c r="S783" s="21" t="s">
        <v>3237</v>
      </c>
      <c r="T783" s="18" t="s">
        <v>266</v>
      </c>
      <c r="V783" s="53" t="s">
        <v>3222</v>
      </c>
      <c r="W783" t="s">
        <v>3223</v>
      </c>
      <c r="Y783" t="s">
        <v>158</v>
      </c>
      <c r="Z783" t="s">
        <v>70</v>
      </c>
    </row>
    <row r="784" spans="1:26" ht="15.75" hidden="1" customHeight="1">
      <c r="A784" s="60">
        <f>ROW() - ROW(Table1[[#Headers],[s]])</f>
        <v>783</v>
      </c>
      <c r="B784" s="223" t="s">
        <v>3238</v>
      </c>
      <c r="C784" s="163">
        <v>46143</v>
      </c>
      <c r="D784" s="52" t="s">
        <v>3239</v>
      </c>
      <c r="E784" t="e" vm="110">
        <v>#VALUE!</v>
      </c>
      <c r="F784" t="e" vm="49">
        <v>#VALUE!</v>
      </c>
      <c r="G784" s="5" t="s">
        <v>174</v>
      </c>
      <c r="H784" t="s">
        <v>747</v>
      </c>
      <c r="J784" s="18" t="s">
        <v>253</v>
      </c>
      <c r="K784" t="s">
        <v>154</v>
      </c>
      <c r="L784" s="20">
        <v>46153.554861111108</v>
      </c>
      <c r="M784" s="18" t="s">
        <v>44</v>
      </c>
      <c r="N784" s="18" t="s">
        <v>44</v>
      </c>
      <c r="O784" s="20">
        <v>45788.607638888891</v>
      </c>
      <c r="P784" s="20">
        <v>45788.618055555555</v>
      </c>
      <c r="Q784" s="20">
        <v>46153.826388888891</v>
      </c>
      <c r="S784" s="21" t="s">
        <v>3240</v>
      </c>
      <c r="T784" s="55" t="s">
        <v>3241</v>
      </c>
      <c r="V784" s="53" t="s">
        <v>3242</v>
      </c>
      <c r="Y784" t="s">
        <v>158</v>
      </c>
      <c r="Z784" t="s">
        <v>70</v>
      </c>
    </row>
    <row r="785" spans="1:26" ht="15.75" hidden="1" customHeight="1">
      <c r="A785" s="60">
        <f>ROW() - ROW(Table1[[#Headers],[s]])</f>
        <v>784</v>
      </c>
      <c r="B785" s="223" t="s">
        <v>3107</v>
      </c>
      <c r="C785" s="163">
        <v>46143</v>
      </c>
      <c r="D785" s="52" t="s">
        <v>3243</v>
      </c>
      <c r="E785" t="e" vm="152">
        <v>#VALUE!</v>
      </c>
      <c r="F785" t="e" vm="2">
        <v>#VALUE!</v>
      </c>
      <c r="G785" s="5" t="s">
        <v>174</v>
      </c>
      <c r="H785" t="s">
        <v>152</v>
      </c>
      <c r="J785" s="18" t="s">
        <v>153</v>
      </c>
      <c r="K785" t="s">
        <v>154</v>
      </c>
      <c r="L785" s="20">
        <v>46153.388194444444</v>
      </c>
      <c r="M785" s="18" t="s">
        <v>162</v>
      </c>
      <c r="N785" s="18" t="s">
        <v>162</v>
      </c>
      <c r="O785" s="20">
        <v>45788.458333333336</v>
      </c>
      <c r="P785" s="20">
        <v>45788.46875</v>
      </c>
      <c r="Q785" s="20">
        <v>46153.541666666664</v>
      </c>
      <c r="S785" s="21" t="s">
        <v>3244</v>
      </c>
      <c r="T785" s="55" t="s">
        <v>2725</v>
      </c>
      <c r="V785" s="53" t="s">
        <v>3245</v>
      </c>
      <c r="Y785" t="s">
        <v>158</v>
      </c>
      <c r="Z785" t="s">
        <v>70</v>
      </c>
    </row>
    <row r="786" spans="1:26" ht="15.75" hidden="1" customHeight="1">
      <c r="A786" s="60">
        <f>ROW() - ROW(Table1[[#Headers],[s]])</f>
        <v>785</v>
      </c>
      <c r="B786" s="223" t="s">
        <v>3246</v>
      </c>
      <c r="C786" s="163">
        <v>46143</v>
      </c>
      <c r="D786" s="52" t="s">
        <v>3247</v>
      </c>
      <c r="E786" t="s">
        <v>1116</v>
      </c>
      <c r="F786" t="e" vm="35">
        <v>#VALUE!</v>
      </c>
      <c r="G786" s="5" t="s">
        <v>174</v>
      </c>
      <c r="H786" t="s">
        <v>152</v>
      </c>
      <c r="J786" s="18" t="s">
        <v>153</v>
      </c>
      <c r="K786" t="s">
        <v>154</v>
      </c>
      <c r="L786" s="20">
        <v>46153.390277777777</v>
      </c>
      <c r="M786" s="55" t="s">
        <v>3214</v>
      </c>
      <c r="N786" s="55" t="s">
        <v>3214</v>
      </c>
      <c r="O786" s="20">
        <v>45788.458333333336</v>
      </c>
      <c r="P786" s="20">
        <v>45788.46875</v>
      </c>
      <c r="Q786" s="20">
        <v>46153.541666666664</v>
      </c>
      <c r="S786" s="21" t="s">
        <v>473</v>
      </c>
      <c r="T786" s="55" t="s">
        <v>516</v>
      </c>
      <c r="V786" s="53" t="s">
        <v>3248</v>
      </c>
      <c r="Y786" t="s">
        <v>158</v>
      </c>
      <c r="Z786" t="s">
        <v>67</v>
      </c>
    </row>
    <row r="787" spans="1:26" ht="15.75" hidden="1" customHeight="1">
      <c r="A787" s="60">
        <f>ROW() - ROW(Table1[[#Headers],[s]])</f>
        <v>786</v>
      </c>
      <c r="B787" s="223" t="s">
        <v>3249</v>
      </c>
      <c r="C787" s="163">
        <v>46143</v>
      </c>
      <c r="D787" s="52" t="s">
        <v>3250</v>
      </c>
      <c r="E787" t="e" vm="107">
        <v>#VALUE!</v>
      </c>
      <c r="F787" t="e" vm="23">
        <v>#VALUE!</v>
      </c>
      <c r="G787" s="5" t="s">
        <v>174</v>
      </c>
      <c r="H787" t="s">
        <v>747</v>
      </c>
      <c r="J787" s="18" t="s">
        <v>253</v>
      </c>
      <c r="K787" t="s">
        <v>154</v>
      </c>
      <c r="L787" s="20">
        <v>46153.433333333334</v>
      </c>
      <c r="M787" s="18" t="s">
        <v>3251</v>
      </c>
      <c r="N787" s="18" t="s">
        <v>3251</v>
      </c>
      <c r="O787" s="20">
        <v>45788.5</v>
      </c>
      <c r="P787" s="20">
        <v>45788.513888888891</v>
      </c>
      <c r="Q787" s="20">
        <v>46153.652777777781</v>
      </c>
      <c r="S787" s="21" t="s">
        <v>3252</v>
      </c>
      <c r="T787" s="55" t="s">
        <v>653</v>
      </c>
      <c r="V787" s="53" t="s">
        <v>3253</v>
      </c>
      <c r="Y787" t="s">
        <v>158</v>
      </c>
      <c r="Z787" t="s">
        <v>70</v>
      </c>
    </row>
    <row r="788" spans="1:26" ht="15.75" hidden="1" customHeight="1">
      <c r="A788" s="60">
        <f>ROW() - ROW(Table1[[#Headers],[s]])</f>
        <v>787</v>
      </c>
      <c r="B788" s="223" t="s">
        <v>3254</v>
      </c>
      <c r="C788" s="181" t="s">
        <v>60</v>
      </c>
      <c r="D788" s="52" t="s">
        <v>3255</v>
      </c>
      <c r="E788" t="s">
        <v>898</v>
      </c>
      <c r="F788" t="e" vm="16">
        <v>#VALUE!</v>
      </c>
      <c r="G788" s="5" t="s">
        <v>174</v>
      </c>
      <c r="H788" t="s">
        <v>245</v>
      </c>
      <c r="J788" s="18" t="s">
        <v>253</v>
      </c>
      <c r="K788" t="s">
        <v>3256</v>
      </c>
      <c r="L788" s="20">
        <v>46153.452777777777</v>
      </c>
      <c r="M788" s="18" t="s">
        <v>47</v>
      </c>
      <c r="N788" s="18" t="s">
        <v>47</v>
      </c>
      <c r="O788" s="56"/>
      <c r="Q788" s="58"/>
      <c r="T788" s="55"/>
      <c r="V788" s="53"/>
    </row>
    <row r="789" spans="1:26" ht="15.75" hidden="1" customHeight="1">
      <c r="A789" s="60">
        <f>ROW() - ROW(Table1[[#Headers],[s]])</f>
        <v>788</v>
      </c>
      <c r="B789" s="223" t="s">
        <v>3257</v>
      </c>
      <c r="C789" s="163">
        <v>46143</v>
      </c>
      <c r="D789" s="52" t="s">
        <v>3258</v>
      </c>
      <c r="E789" t="e" vm="9">
        <v>#VALUE!</v>
      </c>
      <c r="F789" t="e" vm="10">
        <v>#VALUE!</v>
      </c>
      <c r="G789" s="5" t="s">
        <v>174</v>
      </c>
      <c r="H789" t="s">
        <v>152</v>
      </c>
      <c r="J789" s="18" t="s">
        <v>153</v>
      </c>
      <c r="K789" t="s">
        <v>154</v>
      </c>
      <c r="L789" s="20">
        <v>46153.589583333334</v>
      </c>
      <c r="M789" s="18" t="s">
        <v>78</v>
      </c>
      <c r="N789" s="55" t="s">
        <v>78</v>
      </c>
      <c r="O789" s="20">
        <v>45788.645833333336</v>
      </c>
      <c r="P789" s="20">
        <v>45788.589583333334</v>
      </c>
      <c r="Q789" s="20">
        <v>46153.589583333334</v>
      </c>
      <c r="S789" s="21" t="s">
        <v>3259</v>
      </c>
      <c r="T789" s="55" t="s">
        <v>2699</v>
      </c>
      <c r="V789" s="53" t="s">
        <v>3260</v>
      </c>
      <c r="Y789" t="s">
        <v>158</v>
      </c>
      <c r="Z789" t="s">
        <v>70</v>
      </c>
    </row>
    <row r="790" spans="1:26" ht="15.75" hidden="1" customHeight="1">
      <c r="A790" s="60">
        <f>ROW() - ROW(Table1[[#Headers],[s]])</f>
        <v>789</v>
      </c>
      <c r="B790" s="223" t="s">
        <v>3261</v>
      </c>
      <c r="C790" s="163">
        <v>46143</v>
      </c>
      <c r="D790" s="52" t="s">
        <v>3262</v>
      </c>
      <c r="E790" t="e" vm="111">
        <v>#VALUE!</v>
      </c>
      <c r="F790" t="e" vm="12">
        <v>#VALUE!</v>
      </c>
      <c r="G790" s="5" t="s">
        <v>174</v>
      </c>
      <c r="H790" t="s">
        <v>152</v>
      </c>
      <c r="J790" s="18" t="s">
        <v>153</v>
      </c>
      <c r="K790" t="s">
        <v>154</v>
      </c>
      <c r="L790" s="20">
        <v>46153.594444444447</v>
      </c>
      <c r="M790" s="18" t="s">
        <v>1679</v>
      </c>
      <c r="N790" s="18" t="s">
        <v>1679</v>
      </c>
      <c r="O790" s="20">
        <v>45788.666666666664</v>
      </c>
      <c r="P790" s="20">
        <v>45788.677083333336</v>
      </c>
      <c r="Q790" s="20">
        <v>46153.885416666664</v>
      </c>
      <c r="S790" s="21" t="s">
        <v>3263</v>
      </c>
      <c r="T790" s="55"/>
      <c r="V790" s="53" t="s">
        <v>3264</v>
      </c>
      <c r="Y790" t="s">
        <v>158</v>
      </c>
      <c r="Z790" t="s">
        <v>158</v>
      </c>
    </row>
    <row r="791" spans="1:26" ht="15.75" hidden="1" customHeight="1">
      <c r="A791" s="60">
        <f>ROW() - ROW(Table1[[#Headers],[s]])</f>
        <v>790</v>
      </c>
      <c r="B791" s="223" t="s">
        <v>3265</v>
      </c>
      <c r="C791" s="163">
        <v>46143</v>
      </c>
      <c r="D791" s="52" t="s">
        <v>3266</v>
      </c>
      <c r="E791" t="e" vm="147">
        <v>#VALUE!</v>
      </c>
      <c r="F791" t="e" vm="16">
        <v>#VALUE!</v>
      </c>
      <c r="G791" s="5" t="s">
        <v>151</v>
      </c>
      <c r="H791" t="s">
        <v>152</v>
      </c>
      <c r="J791" s="18" t="s">
        <v>153</v>
      </c>
      <c r="K791" s="42" t="s">
        <v>154</v>
      </c>
      <c r="L791" s="20">
        <v>46153.64166666667</v>
      </c>
      <c r="M791" s="55" t="s">
        <v>58</v>
      </c>
      <c r="N791" s="55" t="s">
        <v>58</v>
      </c>
      <c r="O791" s="56">
        <v>46154.404166666667</v>
      </c>
      <c r="P791" s="2">
        <v>46154.413194444445</v>
      </c>
      <c r="Q791" s="58">
        <v>46154.417361111111</v>
      </c>
      <c r="S791" s="21" t="s">
        <v>3267</v>
      </c>
      <c r="T791" s="55" t="s">
        <v>179</v>
      </c>
      <c r="V791" s="53" t="s">
        <v>3267</v>
      </c>
      <c r="Y791" t="s">
        <v>158</v>
      </c>
      <c r="Z791" t="s">
        <v>70</v>
      </c>
    </row>
    <row r="792" spans="1:26" ht="15.75" hidden="1" customHeight="1">
      <c r="A792" s="60">
        <f>ROW() - ROW(Table1[[#Headers],[s]])</f>
        <v>791</v>
      </c>
      <c r="B792" s="223" t="s">
        <v>3268</v>
      </c>
      <c r="C792" s="163">
        <v>46143</v>
      </c>
      <c r="D792" s="52" t="s">
        <v>3269</v>
      </c>
      <c r="E792" t="e" vm="24">
        <v>#VALUE!</v>
      </c>
      <c r="F792" t="e" vm="25">
        <v>#VALUE!</v>
      </c>
      <c r="G792" s="5" t="s">
        <v>151</v>
      </c>
      <c r="H792" t="s">
        <v>152</v>
      </c>
      <c r="J792" s="18" t="s">
        <v>153</v>
      </c>
      <c r="K792" s="42" t="s">
        <v>154</v>
      </c>
      <c r="L792" s="20">
        <v>46153.65625</v>
      </c>
      <c r="M792" s="55" t="s">
        <v>72</v>
      </c>
      <c r="N792" s="55" t="s">
        <v>72</v>
      </c>
      <c r="O792" s="56">
        <v>46154.458333333336</v>
      </c>
      <c r="P792" s="2">
        <v>46154.469444444447</v>
      </c>
      <c r="Q792" s="58">
        <v>46154.484027777777</v>
      </c>
      <c r="S792" s="21" t="s">
        <v>3270</v>
      </c>
      <c r="T792" s="55" t="s">
        <v>179</v>
      </c>
      <c r="V792" s="53" t="s">
        <v>3270</v>
      </c>
      <c r="Y792" t="s">
        <v>158</v>
      </c>
      <c r="Z792" t="s">
        <v>70</v>
      </c>
    </row>
    <row r="793" spans="1:26" ht="15" hidden="1" customHeight="1">
      <c r="A793" s="60">
        <f>ROW() - ROW(Table1[[#Headers],[s]])</f>
        <v>792</v>
      </c>
      <c r="B793" t="s">
        <v>3271</v>
      </c>
      <c r="C793" s="163">
        <v>46143</v>
      </c>
      <c r="D793" s="52" t="s">
        <v>3272</v>
      </c>
      <c r="E793" s="19" t="e" vm="247">
        <v>#VALUE!</v>
      </c>
      <c r="F793" t="e" vm="21">
        <v>#VALUE!</v>
      </c>
      <c r="G793" s="5" t="s">
        <v>151</v>
      </c>
      <c r="H793" t="s">
        <v>747</v>
      </c>
      <c r="I793" s="5"/>
      <c r="J793" s="18" t="s">
        <v>253</v>
      </c>
      <c r="K793" s="42" t="s">
        <v>3273</v>
      </c>
      <c r="L793" s="20">
        <v>46153.665972222225</v>
      </c>
      <c r="M793" s="169" t="s">
        <v>39</v>
      </c>
      <c r="N793" s="169" t="s">
        <v>39</v>
      </c>
      <c r="O793" s="56"/>
      <c r="P793" s="5"/>
      <c r="Q793" s="58">
        <v>46154.503472222219</v>
      </c>
      <c r="R793" s="22" t="s">
        <v>3137</v>
      </c>
      <c r="S793" s="21" t="s">
        <v>3274</v>
      </c>
      <c r="T793" s="55" t="s">
        <v>3275</v>
      </c>
      <c r="U793" s="18"/>
      <c r="V793" s="53" t="s">
        <v>3276</v>
      </c>
      <c r="W793" s="21"/>
      <c r="Y793" t="s">
        <v>70</v>
      </c>
      <c r="Z793" t="s">
        <v>70</v>
      </c>
    </row>
    <row r="794" spans="1:26" ht="15.75" hidden="1" customHeight="1">
      <c r="A794" s="60">
        <f>ROW() - ROW(Table1[[#Headers],[s]])</f>
        <v>793</v>
      </c>
      <c r="B794" s="223" t="s">
        <v>3277</v>
      </c>
      <c r="C794" s="163">
        <v>46143</v>
      </c>
      <c r="D794" s="52" t="s">
        <v>3278</v>
      </c>
      <c r="E794" s="19" t="e" vm="192">
        <v>#VALUE!</v>
      </c>
      <c r="F794" t="e" vm="17">
        <v>#VALUE!</v>
      </c>
      <c r="G794" s="5" t="s">
        <v>151</v>
      </c>
      <c r="H794" t="s">
        <v>152</v>
      </c>
      <c r="I794" s="5"/>
      <c r="J794" s="18" t="s">
        <v>153</v>
      </c>
      <c r="K794" t="s">
        <v>154</v>
      </c>
      <c r="L794" s="20">
        <v>46153.739583333336</v>
      </c>
      <c r="M794" s="169" t="s">
        <v>1484</v>
      </c>
      <c r="N794" s="169" t="s">
        <v>1484</v>
      </c>
      <c r="O794" s="56">
        <v>46154.511805555558</v>
      </c>
      <c r="P794" s="3">
        <v>46154.53402777778</v>
      </c>
      <c r="Q794" s="58">
        <v>46154.580555555556</v>
      </c>
      <c r="R794" s="22" t="s">
        <v>3279</v>
      </c>
      <c r="S794" s="21" t="s">
        <v>1037</v>
      </c>
      <c r="T794" s="55" t="s">
        <v>3076</v>
      </c>
      <c r="U794" s="18"/>
      <c r="V794" s="53" t="s">
        <v>3280</v>
      </c>
      <c r="W794" s="21"/>
      <c r="Y794" t="s">
        <v>203</v>
      </c>
      <c r="Z794" t="s">
        <v>158</v>
      </c>
    </row>
    <row r="795" spans="1:26" ht="15" hidden="1" customHeight="1">
      <c r="A795" s="60">
        <f>ROW() - ROW(Table1[[#Headers],[s]])</f>
        <v>794</v>
      </c>
      <c r="B795" t="s">
        <v>3281</v>
      </c>
      <c r="C795" s="163">
        <v>46143</v>
      </c>
      <c r="D795" s="52" t="s">
        <v>3282</v>
      </c>
      <c r="E795" s="19" t="e" vm="248">
        <v>#VALUE!</v>
      </c>
      <c r="F795" t="e" vm="21">
        <v>#VALUE!</v>
      </c>
      <c r="G795" s="5" t="s">
        <v>151</v>
      </c>
      <c r="H795" t="s">
        <v>747</v>
      </c>
      <c r="I795" s="5"/>
      <c r="J795" s="18" t="s">
        <v>253</v>
      </c>
      <c r="K795" t="s">
        <v>154</v>
      </c>
      <c r="L795" s="44">
        <v>46154.226388888892</v>
      </c>
      <c r="M795" s="169" t="s">
        <v>39</v>
      </c>
      <c r="N795" s="169" t="s">
        <v>39</v>
      </c>
      <c r="O795" s="56">
        <v>46154.45208333333</v>
      </c>
      <c r="P795" s="3">
        <v>46154.613194444442</v>
      </c>
      <c r="Q795" s="58">
        <v>46154.645833333336</v>
      </c>
      <c r="R795" s="22"/>
      <c r="S795" s="21" t="s">
        <v>3283</v>
      </c>
      <c r="T795" s="55" t="s">
        <v>179</v>
      </c>
      <c r="U795" s="18"/>
      <c r="V795" s="53" t="s">
        <v>3284</v>
      </c>
      <c r="W795" s="21"/>
      <c r="Y795" t="s">
        <v>70</v>
      </c>
      <c r="Z795" t="s">
        <v>70</v>
      </c>
    </row>
    <row r="796" spans="1:26" ht="15" hidden="1" customHeight="1">
      <c r="A796" s="60">
        <f>ROW() - ROW(Table1[[#Headers],[s]])</f>
        <v>795</v>
      </c>
      <c r="B796" t="s">
        <v>3285</v>
      </c>
      <c r="C796" s="163">
        <v>46143</v>
      </c>
      <c r="D796" s="52" t="s">
        <v>3286</v>
      </c>
      <c r="E796" s="19" t="e" vm="249">
        <v>#VALUE!</v>
      </c>
      <c r="F796" t="e" vm="16">
        <v>#VALUE!</v>
      </c>
      <c r="G796" s="43" t="s">
        <v>151</v>
      </c>
      <c r="H796" t="s">
        <v>152</v>
      </c>
      <c r="I796" s="5"/>
      <c r="J796" s="18" t="s">
        <v>153</v>
      </c>
      <c r="K796" s="42" t="s">
        <v>154</v>
      </c>
      <c r="L796" s="44">
        <v>46154.424305555556</v>
      </c>
      <c r="M796" s="169" t="s">
        <v>58</v>
      </c>
      <c r="N796" s="169" t="s">
        <v>58</v>
      </c>
      <c r="O796" s="56">
        <v>46154.462500000001</v>
      </c>
      <c r="P796" s="3">
        <v>46154.542361111111</v>
      </c>
      <c r="Q796" s="58">
        <v>46154.646527777775</v>
      </c>
      <c r="R796" s="22"/>
      <c r="S796" s="21" t="s">
        <v>3287</v>
      </c>
      <c r="T796" s="55"/>
      <c r="U796" s="18"/>
      <c r="V796" s="21" t="s">
        <v>3287</v>
      </c>
      <c r="W796" s="21"/>
      <c r="Y796" t="s">
        <v>158</v>
      </c>
      <c r="Z796" t="s">
        <v>70</v>
      </c>
    </row>
    <row r="797" spans="1:26" ht="15" hidden="1" customHeight="1">
      <c r="A797" s="60">
        <f>ROW() - ROW(Table1[[#Headers],[s]])</f>
        <v>796</v>
      </c>
      <c r="B797" t="s">
        <v>3288</v>
      </c>
      <c r="C797" s="23" t="s">
        <v>60</v>
      </c>
      <c r="D797" s="19" t="s">
        <v>3289</v>
      </c>
      <c r="E797" s="19" t="e" vm="250">
        <v>#VALUE!</v>
      </c>
      <c r="F797" t="e" vm="35">
        <v>#VALUE!</v>
      </c>
      <c r="G797" s="5" t="s">
        <v>151</v>
      </c>
      <c r="H797" t="s">
        <v>152</v>
      </c>
      <c r="I797" s="5"/>
      <c r="J797" s="18" t="s">
        <v>153</v>
      </c>
      <c r="K797" s="60" t="s">
        <v>154</v>
      </c>
      <c r="L797" s="20">
        <v>46154.450694444444</v>
      </c>
      <c r="M797" s="307" t="s">
        <v>820</v>
      </c>
      <c r="N797" s="307"/>
      <c r="O797" s="3"/>
      <c r="P797" s="5"/>
      <c r="R797" s="22"/>
      <c r="U797" s="18"/>
      <c r="W797" s="21"/>
    </row>
    <row r="798" spans="1:26" ht="15" hidden="1" customHeight="1">
      <c r="A798" s="60">
        <f>ROW() - ROW(Table1[[#Headers],[s]])</f>
        <v>797</v>
      </c>
      <c r="B798" t="s">
        <v>3290</v>
      </c>
      <c r="C798" s="272">
        <v>46143</v>
      </c>
      <c r="D798" s="19" t="s">
        <v>3291</v>
      </c>
      <c r="E798" s="19" t="e" vm="251">
        <v>#VALUE!</v>
      </c>
      <c r="F798" t="e" vm="2">
        <v>#VALUE!</v>
      </c>
      <c r="G798" s="5" t="s">
        <v>151</v>
      </c>
      <c r="H798" t="s">
        <v>152</v>
      </c>
      <c r="I798" s="5"/>
      <c r="J798" s="18" t="s">
        <v>153</v>
      </c>
      <c r="K798" t="s">
        <v>154</v>
      </c>
      <c r="L798" s="20">
        <v>46154.629166666666</v>
      </c>
      <c r="M798" s="307" t="s">
        <v>162</v>
      </c>
      <c r="N798" s="307" t="s">
        <v>162</v>
      </c>
      <c r="O798" s="3">
        <v>46154.663194444445</v>
      </c>
      <c r="P798" s="3">
        <v>46154.666666666664</v>
      </c>
      <c r="Q798" s="22">
        <v>46154.670138888891</v>
      </c>
      <c r="R798" s="22"/>
      <c r="S798" s="21" t="s">
        <v>3292</v>
      </c>
      <c r="T798" s="18" t="s">
        <v>2765</v>
      </c>
      <c r="U798" s="18"/>
      <c r="V798" s="21" t="s">
        <v>3292</v>
      </c>
      <c r="W798" s="21"/>
      <c r="Y798" t="s">
        <v>158</v>
      </c>
      <c r="Z798" t="s">
        <v>70</v>
      </c>
    </row>
    <row r="799" spans="1:26" ht="15" customHeight="1">
      <c r="A799" s="60">
        <f>ROW() - ROW(Table1[[#Headers],[s]])</f>
        <v>798</v>
      </c>
      <c r="B799" t="s">
        <v>3293</v>
      </c>
      <c r="C799" s="272">
        <v>46143</v>
      </c>
      <c r="D799" s="340" t="s">
        <v>3294</v>
      </c>
      <c r="E799" s="340" t="e" vm="110">
        <v>#VALUE!</v>
      </c>
      <c r="F799" t="e" vm="49">
        <v>#VALUE!</v>
      </c>
      <c r="G799" s="5" t="s">
        <v>83</v>
      </c>
      <c r="H799" t="s">
        <v>152</v>
      </c>
      <c r="I799" t="s">
        <v>43</v>
      </c>
      <c r="J799" s="18" t="s">
        <v>153</v>
      </c>
      <c r="K799" t="s">
        <v>154</v>
      </c>
      <c r="L799" s="20">
        <v>46150.581944444442</v>
      </c>
      <c r="M799" s="307" t="s">
        <v>3295</v>
      </c>
      <c r="N799" s="307" t="s">
        <v>3296</v>
      </c>
      <c r="O799" s="3">
        <v>46150.916666666664</v>
      </c>
      <c r="P799" s="3">
        <v>46151.791666666664</v>
      </c>
      <c r="Q799" s="22">
        <v>46153.493055555555</v>
      </c>
      <c r="R799" s="22"/>
      <c r="S799" s="21" t="s">
        <v>3297</v>
      </c>
      <c r="T799" s="18" t="s">
        <v>478</v>
      </c>
      <c r="U799" s="18"/>
      <c r="V799" s="21" t="s">
        <v>3298</v>
      </c>
      <c r="W799" s="21"/>
      <c r="Y799" t="s">
        <v>70</v>
      </c>
      <c r="Z799" t="s">
        <v>70</v>
      </c>
    </row>
    <row r="800" spans="1:26" ht="15" hidden="1" customHeight="1">
      <c r="A800" s="60">
        <f>ROW() - ROW(Table1[[#Headers],[s]])</f>
        <v>799</v>
      </c>
      <c r="B800" t="s">
        <v>3299</v>
      </c>
      <c r="C800" s="272">
        <v>46143</v>
      </c>
      <c r="D800" s="19" t="s">
        <v>3300</v>
      </c>
      <c r="E800" s="19" t="e" vm="64">
        <v>#VALUE!</v>
      </c>
      <c r="F800" t="e" vm="26">
        <v>#VALUE!</v>
      </c>
      <c r="G800" s="5" t="s">
        <v>1784</v>
      </c>
      <c r="H800" t="s">
        <v>152</v>
      </c>
      <c r="I800" s="5" t="s">
        <v>43</v>
      </c>
      <c r="J800" s="18" t="s">
        <v>153</v>
      </c>
      <c r="K800" t="s">
        <v>154</v>
      </c>
      <c r="L800" s="20">
        <v>46155.443055555559</v>
      </c>
      <c r="M800" s="307" t="s">
        <v>88</v>
      </c>
      <c r="N800" s="307" t="s">
        <v>88</v>
      </c>
      <c r="O800" s="3">
        <v>46156.4375</v>
      </c>
      <c r="P800" s="3">
        <v>46156.4375</v>
      </c>
      <c r="Q800" s="22">
        <v>46156.4375</v>
      </c>
      <c r="R800" s="22"/>
      <c r="S800" s="21" t="s">
        <v>3301</v>
      </c>
      <c r="T800" s="18" t="s">
        <v>179</v>
      </c>
      <c r="U800" s="18"/>
      <c r="V800" s="21" t="s">
        <v>3301</v>
      </c>
      <c r="W800" s="21"/>
      <c r="Y800" t="s">
        <v>70</v>
      </c>
      <c r="Z800" t="s">
        <v>70</v>
      </c>
    </row>
    <row r="801" spans="1:26" ht="15" customHeight="1">
      <c r="A801" s="60">
        <f>ROW() - ROW(Table1[[#Headers],[s]])</f>
        <v>800</v>
      </c>
      <c r="B801" t="s">
        <v>3085</v>
      </c>
      <c r="C801" s="272">
        <v>46174</v>
      </c>
      <c r="D801" s="19" t="s">
        <v>3302</v>
      </c>
      <c r="E801" s="19" t="e" vm="94">
        <v>#VALUE!</v>
      </c>
      <c r="F801" t="e" vm="17">
        <v>#VALUE!</v>
      </c>
      <c r="G801" s="5" t="s">
        <v>83</v>
      </c>
      <c r="H801" t="s">
        <v>152</v>
      </c>
      <c r="I801" s="5" t="s">
        <v>2689</v>
      </c>
      <c r="J801" s="18" t="s">
        <v>153</v>
      </c>
      <c r="K801" t="s">
        <v>154</v>
      </c>
      <c r="L801" s="20">
        <v>46155.446527777778</v>
      </c>
      <c r="M801" s="169" t="s">
        <v>1484</v>
      </c>
      <c r="N801" s="169" t="s">
        <v>1484</v>
      </c>
      <c r="O801" s="3"/>
      <c r="P801" s="5"/>
      <c r="R801" s="22"/>
      <c r="S801" s="21" t="s">
        <v>2016</v>
      </c>
      <c r="T801" s="18" t="s">
        <v>3303</v>
      </c>
      <c r="U801" s="18"/>
      <c r="V801" s="21" t="s">
        <v>2018</v>
      </c>
      <c r="W801" s="21"/>
      <c r="Y801" t="s">
        <v>179</v>
      </c>
      <c r="Z801" t="s">
        <v>179</v>
      </c>
    </row>
    <row r="802" spans="1:26" ht="15" customHeight="1">
      <c r="A802" s="60">
        <f>ROW() - ROW(Table1[[#Headers],[s]])</f>
        <v>801</v>
      </c>
      <c r="B802" t="s">
        <v>3304</v>
      </c>
      <c r="C802" s="272">
        <v>46143</v>
      </c>
      <c r="D802" s="340" t="s">
        <v>3305</v>
      </c>
      <c r="E802" s="19" t="e" vm="94">
        <v>#VALUE!</v>
      </c>
      <c r="F802" t="e" vm="17">
        <v>#VALUE!</v>
      </c>
      <c r="G802" s="5" t="s">
        <v>83</v>
      </c>
      <c r="H802" t="s">
        <v>152</v>
      </c>
      <c r="I802" t="s">
        <v>43</v>
      </c>
      <c r="J802" s="18" t="s">
        <v>153</v>
      </c>
      <c r="K802" t="s">
        <v>154</v>
      </c>
      <c r="L802" s="20">
        <v>46148.484722222223</v>
      </c>
      <c r="M802" s="169" t="s">
        <v>1484</v>
      </c>
      <c r="N802" s="169" t="s">
        <v>1484</v>
      </c>
      <c r="O802" s="3">
        <v>46155.583333333336</v>
      </c>
      <c r="P802" s="3">
        <v>46155.590277777781</v>
      </c>
      <c r="Q802" s="22">
        <v>46155.64166666667</v>
      </c>
      <c r="R802" s="22"/>
      <c r="S802" s="21" t="s">
        <v>3306</v>
      </c>
      <c r="T802" s="18" t="s">
        <v>478</v>
      </c>
      <c r="U802" s="18"/>
      <c r="V802" s="21" t="s">
        <v>3307</v>
      </c>
      <c r="W802" s="21"/>
      <c r="Y802" t="s">
        <v>70</v>
      </c>
      <c r="Z802" t="s">
        <v>158</v>
      </c>
    </row>
    <row r="803" spans="1:26" ht="15" customHeight="1">
      <c r="A803" s="60">
        <f>ROW() - ROW(Table1[[#Headers],[s]])</f>
        <v>802</v>
      </c>
      <c r="B803" t="s">
        <v>3308</v>
      </c>
      <c r="C803" s="272">
        <v>46143</v>
      </c>
      <c r="D803" s="19" t="s">
        <v>3309</v>
      </c>
      <c r="E803" s="19" t="e" vm="252">
        <v>#VALUE!</v>
      </c>
      <c r="F803" t="e" vm="25">
        <v>#VALUE!</v>
      </c>
      <c r="G803" s="5" t="s">
        <v>83</v>
      </c>
      <c r="H803" t="s">
        <v>152</v>
      </c>
      <c r="I803" t="s">
        <v>43</v>
      </c>
      <c r="J803" s="18" t="s">
        <v>153</v>
      </c>
      <c r="K803" t="s">
        <v>154</v>
      </c>
      <c r="L803" s="20">
        <v>46155.640972222223</v>
      </c>
      <c r="M803" s="307" t="s">
        <v>566</v>
      </c>
      <c r="N803" s="307" t="s">
        <v>566</v>
      </c>
      <c r="O803" s="3">
        <v>46155.708333333336</v>
      </c>
      <c r="P803" s="3">
        <v>46155.715277777781</v>
      </c>
      <c r="Q803" s="22">
        <v>46155.742361111108</v>
      </c>
      <c r="R803" s="22"/>
      <c r="S803" s="21" t="s">
        <v>3310</v>
      </c>
      <c r="T803" s="18" t="s">
        <v>478</v>
      </c>
      <c r="U803" s="18"/>
      <c r="V803" s="21" t="s">
        <v>3311</v>
      </c>
      <c r="W803" s="21"/>
      <c r="Y803" t="s">
        <v>158</v>
      </c>
      <c r="Z803" t="s">
        <v>70</v>
      </c>
    </row>
    <row r="804" spans="1:26" ht="15" hidden="1" customHeight="1">
      <c r="A804" s="60">
        <f>ROW() - ROW(Table1[[#Headers],[s]])</f>
        <v>803</v>
      </c>
      <c r="B804" t="s">
        <v>3312</v>
      </c>
      <c r="C804" s="163">
        <v>46143</v>
      </c>
      <c r="D804" s="52" t="s">
        <v>3313</v>
      </c>
      <c r="E804" s="19" t="e" vm="75">
        <v>#VALUE!</v>
      </c>
      <c r="F804" t="e" vm="21">
        <v>#VALUE!</v>
      </c>
      <c r="G804" s="5" t="s">
        <v>1784</v>
      </c>
      <c r="H804" t="s">
        <v>152</v>
      </c>
      <c r="I804" s="5" t="s">
        <v>43</v>
      </c>
      <c r="J804" s="18" t="s">
        <v>153</v>
      </c>
      <c r="K804" t="s">
        <v>154</v>
      </c>
      <c r="L804" s="44">
        <v>46155.642361111109</v>
      </c>
      <c r="M804" s="169" t="s">
        <v>39</v>
      </c>
      <c r="N804" s="169" t="s">
        <v>39</v>
      </c>
      <c r="O804" s="56">
        <v>46156.375</v>
      </c>
      <c r="P804" s="3">
        <v>46156.375</v>
      </c>
      <c r="Q804" s="58">
        <v>46156.5</v>
      </c>
      <c r="R804" s="22"/>
      <c r="S804" s="21" t="s">
        <v>3314</v>
      </c>
      <c r="T804" s="55" t="s">
        <v>3315</v>
      </c>
      <c r="U804" s="18"/>
      <c r="V804" s="53" t="s">
        <v>3316</v>
      </c>
      <c r="W804" s="21"/>
      <c r="Y804" t="s">
        <v>70</v>
      </c>
      <c r="Z804" t="s">
        <v>158</v>
      </c>
    </row>
    <row r="805" spans="1:26" ht="15" customHeight="1">
      <c r="A805" s="60">
        <f>ROW() - ROW(Table1[[#Headers],[s]])</f>
        <v>804</v>
      </c>
      <c r="B805" t="s">
        <v>3317</v>
      </c>
      <c r="C805" s="163">
        <v>46143</v>
      </c>
      <c r="D805" s="52" t="s">
        <v>3318</v>
      </c>
      <c r="E805" s="19" t="e" vm="15">
        <v>#VALUE!</v>
      </c>
      <c r="F805" t="e" vm="16">
        <v>#VALUE!</v>
      </c>
      <c r="G805" s="5" t="s">
        <v>83</v>
      </c>
      <c r="H805" t="s">
        <v>152</v>
      </c>
      <c r="I805" t="s">
        <v>43</v>
      </c>
      <c r="J805" s="18" t="s">
        <v>153</v>
      </c>
      <c r="K805" t="s">
        <v>154</v>
      </c>
      <c r="L805" s="44">
        <v>46155.643750000003</v>
      </c>
      <c r="M805" s="169" t="s">
        <v>58</v>
      </c>
      <c r="N805" s="169" t="s">
        <v>58</v>
      </c>
      <c r="O805" s="3">
        <v>46155.708333333336</v>
      </c>
      <c r="P805" s="3">
        <v>46155.715277777781</v>
      </c>
      <c r="Q805" s="58">
        <v>46155.818749999999</v>
      </c>
      <c r="R805" s="22"/>
      <c r="S805" s="21" t="s">
        <v>788</v>
      </c>
      <c r="T805" s="18" t="s">
        <v>478</v>
      </c>
      <c r="U805" s="18"/>
      <c r="V805" s="53" t="s">
        <v>3319</v>
      </c>
      <c r="W805" s="21"/>
      <c r="Y805" t="s">
        <v>158</v>
      </c>
      <c r="Z805" t="s">
        <v>158</v>
      </c>
    </row>
    <row r="806" spans="1:26" ht="15" customHeight="1">
      <c r="A806" s="17">
        <f>ROW() - ROW(Table1[[#Headers],[s]])</f>
        <v>805</v>
      </c>
      <c r="B806" t="s">
        <v>3320</v>
      </c>
      <c r="C806" s="272">
        <v>46143</v>
      </c>
      <c r="D806" s="19" t="s">
        <v>3321</v>
      </c>
      <c r="E806" s="19" t="e" vm="84">
        <v>#VALUE!</v>
      </c>
      <c r="F806" t="e" vm="17">
        <v>#VALUE!</v>
      </c>
      <c r="G806" s="5" t="s">
        <v>83</v>
      </c>
      <c r="H806" t="s">
        <v>245</v>
      </c>
      <c r="I806" t="s">
        <v>43</v>
      </c>
      <c r="J806" s="18" t="s">
        <v>253</v>
      </c>
      <c r="K806" s="24" t="s">
        <v>3322</v>
      </c>
      <c r="L806" s="20">
        <v>46155.711111111108</v>
      </c>
      <c r="M806" s="169" t="s">
        <v>44</v>
      </c>
      <c r="N806" s="169" t="s">
        <v>44</v>
      </c>
      <c r="O806" s="3">
        <v>46155.875</v>
      </c>
      <c r="P806" s="3">
        <v>46155.881944444445</v>
      </c>
      <c r="Q806" s="22">
        <v>46156.071527777778</v>
      </c>
      <c r="R806" s="22"/>
      <c r="S806" s="21" t="s">
        <v>298</v>
      </c>
      <c r="T806" s="18" t="s">
        <v>478</v>
      </c>
      <c r="U806" s="18"/>
      <c r="V806" s="21" t="s">
        <v>3323</v>
      </c>
      <c r="W806" s="21"/>
      <c r="Y806" t="s">
        <v>158</v>
      </c>
      <c r="Z806" t="s">
        <v>158</v>
      </c>
    </row>
    <row r="807" spans="1:26" ht="15" customHeight="1">
      <c r="A807" s="60">
        <f>ROW() - ROW(Table1[[#Headers],[s]])</f>
        <v>806</v>
      </c>
      <c r="B807" t="s">
        <v>3324</v>
      </c>
      <c r="C807" s="163">
        <v>46143</v>
      </c>
      <c r="D807" s="52" t="s">
        <v>3325</v>
      </c>
      <c r="E807" s="19" t="e" vm="253">
        <v>#VALUE!</v>
      </c>
      <c r="F807" t="e" vm="46">
        <v>#VALUE!</v>
      </c>
      <c r="G807" s="5" t="s">
        <v>83</v>
      </c>
      <c r="H807" t="s">
        <v>245</v>
      </c>
      <c r="I807" t="s">
        <v>43</v>
      </c>
      <c r="J807" s="18" t="s">
        <v>253</v>
      </c>
      <c r="K807" t="s">
        <v>154</v>
      </c>
      <c r="L807" s="44">
        <v>46155.768750000003</v>
      </c>
      <c r="M807" s="169" t="s">
        <v>800</v>
      </c>
      <c r="N807" s="169" t="s">
        <v>800</v>
      </c>
      <c r="O807" s="56">
        <v>46155.791666666664</v>
      </c>
      <c r="P807" s="3">
        <v>46155.805555555555</v>
      </c>
      <c r="Q807" s="58">
        <v>46155.8125</v>
      </c>
      <c r="R807" s="22"/>
      <c r="S807" s="21" t="s">
        <v>3326</v>
      </c>
      <c r="T807" s="18" t="s">
        <v>478</v>
      </c>
      <c r="U807" s="18"/>
      <c r="V807" s="53" t="s">
        <v>3327</v>
      </c>
      <c r="W807" s="21"/>
      <c r="Y807" t="s">
        <v>158</v>
      </c>
      <c r="Z807" t="s">
        <v>70</v>
      </c>
    </row>
    <row r="808" spans="1:26" ht="15" hidden="1" customHeight="1">
      <c r="A808" s="60">
        <f>ROW() - ROW(Table1[[#Headers],[s]])</f>
        <v>807</v>
      </c>
      <c r="B808" t="s">
        <v>3328</v>
      </c>
      <c r="C808" s="163">
        <v>46143</v>
      </c>
      <c r="D808" s="52" t="s">
        <v>3329</v>
      </c>
      <c r="E808" s="243" t="e" vm="103">
        <v>#VALUE!</v>
      </c>
      <c r="F808" t="e" vm="42">
        <v>#VALUE!</v>
      </c>
      <c r="G808" s="5" t="s">
        <v>1784</v>
      </c>
      <c r="H808" t="s">
        <v>152</v>
      </c>
      <c r="I808" s="5" t="s">
        <v>43</v>
      </c>
      <c r="J808" s="18" t="s">
        <v>153</v>
      </c>
      <c r="K808" t="s">
        <v>154</v>
      </c>
      <c r="L808" s="44">
        <v>46155.890972222223</v>
      </c>
      <c r="M808" s="329" t="s">
        <v>227</v>
      </c>
      <c r="N808" s="169" t="s">
        <v>454</v>
      </c>
      <c r="O808" s="56">
        <v>46156.416666666664</v>
      </c>
      <c r="P808" s="3">
        <v>46156.416666666664</v>
      </c>
      <c r="Q808" s="58">
        <v>46156.416666666664</v>
      </c>
      <c r="R808" s="22"/>
      <c r="S808" s="21" t="s">
        <v>1442</v>
      </c>
      <c r="T808" s="55" t="s">
        <v>3330</v>
      </c>
      <c r="U808" s="18"/>
      <c r="V808" s="53" t="s">
        <v>3331</v>
      </c>
      <c r="W808" s="21"/>
      <c r="Y808" t="s">
        <v>179</v>
      </c>
      <c r="Z808" t="s">
        <v>179</v>
      </c>
    </row>
    <row r="809" spans="1:26" ht="15" hidden="1" customHeight="1">
      <c r="A809" s="17">
        <f>ROW() - ROW(Table1[[#Headers],[s]])</f>
        <v>808</v>
      </c>
      <c r="B809" t="s">
        <v>3332</v>
      </c>
      <c r="C809" s="272">
        <v>46143</v>
      </c>
      <c r="D809" s="19" t="s">
        <v>3333</v>
      </c>
      <c r="E809" s="242" t="e" vm="79">
        <v>#VALUE!</v>
      </c>
      <c r="F809" t="e" vm="25">
        <v>#VALUE!</v>
      </c>
      <c r="G809" s="5" t="s">
        <v>1784</v>
      </c>
      <c r="H809" t="s">
        <v>747</v>
      </c>
      <c r="I809" s="305" t="s">
        <v>3334</v>
      </c>
      <c r="J809" s="18" t="s">
        <v>253</v>
      </c>
      <c r="K809" t="s">
        <v>154</v>
      </c>
      <c r="L809" s="20">
        <v>46156.254861111112</v>
      </c>
      <c r="M809" s="307" t="s">
        <v>566</v>
      </c>
      <c r="N809" s="307" t="s">
        <v>566</v>
      </c>
      <c r="O809" s="3">
        <v>46156.375</v>
      </c>
      <c r="P809" s="3">
        <v>46156.375</v>
      </c>
      <c r="Q809" s="3">
        <v>46156.395833333336</v>
      </c>
      <c r="R809" s="22"/>
      <c r="S809" s="21" t="s">
        <v>3335</v>
      </c>
      <c r="T809" s="18" t="s">
        <v>738</v>
      </c>
      <c r="U809" s="18"/>
      <c r="V809" s="21" t="s">
        <v>1388</v>
      </c>
      <c r="W809" s="21"/>
      <c r="Y809" t="s">
        <v>158</v>
      </c>
      <c r="Z809" t="s">
        <v>70</v>
      </c>
    </row>
    <row r="810" spans="1:26" ht="15" hidden="1" customHeight="1">
      <c r="A810" s="60">
        <f>ROW() - ROW(Table1[[#Headers],[s]])</f>
        <v>809</v>
      </c>
      <c r="B810" t="s">
        <v>3336</v>
      </c>
      <c r="C810" s="272">
        <v>46143</v>
      </c>
      <c r="D810" s="19" t="s">
        <v>3337</v>
      </c>
      <c r="E810" s="19" t="e" vm="254">
        <v>#VALUE!</v>
      </c>
      <c r="F810" t="e" vm="16">
        <v>#VALUE!</v>
      </c>
      <c r="G810" s="5" t="s">
        <v>200</v>
      </c>
      <c r="H810" t="s">
        <v>245</v>
      </c>
      <c r="I810" s="5" t="s">
        <v>1221</v>
      </c>
      <c r="J810" s="18" t="s">
        <v>253</v>
      </c>
      <c r="K810" t="s">
        <v>154</v>
      </c>
      <c r="L810" s="20">
        <v>46156.412499999999</v>
      </c>
      <c r="M810" s="307" t="s">
        <v>58</v>
      </c>
      <c r="N810" s="18" t="s">
        <v>58</v>
      </c>
      <c r="O810" s="3">
        <v>46156.479166666664</v>
      </c>
      <c r="P810" s="3">
        <v>46156.479166666664</v>
      </c>
      <c r="Q810" s="22">
        <v>46156.571527777778</v>
      </c>
      <c r="R810" s="22"/>
      <c r="S810" s="21" t="s">
        <v>3338</v>
      </c>
      <c r="T810" s="331" t="s">
        <v>3339</v>
      </c>
      <c r="U810" s="18"/>
      <c r="V810" s="21" t="s">
        <v>239</v>
      </c>
      <c r="W810" s="21"/>
      <c r="Y810" t="s">
        <v>158</v>
      </c>
      <c r="Z810" t="s">
        <v>158</v>
      </c>
    </row>
    <row r="811" spans="1:26" ht="15" hidden="1" customHeight="1">
      <c r="A811" s="60">
        <f>ROW() - ROW(Table1[[#Headers],[s]])</f>
        <v>810</v>
      </c>
      <c r="B811" t="s">
        <v>3340</v>
      </c>
      <c r="C811" s="272">
        <v>46143</v>
      </c>
      <c r="D811" s="19" t="s">
        <v>3341</v>
      </c>
      <c r="E811" s="19" t="e" vm="82">
        <v>#VALUE!</v>
      </c>
      <c r="F811" t="e" vm="5">
        <v>#VALUE!</v>
      </c>
      <c r="G811" s="5" t="s">
        <v>200</v>
      </c>
      <c r="H811" t="s">
        <v>747</v>
      </c>
      <c r="I811" s="5" t="s">
        <v>1221</v>
      </c>
      <c r="J811" s="18" t="s">
        <v>253</v>
      </c>
      <c r="K811" t="s">
        <v>154</v>
      </c>
      <c r="L811" s="20">
        <v>46156.34097222222</v>
      </c>
      <c r="M811" s="307" t="s">
        <v>55</v>
      </c>
      <c r="N811" s="18" t="s">
        <v>3342</v>
      </c>
      <c r="O811" s="3">
        <v>46156.416666666664</v>
      </c>
      <c r="P811" s="3">
        <v>46156.458333333336</v>
      </c>
      <c r="Q811" s="22">
        <v>46156.716666666667</v>
      </c>
      <c r="R811" s="22"/>
      <c r="S811" s="21" t="s">
        <v>3343</v>
      </c>
      <c r="T811" s="18" t="s">
        <v>478</v>
      </c>
      <c r="U811" s="18"/>
      <c r="V811" s="21" t="s">
        <v>3344</v>
      </c>
      <c r="W811" s="21"/>
      <c r="Y811" t="s">
        <v>158</v>
      </c>
      <c r="Z811" t="s">
        <v>203</v>
      </c>
    </row>
    <row r="812" spans="1:26" ht="15" hidden="1" customHeight="1">
      <c r="A812" s="17">
        <f>ROW() - ROW(Table1[[#Headers],[s]])</f>
        <v>811</v>
      </c>
      <c r="B812" t="s">
        <v>3345</v>
      </c>
      <c r="C812" s="272">
        <v>46143</v>
      </c>
      <c r="D812" s="19" t="s">
        <v>3346</v>
      </c>
      <c r="E812" s="19" t="e" vm="118">
        <v>#VALUE!</v>
      </c>
      <c r="F812" t="e" vm="25">
        <v>#VALUE!</v>
      </c>
      <c r="G812" s="5" t="s">
        <v>200</v>
      </c>
      <c r="H812" t="s">
        <v>152</v>
      </c>
      <c r="I812" s="5" t="s">
        <v>43</v>
      </c>
      <c r="J812" s="18" t="s">
        <v>153</v>
      </c>
      <c r="K812" t="s">
        <v>154</v>
      </c>
      <c r="L812" s="20">
        <v>46156.493055555555</v>
      </c>
      <c r="M812" s="307" t="s">
        <v>72</v>
      </c>
      <c r="N812" s="18" t="s">
        <v>72</v>
      </c>
      <c r="O812" s="3">
        <v>46156.541666666664</v>
      </c>
      <c r="P812" s="3">
        <v>46156.583333333336</v>
      </c>
      <c r="Q812" s="22">
        <v>46156.625</v>
      </c>
      <c r="R812" s="22"/>
      <c r="S812" s="21" t="s">
        <v>3347</v>
      </c>
      <c r="T812" s="18" t="s">
        <v>478</v>
      </c>
      <c r="U812" s="18"/>
      <c r="V812" s="21" t="s">
        <v>3348</v>
      </c>
      <c r="W812" s="21"/>
      <c r="Y812" t="s">
        <v>203</v>
      </c>
      <c r="Z812" t="s">
        <v>70</v>
      </c>
    </row>
    <row r="813" spans="1:26" ht="15" hidden="1" customHeight="1">
      <c r="A813" s="60">
        <f>ROW() - ROW(Table1[[#Headers],[s]])</f>
        <v>812</v>
      </c>
      <c r="B813" t="s">
        <v>3349</v>
      </c>
      <c r="C813" s="163">
        <v>46143</v>
      </c>
      <c r="D813" s="52" t="s">
        <v>3350</v>
      </c>
      <c r="E813" s="19" t="e" vm="224">
        <v>#VALUE!</v>
      </c>
      <c r="F813" t="e" vm="40">
        <v>#VALUE!</v>
      </c>
      <c r="G813" s="5" t="s">
        <v>200</v>
      </c>
      <c r="H813" t="s">
        <v>152</v>
      </c>
      <c r="I813" s="5" t="s">
        <v>43</v>
      </c>
      <c r="J813" s="18" t="s">
        <v>153</v>
      </c>
      <c r="K813" t="s">
        <v>154</v>
      </c>
      <c r="L813" s="44">
        <v>46156.40902777778</v>
      </c>
      <c r="M813" s="169" t="s">
        <v>39</v>
      </c>
      <c r="N813" s="169" t="s">
        <v>39</v>
      </c>
      <c r="O813" s="56">
        <v>46156.541666666664</v>
      </c>
      <c r="P813" s="3">
        <v>46156.5625</v>
      </c>
      <c r="Q813" s="58">
        <v>46156.583333333336</v>
      </c>
      <c r="R813" s="22"/>
      <c r="S813" s="21" t="s">
        <v>2290</v>
      </c>
      <c r="T813" s="55" t="s">
        <v>179</v>
      </c>
      <c r="U813" s="18"/>
      <c r="V813" s="53" t="s">
        <v>3351</v>
      </c>
      <c r="W813" s="21"/>
      <c r="Y813" t="s">
        <v>203</v>
      </c>
      <c r="Z813" t="s">
        <v>70</v>
      </c>
    </row>
    <row r="814" spans="1:26" ht="15" hidden="1" customHeight="1">
      <c r="A814" s="60">
        <f>ROW() - ROW(Table1[[#Headers],[s]])</f>
        <v>813</v>
      </c>
      <c r="B814" t="s">
        <v>3352</v>
      </c>
      <c r="C814" s="163">
        <v>46143</v>
      </c>
      <c r="D814" s="52" t="s">
        <v>3353</v>
      </c>
      <c r="E814" s="19" t="e" vm="129">
        <v>#VALUE!</v>
      </c>
      <c r="F814" t="e" vm="35">
        <v>#VALUE!</v>
      </c>
      <c r="G814" s="5" t="s">
        <v>200</v>
      </c>
      <c r="H814" t="s">
        <v>152</v>
      </c>
      <c r="I814" s="5" t="s">
        <v>43</v>
      </c>
      <c r="J814" s="18" t="s">
        <v>153</v>
      </c>
      <c r="K814" t="s">
        <v>154</v>
      </c>
      <c r="L814" s="44">
        <v>46156.576388888891</v>
      </c>
      <c r="M814" s="169" t="s">
        <v>3354</v>
      </c>
      <c r="N814" s="55" t="s">
        <v>3354</v>
      </c>
      <c r="O814" s="56">
        <v>46156.666666666664</v>
      </c>
      <c r="P814" s="3">
        <v>46156.6875</v>
      </c>
      <c r="Q814" s="58">
        <v>46156.75</v>
      </c>
      <c r="R814" s="22"/>
      <c r="S814" s="21" t="s">
        <v>3355</v>
      </c>
      <c r="T814" s="55" t="s">
        <v>478</v>
      </c>
      <c r="U814" s="18"/>
      <c r="V814" s="53" t="s">
        <v>3356</v>
      </c>
      <c r="W814" s="21"/>
      <c r="Y814" t="s">
        <v>203</v>
      </c>
      <c r="Z814" t="s">
        <v>70</v>
      </c>
    </row>
    <row r="815" spans="1:26" ht="15.75" hidden="1" customHeight="1">
      <c r="A815" s="17">
        <f>ROW() - ROW(Table1[[#Headers],[s]])</f>
        <v>814</v>
      </c>
      <c r="B815" s="223" t="s">
        <v>3357</v>
      </c>
      <c r="C815" s="272">
        <v>46143</v>
      </c>
      <c r="D815" s="19" t="s">
        <v>3358</v>
      </c>
      <c r="E815" s="19" t="e" vm="255">
        <v>#VALUE!</v>
      </c>
      <c r="F815" t="e" vm="25">
        <v>#VALUE!</v>
      </c>
      <c r="G815" s="5" t="s">
        <v>174</v>
      </c>
      <c r="H815" t="s">
        <v>152</v>
      </c>
      <c r="I815" s="5"/>
      <c r="J815" s="18" t="s">
        <v>153</v>
      </c>
      <c r="K815" t="s">
        <v>3359</v>
      </c>
      <c r="L815" s="20">
        <v>46157.44027777778</v>
      </c>
      <c r="M815" s="307" t="s">
        <v>72</v>
      </c>
      <c r="N815" s="307" t="s">
        <v>72</v>
      </c>
      <c r="O815" s="20">
        <v>46157.489583333336</v>
      </c>
      <c r="P815" s="20">
        <v>46157.489583333336</v>
      </c>
      <c r="Q815" s="20">
        <v>46157.572916666664</v>
      </c>
      <c r="R815" s="22"/>
      <c r="S815" s="21" t="s">
        <v>3360</v>
      </c>
      <c r="T815" s="55" t="s">
        <v>478</v>
      </c>
      <c r="U815" s="18"/>
      <c r="V815" s="21" t="s">
        <v>3361</v>
      </c>
      <c r="W815" s="21"/>
      <c r="Y815" t="s">
        <v>158</v>
      </c>
      <c r="Z815" t="s">
        <v>70</v>
      </c>
    </row>
    <row r="816" spans="1:26" ht="15" hidden="1" customHeight="1">
      <c r="A816" s="17">
        <f>ROW() - ROW(Table1[[#Headers],[s]])</f>
        <v>815</v>
      </c>
      <c r="B816" t="s">
        <v>3362</v>
      </c>
      <c r="C816" s="272">
        <v>46143</v>
      </c>
      <c r="D816" s="19" t="s">
        <v>3363</v>
      </c>
      <c r="E816" s="19" t="e" vm="203">
        <v>#VALUE!</v>
      </c>
      <c r="F816" t="e" vm="17">
        <v>#VALUE!</v>
      </c>
      <c r="G816" s="5" t="s">
        <v>174</v>
      </c>
      <c r="H816" t="s">
        <v>747</v>
      </c>
      <c r="I816" s="5"/>
      <c r="J816" s="18" t="s">
        <v>253</v>
      </c>
      <c r="K816" t="s">
        <v>3364</v>
      </c>
      <c r="L816" s="20">
        <v>46158.493750000001</v>
      </c>
      <c r="M816" s="307" t="s">
        <v>1643</v>
      </c>
      <c r="N816" s="307" t="s">
        <v>1643</v>
      </c>
      <c r="O816" s="20">
        <v>46158.493750000001</v>
      </c>
      <c r="P816" s="20">
        <v>46158.520833333336</v>
      </c>
      <c r="Q816" s="20">
        <v>46158.552083333336</v>
      </c>
      <c r="R816" s="22"/>
      <c r="S816" s="21" t="s">
        <v>3365</v>
      </c>
      <c r="T816" s="55" t="s">
        <v>478</v>
      </c>
      <c r="U816" s="18"/>
      <c r="V816" s="21" t="s">
        <v>3366</v>
      </c>
      <c r="W816" s="21"/>
      <c r="Y816" t="s">
        <v>158</v>
      </c>
      <c r="Z816" t="s">
        <v>70</v>
      </c>
    </row>
    <row r="817" spans="1:26" ht="15.75" hidden="1" customHeight="1">
      <c r="A817" s="17">
        <f>ROW() - ROW(Table1[[#Headers],[s]])</f>
        <v>816</v>
      </c>
      <c r="B817" s="223" t="s">
        <v>3367</v>
      </c>
      <c r="C817" s="272">
        <v>46143</v>
      </c>
      <c r="D817" s="19" t="s">
        <v>3368</v>
      </c>
      <c r="E817" s="19" t="s">
        <v>150</v>
      </c>
      <c r="F817" t="e" vm="1">
        <v>#VALUE!</v>
      </c>
      <c r="G817" s="5" t="s">
        <v>174</v>
      </c>
      <c r="H817" t="s">
        <v>152</v>
      </c>
      <c r="I817" s="5"/>
      <c r="J817" s="18" t="s">
        <v>153</v>
      </c>
      <c r="K817" t="s">
        <v>154</v>
      </c>
      <c r="L817" s="20">
        <v>46159.517361111109</v>
      </c>
      <c r="M817" s="307" t="s">
        <v>3369</v>
      </c>
      <c r="N817" s="307" t="s">
        <v>3369</v>
      </c>
      <c r="O817" s="20" t="s">
        <v>3370</v>
      </c>
      <c r="P817" s="20" t="s">
        <v>3371</v>
      </c>
      <c r="Q817" s="20">
        <v>46159.572916666664</v>
      </c>
      <c r="R817" s="22"/>
      <c r="S817" s="21" t="s">
        <v>3372</v>
      </c>
      <c r="T817" s="18" t="s">
        <v>604</v>
      </c>
      <c r="U817" s="18"/>
      <c r="V817" s="21" t="s">
        <v>3373</v>
      </c>
      <c r="W817" s="21"/>
      <c r="Y817" t="s">
        <v>158</v>
      </c>
      <c r="Z817" t="s">
        <v>70</v>
      </c>
    </row>
    <row r="818" spans="1:26" ht="15.75" hidden="1" customHeight="1">
      <c r="A818" s="17">
        <f>ROW() - ROW(Table1[[#Headers],[s]])</f>
        <v>817</v>
      </c>
      <c r="B818" s="223" t="s">
        <v>3374</v>
      </c>
      <c r="C818" s="272">
        <v>46143</v>
      </c>
      <c r="D818" s="19" t="s">
        <v>3375</v>
      </c>
      <c r="E818" s="19" t="e" vm="64">
        <v>#VALUE!</v>
      </c>
      <c r="F818" t="e" vm="26">
        <v>#VALUE!</v>
      </c>
      <c r="G818" s="5" t="s">
        <v>174</v>
      </c>
      <c r="H818" t="s">
        <v>152</v>
      </c>
      <c r="I818" s="5"/>
      <c r="J818" s="18" t="s">
        <v>153</v>
      </c>
      <c r="K818" t="s">
        <v>154</v>
      </c>
      <c r="L818" s="20">
        <v>46158.611111111109</v>
      </c>
      <c r="M818" s="307" t="s">
        <v>1023</v>
      </c>
      <c r="N818" s="307" t="s">
        <v>1023</v>
      </c>
      <c r="O818" s="20">
        <v>45794.333333333336</v>
      </c>
      <c r="P818" s="20">
        <v>45794.354166666664</v>
      </c>
      <c r="Q818" s="20">
        <v>46159.375</v>
      </c>
      <c r="R818" s="22"/>
      <c r="S818" s="21" t="s">
        <v>3376</v>
      </c>
      <c r="T818" s="18" t="s">
        <v>2765</v>
      </c>
      <c r="U818" s="18"/>
      <c r="V818" s="21" t="s">
        <v>3377</v>
      </c>
      <c r="W818" s="21"/>
      <c r="Y818" t="s">
        <v>158</v>
      </c>
      <c r="Z818" t="s">
        <v>70</v>
      </c>
    </row>
    <row r="819" spans="1:26" ht="15" hidden="1" customHeight="1">
      <c r="A819" s="17">
        <f>ROW() - ROW(Table1[[#Headers],[s]])</f>
        <v>818</v>
      </c>
      <c r="B819" s="305" t="s">
        <v>3378</v>
      </c>
      <c r="C819" s="272">
        <v>46143</v>
      </c>
      <c r="D819" s="19" t="s">
        <v>3379</v>
      </c>
      <c r="E819" s="19" t="e" vm="79">
        <v>#VALUE!</v>
      </c>
      <c r="F819" t="e" vm="25">
        <v>#VALUE!</v>
      </c>
      <c r="G819" s="5" t="s">
        <v>174</v>
      </c>
      <c r="H819" t="s">
        <v>152</v>
      </c>
      <c r="I819" s="5"/>
      <c r="J819" s="18" t="s">
        <v>153</v>
      </c>
      <c r="K819" t="s">
        <v>154</v>
      </c>
      <c r="L819" s="20">
        <v>46158.606944444444</v>
      </c>
      <c r="M819" s="307" t="s">
        <v>72</v>
      </c>
      <c r="N819" s="307" t="s">
        <v>72</v>
      </c>
      <c r="O819" s="20">
        <v>46159.71875</v>
      </c>
      <c r="P819" s="20">
        <v>46159.729166666664</v>
      </c>
      <c r="Q819" s="20">
        <v>46159.802083333336</v>
      </c>
      <c r="R819" s="22"/>
      <c r="S819" s="21" t="s">
        <v>3380</v>
      </c>
      <c r="T819" s="18" t="s">
        <v>3381</v>
      </c>
      <c r="U819" s="18"/>
      <c r="V819" s="21" t="s">
        <v>404</v>
      </c>
      <c r="W819" s="21"/>
      <c r="Y819" t="s">
        <v>158</v>
      </c>
      <c r="Z819" t="s">
        <v>158</v>
      </c>
    </row>
    <row r="820" spans="1:26" ht="15" hidden="1" customHeight="1">
      <c r="A820" s="17">
        <f>ROW() - ROW(Table1[[#Headers],[s]])</f>
        <v>819</v>
      </c>
      <c r="B820" t="s">
        <v>3382</v>
      </c>
      <c r="C820" s="272" t="s">
        <v>60</v>
      </c>
      <c r="D820" s="19" t="s">
        <v>3383</v>
      </c>
      <c r="E820" s="19" t="e" vm="256">
        <v>#VALUE!</v>
      </c>
      <c r="F820" t="e" vm="26">
        <v>#VALUE!</v>
      </c>
      <c r="G820" s="5" t="s">
        <v>174</v>
      </c>
      <c r="H820" t="s">
        <v>747</v>
      </c>
      <c r="I820" s="5"/>
      <c r="J820" s="18" t="s">
        <v>253</v>
      </c>
      <c r="K820" t="s">
        <v>154</v>
      </c>
      <c r="L820" s="20">
        <v>46157.7</v>
      </c>
      <c r="M820" s="307" t="s">
        <v>1023</v>
      </c>
      <c r="N820" s="307" t="s">
        <v>1023</v>
      </c>
      <c r="O820" s="20">
        <v>46159.7</v>
      </c>
      <c r="P820" s="20">
        <v>46157.729166666664</v>
      </c>
      <c r="Q820" s="20">
        <v>46159.7</v>
      </c>
      <c r="R820" s="22"/>
      <c r="S820" s="21" t="s">
        <v>3384</v>
      </c>
      <c r="U820" s="18"/>
      <c r="V820" s="21" t="s">
        <v>3385</v>
      </c>
      <c r="W820" s="21"/>
      <c r="Y820" t="s">
        <v>179</v>
      </c>
      <c r="Z820" t="s">
        <v>179</v>
      </c>
    </row>
    <row r="821" spans="1:26" ht="15" hidden="1" customHeight="1">
      <c r="A821" s="17">
        <f>ROW() - ROW(Table1[[#Headers],[s]])</f>
        <v>820</v>
      </c>
      <c r="B821" t="s">
        <v>3386</v>
      </c>
      <c r="C821" s="272">
        <v>46143</v>
      </c>
      <c r="D821" s="19" t="s">
        <v>3387</v>
      </c>
      <c r="E821" s="19" t="e" vm="221">
        <v>#VALUE!</v>
      </c>
      <c r="F821" t="e" vm="35">
        <v>#VALUE!</v>
      </c>
      <c r="G821" s="5" t="s">
        <v>174</v>
      </c>
      <c r="H821" t="s">
        <v>747</v>
      </c>
      <c r="I821" s="5"/>
      <c r="J821" s="18" t="s">
        <v>253</v>
      </c>
      <c r="K821" t="s">
        <v>3388</v>
      </c>
      <c r="L821" s="20">
        <v>46159.693749999999</v>
      </c>
      <c r="M821" s="307" t="s">
        <v>3369</v>
      </c>
      <c r="N821" s="307" t="s">
        <v>3369</v>
      </c>
      <c r="O821" s="20">
        <v>46159.739583333336</v>
      </c>
      <c r="P821" s="20">
        <v>46159.760416666664</v>
      </c>
      <c r="Q821" s="20">
        <v>46159.78125</v>
      </c>
      <c r="R821" s="22"/>
      <c r="S821" s="21" t="s">
        <v>3389</v>
      </c>
      <c r="T821" s="18" t="s">
        <v>3390</v>
      </c>
      <c r="U821" s="18"/>
      <c r="V821" s="21" t="s">
        <v>3391</v>
      </c>
      <c r="W821" s="21"/>
      <c r="Y821" t="s">
        <v>158</v>
      </c>
      <c r="Z821" t="s">
        <v>158</v>
      </c>
    </row>
    <row r="822" spans="1:26" ht="15" hidden="1" customHeight="1">
      <c r="A822" s="17">
        <f>ROW() - ROW(Table1[[#Headers],[s]])</f>
        <v>821</v>
      </c>
      <c r="B822" t="s">
        <v>3392</v>
      </c>
      <c r="C822" s="272">
        <v>46143</v>
      </c>
      <c r="D822" s="19" t="s">
        <v>3393</v>
      </c>
      <c r="E822" s="19" t="e" vm="136">
        <v>#VALUE!</v>
      </c>
      <c r="F822" t="e" vm="21">
        <v>#VALUE!</v>
      </c>
      <c r="G822" s="5" t="s">
        <v>1057</v>
      </c>
      <c r="H822" t="s">
        <v>152</v>
      </c>
      <c r="I822" s="314" t="s">
        <v>43</v>
      </c>
      <c r="J822" s="18" t="s">
        <v>153</v>
      </c>
      <c r="K822" t="s">
        <v>154</v>
      </c>
      <c r="L822" s="20">
        <v>46160.408333333333</v>
      </c>
      <c r="M822" s="169" t="s">
        <v>39</v>
      </c>
      <c r="N822" s="169" t="s">
        <v>39</v>
      </c>
      <c r="O822" s="20">
        <v>46160.513888888891</v>
      </c>
      <c r="P822" s="20">
        <v>46160.520833333336</v>
      </c>
      <c r="Q822" s="20">
        <v>46160.527777777781</v>
      </c>
      <c r="R822" s="22"/>
      <c r="S822" s="21" t="s">
        <v>3394</v>
      </c>
      <c r="T822" s="55" t="s">
        <v>478</v>
      </c>
      <c r="U822" s="18"/>
      <c r="V822" s="21" t="s">
        <v>3395</v>
      </c>
      <c r="W822" s="21"/>
      <c r="Y822" t="s">
        <v>158</v>
      </c>
      <c r="Z822" t="s">
        <v>70</v>
      </c>
    </row>
    <row r="823" spans="1:26" ht="15" hidden="1" customHeight="1">
      <c r="A823" s="17">
        <f>ROW() - ROW(Table1[[#Headers],[s]])</f>
        <v>822</v>
      </c>
      <c r="B823" t="s">
        <v>3396</v>
      </c>
      <c r="C823" s="272">
        <v>46143</v>
      </c>
      <c r="D823" s="19" t="s">
        <v>3397</v>
      </c>
      <c r="E823" s="19" t="e" vm="256">
        <v>#VALUE!</v>
      </c>
      <c r="F823" t="e" vm="26">
        <v>#VALUE!</v>
      </c>
      <c r="G823" s="5" t="s">
        <v>1057</v>
      </c>
      <c r="H823" t="s">
        <v>747</v>
      </c>
      <c r="I823" s="314" t="s">
        <v>43</v>
      </c>
      <c r="J823" s="18" t="s">
        <v>253</v>
      </c>
      <c r="K823" t="s">
        <v>840</v>
      </c>
      <c r="L823" s="20">
        <v>46160.427083333336</v>
      </c>
      <c r="M823" s="67" t="s">
        <v>59</v>
      </c>
      <c r="N823" s="67" t="s">
        <v>59</v>
      </c>
      <c r="O823" s="20">
        <v>46160.513888888891</v>
      </c>
      <c r="P823" s="20">
        <v>46160.524305555555</v>
      </c>
      <c r="Q823" s="20">
        <v>46160.695833333331</v>
      </c>
      <c r="R823" s="22"/>
      <c r="S823" s="21" t="s">
        <v>3398</v>
      </c>
      <c r="T823" s="55" t="s">
        <v>478</v>
      </c>
      <c r="U823" s="18"/>
      <c r="V823" s="21" t="s">
        <v>3399</v>
      </c>
      <c r="W823" s="21"/>
      <c r="Y823" t="s">
        <v>179</v>
      </c>
      <c r="Z823" t="s">
        <v>179</v>
      </c>
    </row>
    <row r="824" spans="1:26" ht="15" hidden="1" customHeight="1">
      <c r="A824" s="17">
        <f>ROW() - ROW(Table1[[#Headers],[s]])</f>
        <v>823</v>
      </c>
      <c r="B824" t="s">
        <v>3400</v>
      </c>
      <c r="C824" s="272">
        <v>46143</v>
      </c>
      <c r="D824" s="19" t="s">
        <v>3401</v>
      </c>
      <c r="E824" s="19" t="e" vm="138">
        <v>#VALUE!</v>
      </c>
      <c r="F824" t="e" vm="5">
        <v>#VALUE!</v>
      </c>
      <c r="G824" s="5" t="s">
        <v>1057</v>
      </c>
      <c r="H824" t="s">
        <v>747</v>
      </c>
      <c r="I824" s="314" t="s">
        <v>43</v>
      </c>
      <c r="J824" s="18" t="s">
        <v>253</v>
      </c>
      <c r="K824" t="s">
        <v>154</v>
      </c>
      <c r="L824" s="20">
        <v>46160.45208333333</v>
      </c>
      <c r="M824" t="s">
        <v>55</v>
      </c>
      <c r="N824" s="18" t="s">
        <v>55</v>
      </c>
      <c r="O824" s="20">
        <v>46160.479166666664</v>
      </c>
      <c r="P824" s="20">
        <v>46160.522222222222</v>
      </c>
      <c r="Q824" s="20">
        <v>46160.594444444447</v>
      </c>
      <c r="R824" s="22"/>
      <c r="S824" s="21" t="s">
        <v>3402</v>
      </c>
      <c r="T824" s="18" t="s">
        <v>3403</v>
      </c>
      <c r="U824" s="18"/>
      <c r="V824" s="21" t="s">
        <v>3404</v>
      </c>
      <c r="W824" s="21"/>
      <c r="Y824" t="s">
        <v>158</v>
      </c>
      <c r="Z824" t="s">
        <v>158</v>
      </c>
    </row>
    <row r="825" spans="1:26" ht="15" hidden="1" customHeight="1">
      <c r="A825" s="17">
        <f>ROW() - ROW(Table1[[#Headers],[s]])</f>
        <v>824</v>
      </c>
      <c r="B825" t="s">
        <v>3405</v>
      </c>
      <c r="C825" s="272">
        <v>46143</v>
      </c>
      <c r="D825" s="19" t="s">
        <v>3406</v>
      </c>
      <c r="E825" s="19" t="e" vm="87">
        <v>#VALUE!</v>
      </c>
      <c r="F825" s="60" t="e" vm="49">
        <v>#VALUE!</v>
      </c>
      <c r="G825" s="5" t="s">
        <v>1057</v>
      </c>
      <c r="H825" t="s">
        <v>152</v>
      </c>
      <c r="I825" s="314" t="s">
        <v>43</v>
      </c>
      <c r="J825" s="18" t="s">
        <v>153</v>
      </c>
      <c r="K825" t="s">
        <v>154</v>
      </c>
      <c r="L825" s="20">
        <v>46160.427083333336</v>
      </c>
      <c r="M825" s="329" t="s">
        <v>227</v>
      </c>
      <c r="N825" s="329" t="s">
        <v>227</v>
      </c>
      <c r="O825" s="20">
        <v>46160.631944444445</v>
      </c>
      <c r="P825" s="20">
        <v>46160.649305555555</v>
      </c>
      <c r="Q825" s="20">
        <v>46160.663194444445</v>
      </c>
      <c r="R825" s="22"/>
      <c r="S825" s="21" t="s">
        <v>3407</v>
      </c>
      <c r="T825" s="55" t="s">
        <v>478</v>
      </c>
      <c r="U825" s="18"/>
      <c r="V825" s="21" t="s">
        <v>3408</v>
      </c>
      <c r="W825" s="21"/>
      <c r="Y825" t="s">
        <v>158</v>
      </c>
      <c r="Z825" t="s">
        <v>70</v>
      </c>
    </row>
    <row r="826" spans="1:26" ht="15" customHeight="1">
      <c r="A826" s="17">
        <f>ROW() - ROW(Table1[[#Headers],[s]])</f>
        <v>825</v>
      </c>
      <c r="B826" t="s">
        <v>3409</v>
      </c>
      <c r="C826" s="272">
        <v>46143</v>
      </c>
      <c r="D826" s="19" t="s">
        <v>3410</v>
      </c>
      <c r="E826" s="19" t="e" vm="68">
        <v>#VALUE!</v>
      </c>
      <c r="F826" t="e" vm="26">
        <v>#VALUE!</v>
      </c>
      <c r="G826" s="5" t="s">
        <v>83</v>
      </c>
      <c r="H826" t="s">
        <v>152</v>
      </c>
      <c r="I826" t="s">
        <v>43</v>
      </c>
      <c r="J826" s="18" t="s">
        <v>153</v>
      </c>
      <c r="K826" t="s">
        <v>154</v>
      </c>
      <c r="L826" s="20">
        <v>46160.473611111112</v>
      </c>
      <c r="M826" t="s">
        <v>88</v>
      </c>
      <c r="N826" s="18" t="s">
        <v>88</v>
      </c>
      <c r="O826" s="20">
        <v>46161.333333333336</v>
      </c>
      <c r="P826" s="20">
        <v>46161.340277777781</v>
      </c>
      <c r="Q826" s="20">
        <v>46161.375</v>
      </c>
      <c r="R826" s="22"/>
      <c r="S826" s="21" t="s">
        <v>2355</v>
      </c>
      <c r="T826" s="18" t="s">
        <v>478</v>
      </c>
      <c r="U826" s="18"/>
      <c r="V826" s="21" t="s">
        <v>581</v>
      </c>
      <c r="W826" s="21"/>
      <c r="Y826" t="s">
        <v>158</v>
      </c>
      <c r="Z826" t="s">
        <v>70</v>
      </c>
    </row>
    <row r="827" spans="1:26" ht="15.75" hidden="1" customHeight="1">
      <c r="A827" s="17">
        <f>ROW() - ROW(Table1[[#Headers],[s]])</f>
        <v>826</v>
      </c>
      <c r="B827" t="s">
        <v>3411</v>
      </c>
      <c r="C827" s="272">
        <v>46143</v>
      </c>
      <c r="D827" s="19" t="s">
        <v>3412</v>
      </c>
      <c r="E827" s="230" t="e" vm="147">
        <v>#VALUE!</v>
      </c>
      <c r="F827" t="e" vm="16">
        <v>#VALUE!</v>
      </c>
      <c r="G827" s="5" t="s">
        <v>1057</v>
      </c>
      <c r="H827" t="s">
        <v>152</v>
      </c>
      <c r="I827" s="314" t="s">
        <v>43</v>
      </c>
      <c r="J827" s="18" t="s">
        <v>261</v>
      </c>
      <c r="K827" t="s">
        <v>154</v>
      </c>
      <c r="L827" s="20">
        <v>46160.534722222219</v>
      </c>
      <c r="M827" s="307" t="s">
        <v>3413</v>
      </c>
      <c r="N827" s="307" t="s">
        <v>3413</v>
      </c>
      <c r="O827" s="20">
        <v>46160.583333333336</v>
      </c>
      <c r="P827" s="20">
        <v>46160.604166666664</v>
      </c>
      <c r="Q827" s="20">
        <v>46160.75</v>
      </c>
      <c r="R827" s="22"/>
      <c r="S827" s="21" t="s">
        <v>3414</v>
      </c>
      <c r="T827" s="18" t="s">
        <v>2926</v>
      </c>
      <c r="U827" s="18"/>
      <c r="V827" s="21" t="s">
        <v>3415</v>
      </c>
      <c r="W827" s="21" t="s">
        <v>3416</v>
      </c>
      <c r="Y827" t="s">
        <v>158</v>
      </c>
      <c r="Z827" t="s">
        <v>158</v>
      </c>
    </row>
    <row r="828" spans="1:26" ht="15.75" hidden="1" customHeight="1">
      <c r="A828" s="17">
        <f>ROW() - ROW(Table1[[#Headers],[s]])</f>
        <v>827</v>
      </c>
      <c r="B828" t="s">
        <v>3417</v>
      </c>
      <c r="C828" s="181" t="s">
        <v>60</v>
      </c>
      <c r="D828" s="19" t="s">
        <v>3418</v>
      </c>
      <c r="E828" s="230" t="e" vm="147">
        <v>#VALUE!</v>
      </c>
      <c r="F828" t="e" vm="16">
        <v>#VALUE!</v>
      </c>
      <c r="G828" s="5" t="s">
        <v>1057</v>
      </c>
      <c r="H828" t="s">
        <v>152</v>
      </c>
      <c r="I828" s="5" t="s">
        <v>60</v>
      </c>
      <c r="J828" s="18" t="s">
        <v>153</v>
      </c>
      <c r="K828" s="42" t="s">
        <v>154</v>
      </c>
      <c r="L828" s="20">
        <v>46160.535416666666</v>
      </c>
      <c r="M828" s="307" t="s">
        <v>3413</v>
      </c>
      <c r="N828" s="307" t="s">
        <v>3413</v>
      </c>
      <c r="O828" s="3"/>
      <c r="P828" s="5"/>
      <c r="R828" s="22"/>
      <c r="S828" s="21" t="s">
        <v>3419</v>
      </c>
      <c r="T828" s="55" t="s">
        <v>179</v>
      </c>
      <c r="U828" s="18"/>
      <c r="V828" s="53" t="s">
        <v>179</v>
      </c>
      <c r="W828" s="21"/>
      <c r="Y828" t="s">
        <v>179</v>
      </c>
      <c r="Z828" t="s">
        <v>179</v>
      </c>
    </row>
    <row r="829" spans="1:26" ht="15" hidden="1" customHeight="1">
      <c r="A829" s="17">
        <f>ROW() - ROW(Table1[[#Headers],[s]])</f>
        <v>828</v>
      </c>
      <c r="B829" t="s">
        <v>3420</v>
      </c>
      <c r="C829" s="272">
        <v>46143</v>
      </c>
      <c r="D829" s="19" t="s">
        <v>3421</v>
      </c>
      <c r="E829" s="308" t="e" vm="257">
        <v>#VALUE!</v>
      </c>
      <c r="F829" s="232" t="e" vm="37">
        <v>#VALUE!</v>
      </c>
      <c r="G829" s="256" t="s">
        <v>3422</v>
      </c>
      <c r="H829" t="s">
        <v>747</v>
      </c>
      <c r="I829" s="21" t="s">
        <v>3423</v>
      </c>
      <c r="J829" s="18" t="s">
        <v>253</v>
      </c>
      <c r="K829" s="21" t="s">
        <v>3423</v>
      </c>
      <c r="L829" s="20">
        <v>46160.563194444447</v>
      </c>
      <c r="M829" s="67" t="s">
        <v>59</v>
      </c>
      <c r="N829" s="67" t="s">
        <v>59</v>
      </c>
      <c r="O829" s="3">
        <v>46161.333333333336</v>
      </c>
      <c r="P829" s="3">
        <v>46161.416666666664</v>
      </c>
      <c r="Q829" s="22">
        <v>46161.525000000001</v>
      </c>
      <c r="R829" s="22"/>
      <c r="S829" s="388" t="s">
        <v>3424</v>
      </c>
      <c r="T829" s="55" t="s">
        <v>478</v>
      </c>
      <c r="U829" s="18"/>
      <c r="V829" s="388" t="s">
        <v>3425</v>
      </c>
      <c r="W829" s="21"/>
      <c r="Y829" t="s">
        <v>70</v>
      </c>
      <c r="Z829" t="s">
        <v>70</v>
      </c>
    </row>
    <row r="830" spans="1:26" ht="15" hidden="1" customHeight="1">
      <c r="A830" s="17">
        <f>ROW() - ROW(Table1[[#Headers],[s]])</f>
        <v>829</v>
      </c>
      <c r="B830" t="s">
        <v>3426</v>
      </c>
      <c r="C830" s="272">
        <v>46143</v>
      </c>
      <c r="D830" s="19" t="s">
        <v>3427</v>
      </c>
      <c r="E830" s="19" t="e" vm="224">
        <v>#VALUE!</v>
      </c>
      <c r="F830" t="e" vm="40">
        <v>#VALUE!</v>
      </c>
      <c r="G830" s="5" t="s">
        <v>1057</v>
      </c>
      <c r="H830" t="s">
        <v>152</v>
      </c>
      <c r="I830" s="314" t="s">
        <v>43</v>
      </c>
      <c r="J830" s="18" t="s">
        <v>153</v>
      </c>
      <c r="K830" t="s">
        <v>154</v>
      </c>
      <c r="L830" s="20">
        <v>46160.661805555559</v>
      </c>
      <c r="M830" s="169" t="s">
        <v>39</v>
      </c>
      <c r="N830" s="169" t="s">
        <v>39</v>
      </c>
      <c r="O830" s="20">
        <v>46160.6875</v>
      </c>
      <c r="P830" s="20">
        <v>46160.689583333333</v>
      </c>
      <c r="Q830" s="20">
        <v>46160.697916666664</v>
      </c>
      <c r="R830" s="22"/>
      <c r="S830" s="21" t="s">
        <v>3428</v>
      </c>
      <c r="T830" s="55" t="s">
        <v>478</v>
      </c>
      <c r="U830" s="18"/>
      <c r="V830" s="21" t="s">
        <v>3429</v>
      </c>
      <c r="W830" s="21"/>
      <c r="Y830" t="s">
        <v>158</v>
      </c>
      <c r="Z830" t="s">
        <v>70</v>
      </c>
    </row>
    <row r="831" spans="1:26" ht="15.75" customHeight="1">
      <c r="A831" s="17">
        <f>ROW() - ROW(Table1[[#Headers],[s]])</f>
        <v>830</v>
      </c>
      <c r="B831" t="s">
        <v>3430</v>
      </c>
      <c r="C831" s="272">
        <v>46143</v>
      </c>
      <c r="D831" s="19" t="s">
        <v>3431</v>
      </c>
      <c r="E831" s="339" t="e" vm="126">
        <v>#VALUE!</v>
      </c>
      <c r="F831" t="e" vm="26">
        <v>#VALUE!</v>
      </c>
      <c r="G831" s="5" t="s">
        <v>83</v>
      </c>
      <c r="H831" t="s">
        <v>152</v>
      </c>
      <c r="I831" t="s">
        <v>43</v>
      </c>
      <c r="J831" s="18" t="s">
        <v>153</v>
      </c>
      <c r="K831" t="s">
        <v>154</v>
      </c>
      <c r="L831" s="20">
        <v>46160.709722222222</v>
      </c>
      <c r="M831" s="307" t="s">
        <v>59</v>
      </c>
      <c r="N831" s="307" t="s">
        <v>59</v>
      </c>
      <c r="O831" s="20">
        <v>46161.333333333336</v>
      </c>
      <c r="P831" s="20">
        <v>46161.340277777781</v>
      </c>
      <c r="Q831" s="20">
        <v>46161.375</v>
      </c>
      <c r="R831" s="22"/>
      <c r="S831" s="21" t="s">
        <v>1317</v>
      </c>
      <c r="T831" s="18" t="s">
        <v>478</v>
      </c>
      <c r="U831" s="18"/>
      <c r="V831" s="21" t="s">
        <v>3432</v>
      </c>
      <c r="W831" s="21"/>
      <c r="Y831" t="s">
        <v>203</v>
      </c>
      <c r="Z831" t="s">
        <v>203</v>
      </c>
    </row>
    <row r="832" spans="1:26" ht="15" hidden="1" customHeight="1">
      <c r="A832" s="17">
        <f>ROW() - ROW(Table1[[#Headers],[s]])</f>
        <v>831</v>
      </c>
      <c r="B832" t="s">
        <v>3433</v>
      </c>
      <c r="C832" s="272">
        <v>46143</v>
      </c>
      <c r="D832" s="19" t="s">
        <v>3434</v>
      </c>
      <c r="E832" s="19" t="e" vm="9">
        <v>#VALUE!</v>
      </c>
      <c r="F832" t="e" vm="10">
        <v>#VALUE!</v>
      </c>
      <c r="G832" s="5" t="s">
        <v>1057</v>
      </c>
      <c r="H832" t="s">
        <v>152</v>
      </c>
      <c r="I832" s="314" t="s">
        <v>43</v>
      </c>
      <c r="J832" s="18" t="s">
        <v>153</v>
      </c>
      <c r="K832" t="s">
        <v>154</v>
      </c>
      <c r="L832" s="20">
        <v>46160.714583333334</v>
      </c>
      <c r="M832" s="18" t="s">
        <v>78</v>
      </c>
      <c r="N832" s="55" t="s">
        <v>78</v>
      </c>
      <c r="O832" s="20">
        <v>46160.760416666664</v>
      </c>
      <c r="P832" s="20">
        <v>46160.783333333333</v>
      </c>
      <c r="Q832" s="20">
        <v>46160.791666666664</v>
      </c>
      <c r="R832" s="22"/>
      <c r="S832" s="21" t="s">
        <v>3435</v>
      </c>
      <c r="T832" s="55" t="s">
        <v>478</v>
      </c>
      <c r="U832" s="18"/>
      <c r="V832" s="21" t="s">
        <v>3436</v>
      </c>
      <c r="W832" s="21"/>
      <c r="Y832" t="s">
        <v>158</v>
      </c>
      <c r="Z832" t="s">
        <v>70</v>
      </c>
    </row>
    <row r="833" spans="1:27" ht="15" hidden="1" customHeight="1">
      <c r="A833" s="17">
        <f>ROW() - ROW(Table1[[#Headers],[s]])</f>
        <v>832</v>
      </c>
      <c r="B833" t="s">
        <v>3437</v>
      </c>
      <c r="C833" s="272">
        <v>46143</v>
      </c>
      <c r="D833" s="19" t="s">
        <v>3438</v>
      </c>
      <c r="E833" s="19" t="e" vm="80">
        <v>#VALUE!</v>
      </c>
      <c r="F833" t="e" vm="10">
        <v>#VALUE!</v>
      </c>
      <c r="G833" s="5" t="s">
        <v>1057</v>
      </c>
      <c r="H833" t="s">
        <v>152</v>
      </c>
      <c r="I833" s="314" t="s">
        <v>43</v>
      </c>
      <c r="J833" s="18" t="s">
        <v>153</v>
      </c>
      <c r="K833" t="s">
        <v>154</v>
      </c>
      <c r="L833" s="20">
        <v>46160.720138888886</v>
      </c>
      <c r="M833" s="18" t="s">
        <v>78</v>
      </c>
      <c r="N833" s="55" t="s">
        <v>78</v>
      </c>
      <c r="O833" s="20">
        <v>46160.791666666664</v>
      </c>
      <c r="P833" s="20">
        <v>46160.805555555555</v>
      </c>
      <c r="Q833" s="20">
        <v>46160.809027777781</v>
      </c>
      <c r="R833" s="22"/>
      <c r="S833" s="21" t="s">
        <v>3439</v>
      </c>
      <c r="T833" s="55" t="s">
        <v>478</v>
      </c>
      <c r="U833" s="18"/>
      <c r="V833" s="21" t="s">
        <v>3440</v>
      </c>
      <c r="W833" s="21"/>
      <c r="Y833" t="s">
        <v>158</v>
      </c>
      <c r="Z833" t="s">
        <v>70</v>
      </c>
    </row>
    <row r="834" spans="1:27" ht="15" customHeight="1">
      <c r="A834" s="17">
        <f>ROW() - ROW(Table1[[#Headers],[s]])</f>
        <v>833</v>
      </c>
      <c r="B834" t="s">
        <v>2644</v>
      </c>
      <c r="C834" s="272">
        <v>46143</v>
      </c>
      <c r="D834" s="19" t="s">
        <v>3441</v>
      </c>
      <c r="E834" s="19" t="e" vm="99">
        <v>#VALUE!</v>
      </c>
      <c r="F834" t="e" vm="35">
        <v>#VALUE!</v>
      </c>
      <c r="G834" s="5" t="s">
        <v>83</v>
      </c>
      <c r="H834" t="s">
        <v>152</v>
      </c>
      <c r="I834" t="s">
        <v>43</v>
      </c>
      <c r="J834" s="18" t="s">
        <v>153</v>
      </c>
      <c r="K834" t="s">
        <v>154</v>
      </c>
      <c r="L834" s="20">
        <v>46161.416666666664</v>
      </c>
      <c r="M834" s="169" t="s">
        <v>1484</v>
      </c>
      <c r="N834" s="169" t="s">
        <v>1484</v>
      </c>
      <c r="O834" s="20">
        <v>46161.541666666664</v>
      </c>
      <c r="P834" s="20">
        <v>46161.548611111109</v>
      </c>
      <c r="Q834" s="20">
        <v>46161.75</v>
      </c>
      <c r="R834" s="22"/>
      <c r="S834" s="21" t="s">
        <v>598</v>
      </c>
      <c r="T834" s="55" t="s">
        <v>478</v>
      </c>
      <c r="U834" s="18"/>
      <c r="V834" s="21" t="s">
        <v>3442</v>
      </c>
      <c r="W834" s="21"/>
      <c r="Y834" t="s">
        <v>158</v>
      </c>
      <c r="Z834" t="s">
        <v>158</v>
      </c>
    </row>
    <row r="835" spans="1:27" ht="15" customHeight="1">
      <c r="A835" s="17">
        <f>ROW() - ROW(Table1[[#Headers],[s]])</f>
        <v>834</v>
      </c>
      <c r="B835" t="s">
        <v>2345</v>
      </c>
      <c r="C835" s="272">
        <v>46143</v>
      </c>
      <c r="D835" s="19" t="s">
        <v>3443</v>
      </c>
      <c r="E835" s="19" t="e" vm="205">
        <v>#VALUE!</v>
      </c>
      <c r="F835" t="e" vm="10">
        <v>#VALUE!</v>
      </c>
      <c r="G835" s="5" t="s">
        <v>83</v>
      </c>
      <c r="H835" t="s">
        <v>152</v>
      </c>
      <c r="I835" t="s">
        <v>43</v>
      </c>
      <c r="J835" s="18" t="s">
        <v>153</v>
      </c>
      <c r="K835" t="s">
        <v>154</v>
      </c>
      <c r="L835" s="20">
        <v>46161.43472222222</v>
      </c>
      <c r="M835" s="18" t="s">
        <v>78</v>
      </c>
      <c r="N835" s="55" t="s">
        <v>78</v>
      </c>
      <c r="O835" s="20">
        <v>46161.5</v>
      </c>
      <c r="P835" s="20">
        <v>46161.506944444445</v>
      </c>
      <c r="Q835" s="20">
        <v>46161.724305555559</v>
      </c>
      <c r="R835" s="22"/>
      <c r="S835" s="21" t="s">
        <v>2355</v>
      </c>
      <c r="T835" s="55" t="s">
        <v>478</v>
      </c>
      <c r="U835" s="18"/>
      <c r="V835" s="21" t="s">
        <v>581</v>
      </c>
      <c r="W835" s="21"/>
      <c r="Y835" t="s">
        <v>158</v>
      </c>
      <c r="Z835" t="s">
        <v>70</v>
      </c>
    </row>
    <row r="836" spans="1:27" ht="15" customHeight="1">
      <c r="A836" s="60">
        <f>ROW() - ROW(Table1[[#Headers],[s]])</f>
        <v>835</v>
      </c>
      <c r="B836" t="s">
        <v>3444</v>
      </c>
      <c r="C836" s="181" t="s">
        <v>60</v>
      </c>
      <c r="D836" s="52" t="s">
        <v>3445</v>
      </c>
      <c r="E836" s="19" t="e" vm="79">
        <v>#VALUE!</v>
      </c>
      <c r="F836" t="e" vm="25">
        <v>#VALUE!</v>
      </c>
      <c r="G836" s="5" t="s">
        <v>83</v>
      </c>
      <c r="H836" t="s">
        <v>245</v>
      </c>
      <c r="I836" t="s">
        <v>3446</v>
      </c>
      <c r="J836" s="18" t="s">
        <v>253</v>
      </c>
      <c r="K836" t="s">
        <v>154</v>
      </c>
      <c r="L836" s="44">
        <v>46161.464583333334</v>
      </c>
      <c r="M836" s="169" t="s">
        <v>566</v>
      </c>
      <c r="N836" s="169" t="s">
        <v>566</v>
      </c>
      <c r="O836" s="56">
        <v>46161.479166666664</v>
      </c>
      <c r="P836" s="3">
        <v>46161.482638888891</v>
      </c>
      <c r="Q836" s="58">
        <v>46161.488194444442</v>
      </c>
      <c r="R836" s="22"/>
      <c r="S836" s="21" t="s">
        <v>424</v>
      </c>
      <c r="T836" s="55" t="s">
        <v>478</v>
      </c>
      <c r="U836" s="18"/>
      <c r="V836" s="53" t="s">
        <v>3447</v>
      </c>
      <c r="W836" s="21"/>
      <c r="Y836" t="s">
        <v>158</v>
      </c>
      <c r="Z836" t="s">
        <v>70</v>
      </c>
      <c r="AA836" t="s">
        <v>3448</v>
      </c>
    </row>
    <row r="837" spans="1:27" ht="15" customHeight="1">
      <c r="A837" s="60">
        <f>ROW() - ROW(Table1[[#Headers],[s]])</f>
        <v>836</v>
      </c>
      <c r="B837" t="s">
        <v>3449</v>
      </c>
      <c r="C837" s="163">
        <v>46143</v>
      </c>
      <c r="D837" s="52" t="s">
        <v>3450</v>
      </c>
      <c r="E837" s="19" t="e" vm="138">
        <v>#VALUE!</v>
      </c>
      <c r="F837" t="e" vm="5">
        <v>#VALUE!</v>
      </c>
      <c r="G837" s="5" t="s">
        <v>83</v>
      </c>
      <c r="H837" t="s">
        <v>747</v>
      </c>
      <c r="I837" s="42" t="s">
        <v>43</v>
      </c>
      <c r="J837" s="18" t="s">
        <v>253</v>
      </c>
      <c r="K837" t="s">
        <v>154</v>
      </c>
      <c r="L837" s="44">
        <v>46161.538888888892</v>
      </c>
      <c r="M837" s="307" t="s">
        <v>55</v>
      </c>
      <c r="N837" s="307" t="s">
        <v>55</v>
      </c>
      <c r="O837" s="56">
        <v>46161.5625</v>
      </c>
      <c r="P837" s="3">
        <v>46161.569444444445</v>
      </c>
      <c r="Q837" s="58">
        <v>46161.727777777778</v>
      </c>
      <c r="R837" s="22"/>
      <c r="S837" s="21" t="s">
        <v>424</v>
      </c>
      <c r="T837" s="55" t="s">
        <v>3451</v>
      </c>
      <c r="U837" s="18"/>
      <c r="V837" s="53" t="s">
        <v>3452</v>
      </c>
      <c r="W837" s="21"/>
      <c r="Y837" t="s">
        <v>158</v>
      </c>
      <c r="Z837" t="s">
        <v>70</v>
      </c>
      <c r="AA837" t="s">
        <v>3448</v>
      </c>
    </row>
    <row r="838" spans="1:27" ht="15.75" customHeight="1">
      <c r="A838" s="17">
        <f>ROW() - ROW(Table1[[#Headers],[s]])</f>
        <v>837</v>
      </c>
      <c r="B838" t="s">
        <v>3453</v>
      </c>
      <c r="C838" s="181" t="s">
        <v>60</v>
      </c>
      <c r="D838" s="52" t="s">
        <v>3454</v>
      </c>
      <c r="E838" s="19" t="e" vm="157">
        <v>#VALUE!</v>
      </c>
      <c r="F838" t="e" vm="37">
        <v>#VALUE!</v>
      </c>
      <c r="G838" s="5" t="s">
        <v>83</v>
      </c>
      <c r="H838" t="s">
        <v>245</v>
      </c>
      <c r="I838" s="42" t="s">
        <v>3455</v>
      </c>
      <c r="J838" s="18" t="s">
        <v>287</v>
      </c>
      <c r="K838" t="s">
        <v>154</v>
      </c>
      <c r="L838" s="44">
        <v>46161.6875</v>
      </c>
      <c r="M838" s="169" t="s">
        <v>3456</v>
      </c>
      <c r="N838" s="169" t="s">
        <v>3456</v>
      </c>
      <c r="O838" s="56">
        <v>46161.708333333336</v>
      </c>
      <c r="P838" s="3">
        <v>46161.715277777781</v>
      </c>
      <c r="Q838" s="58">
        <v>46161.804861111108</v>
      </c>
      <c r="R838" s="22"/>
      <c r="S838" s="389" t="s">
        <v>3457</v>
      </c>
      <c r="T838" s="55" t="s">
        <v>3458</v>
      </c>
      <c r="U838" s="18"/>
      <c r="V838" s="389" t="s">
        <v>3459</v>
      </c>
      <c r="W838" s="21"/>
      <c r="Y838" t="s">
        <v>158</v>
      </c>
      <c r="Z838" t="s">
        <v>70</v>
      </c>
      <c r="AA838" t="s">
        <v>3448</v>
      </c>
    </row>
    <row r="839" spans="1:27" ht="15" customHeight="1">
      <c r="A839" s="60">
        <f>ROW() - ROW(Table1[[#Headers],[s]])</f>
        <v>838</v>
      </c>
      <c r="B839" t="s">
        <v>1417</v>
      </c>
      <c r="C839" s="181" t="s">
        <v>60</v>
      </c>
      <c r="D839" s="19" t="s">
        <v>3460</v>
      </c>
      <c r="E839" s="19" t="e" vm="99">
        <v>#VALUE!</v>
      </c>
      <c r="F839" t="e" vm="35">
        <v>#VALUE!</v>
      </c>
      <c r="G839" s="5" t="s">
        <v>83</v>
      </c>
      <c r="H839" t="s">
        <v>152</v>
      </c>
      <c r="I839" s="334" t="s">
        <v>3461</v>
      </c>
      <c r="J839" s="18" t="s">
        <v>153</v>
      </c>
      <c r="K839" t="s">
        <v>154</v>
      </c>
      <c r="L839" s="20">
        <v>46161.823611111111</v>
      </c>
      <c r="M839" s="169" t="s">
        <v>1484</v>
      </c>
      <c r="N839" s="169" t="s">
        <v>1484</v>
      </c>
      <c r="O839" s="3"/>
      <c r="P839" s="5"/>
      <c r="R839" s="22"/>
      <c r="S839" s="390" t="s">
        <v>3461</v>
      </c>
      <c r="T839" s="55" t="s">
        <v>179</v>
      </c>
      <c r="U839" s="18"/>
      <c r="W839" s="21"/>
      <c r="Y839" t="s">
        <v>179</v>
      </c>
      <c r="Z839" t="s">
        <v>179</v>
      </c>
    </row>
    <row r="840" spans="1:27" ht="15" customHeight="1">
      <c r="A840" s="60">
        <f>ROW() - ROW(Table1[[#Headers],[s]])</f>
        <v>839</v>
      </c>
      <c r="B840" t="s">
        <v>3462</v>
      </c>
      <c r="C840" s="272">
        <v>46143</v>
      </c>
      <c r="D840" s="19" t="s">
        <v>3463</v>
      </c>
      <c r="E840" s="19" t="s">
        <v>3464</v>
      </c>
      <c r="F840" t="e" vm="49">
        <v>#VALUE!</v>
      </c>
      <c r="G840" s="5" t="s">
        <v>83</v>
      </c>
      <c r="H840" t="s">
        <v>152</v>
      </c>
      <c r="I840" t="s">
        <v>43</v>
      </c>
      <c r="J840" s="18" t="s">
        <v>153</v>
      </c>
      <c r="K840" t="s">
        <v>154</v>
      </c>
      <c r="L840" s="20">
        <v>46161.824305555558</v>
      </c>
      <c r="M840" s="307" t="s">
        <v>84</v>
      </c>
      <c r="N840" s="307" t="s">
        <v>84</v>
      </c>
      <c r="O840" s="3">
        <v>46161.833333333336</v>
      </c>
      <c r="P840" s="3">
        <v>46161.840277777781</v>
      </c>
      <c r="Q840" s="22">
        <v>46161.870833333334</v>
      </c>
      <c r="R840" s="22"/>
      <c r="S840" s="21" t="s">
        <v>3465</v>
      </c>
      <c r="T840" s="55" t="s">
        <v>478</v>
      </c>
      <c r="U840" s="18"/>
      <c r="V840" s="21" t="s">
        <v>581</v>
      </c>
      <c r="W840" s="21"/>
      <c r="Y840" t="s">
        <v>158</v>
      </c>
      <c r="Z840" t="s">
        <v>70</v>
      </c>
    </row>
    <row r="841" spans="1:27" ht="15" customHeight="1">
      <c r="A841" s="17">
        <f>ROW() - ROW(Table1[[#Headers],[s]])</f>
        <v>840</v>
      </c>
      <c r="B841" t="s">
        <v>3466</v>
      </c>
      <c r="C841" s="272">
        <v>46143</v>
      </c>
      <c r="D841" s="19" t="s">
        <v>3467</v>
      </c>
      <c r="E841" s="19" t="e" vm="74">
        <v>#VALUE!</v>
      </c>
      <c r="F841" t="e" vm="17">
        <v>#VALUE!</v>
      </c>
      <c r="G841" s="5" t="s">
        <v>83</v>
      </c>
      <c r="H841" t="s">
        <v>152</v>
      </c>
      <c r="I841" t="s">
        <v>43</v>
      </c>
      <c r="J841" s="18" t="s">
        <v>153</v>
      </c>
      <c r="K841" t="s">
        <v>154</v>
      </c>
      <c r="L841" s="20">
        <v>46161.837500000001</v>
      </c>
      <c r="M841" s="307" t="s">
        <v>1255</v>
      </c>
      <c r="N841" s="307" t="s">
        <v>1255</v>
      </c>
      <c r="O841" s="3">
        <v>46161.916666666664</v>
      </c>
      <c r="P841" s="3">
        <v>46161.923611111109</v>
      </c>
      <c r="Q841" s="22">
        <v>46162.072222222225</v>
      </c>
      <c r="R841" s="22"/>
      <c r="S841" s="21" t="s">
        <v>3468</v>
      </c>
      <c r="T841" s="55" t="s">
        <v>478</v>
      </c>
      <c r="U841" s="18"/>
      <c r="V841" s="21" t="s">
        <v>3469</v>
      </c>
      <c r="W841" s="21"/>
      <c r="Y841" t="s">
        <v>158</v>
      </c>
      <c r="Z841" t="s">
        <v>158</v>
      </c>
    </row>
    <row r="842" spans="1:27" ht="15" customHeight="1">
      <c r="A842" s="60">
        <f>ROW() - ROW(Table1[[#Headers],[s]])</f>
        <v>841</v>
      </c>
      <c r="B842" t="s">
        <v>3470</v>
      </c>
      <c r="C842" s="272">
        <v>46143</v>
      </c>
      <c r="D842" s="19" t="s">
        <v>3471</v>
      </c>
      <c r="E842" s="19" t="e" vm="79">
        <v>#VALUE!</v>
      </c>
      <c r="F842" t="e" vm="25">
        <v>#VALUE!</v>
      </c>
      <c r="G842" s="5" t="s">
        <v>83</v>
      </c>
      <c r="H842" t="s">
        <v>747</v>
      </c>
      <c r="I842" t="s">
        <v>43</v>
      </c>
      <c r="J842" s="18" t="s">
        <v>253</v>
      </c>
      <c r="K842" t="s">
        <v>154</v>
      </c>
      <c r="L842" s="20">
        <v>46161.917361111111</v>
      </c>
      <c r="M842" s="307" t="s">
        <v>57</v>
      </c>
      <c r="N842" s="307" t="s">
        <v>57</v>
      </c>
      <c r="O842" s="3">
        <v>46161.9375</v>
      </c>
      <c r="P842" s="3">
        <v>46100.986111111109</v>
      </c>
      <c r="Q842" s="22" t="s">
        <v>3472</v>
      </c>
      <c r="R842" s="22"/>
      <c r="S842" s="21" t="s">
        <v>3138</v>
      </c>
      <c r="T842" s="18" t="s">
        <v>3473</v>
      </c>
      <c r="U842" s="18"/>
      <c r="V842" s="21" t="s">
        <v>3474</v>
      </c>
      <c r="W842" s="21"/>
      <c r="Y842" t="s">
        <v>179</v>
      </c>
      <c r="Z842" t="s">
        <v>179</v>
      </c>
    </row>
    <row r="843" spans="1:27" ht="15" hidden="1" customHeight="1">
      <c r="A843" s="60">
        <f>ROW() - ROW(Table1[[#Headers],[s]])</f>
        <v>842</v>
      </c>
      <c r="B843" t="s">
        <v>3475</v>
      </c>
      <c r="C843" s="272">
        <v>46143</v>
      </c>
      <c r="D843" s="19" t="s">
        <v>3476</v>
      </c>
      <c r="E843" s="19" t="e" vm="138">
        <v>#VALUE!</v>
      </c>
      <c r="F843" t="e" vm="5">
        <v>#VALUE!</v>
      </c>
      <c r="G843" s="5" t="s">
        <v>174</v>
      </c>
      <c r="H843" t="s">
        <v>747</v>
      </c>
      <c r="I843" s="5"/>
      <c r="J843" s="18" t="s">
        <v>253</v>
      </c>
      <c r="K843" t="s">
        <v>3477</v>
      </c>
      <c r="L843" s="20">
        <v>46162.540972222225</v>
      </c>
      <c r="M843" s="307" t="s">
        <v>55</v>
      </c>
      <c r="N843" s="18" t="s">
        <v>55</v>
      </c>
      <c r="O843" s="20">
        <v>46162.5625</v>
      </c>
      <c r="P843" s="20">
        <v>46162.572916666664</v>
      </c>
      <c r="Q843" s="20">
        <v>46162.609027777777</v>
      </c>
      <c r="R843" s="22"/>
      <c r="S843" s="21" t="s">
        <v>3478</v>
      </c>
      <c r="T843" s="18" t="s">
        <v>3479</v>
      </c>
      <c r="U843" s="18"/>
      <c r="V843" s="21" t="s">
        <v>3480</v>
      </c>
      <c r="W843" s="21"/>
      <c r="Y843" t="s">
        <v>158</v>
      </c>
      <c r="Z843" t="s">
        <v>70</v>
      </c>
    </row>
    <row r="844" spans="1:27" ht="15.75" hidden="1" customHeight="1">
      <c r="A844" s="17">
        <f>ROW() - ROW(Table1[[#Headers],[s]])</f>
        <v>843</v>
      </c>
      <c r="B844" s="223" t="s">
        <v>3481</v>
      </c>
      <c r="C844" s="272">
        <v>46143</v>
      </c>
      <c r="D844" s="19" t="s">
        <v>3482</v>
      </c>
      <c r="E844" s="19" t="e" vm="192">
        <v>#VALUE!</v>
      </c>
      <c r="F844" t="e" vm="17">
        <v>#VALUE!</v>
      </c>
      <c r="G844" s="5" t="s">
        <v>174</v>
      </c>
      <c r="H844" t="s">
        <v>152</v>
      </c>
      <c r="I844" s="5"/>
      <c r="J844" s="18" t="s">
        <v>153</v>
      </c>
      <c r="K844" t="s">
        <v>154</v>
      </c>
      <c r="L844" s="20">
        <v>46162.460416666669</v>
      </c>
      <c r="M844" s="169" t="s">
        <v>1484</v>
      </c>
      <c r="N844" s="169" t="s">
        <v>1484</v>
      </c>
      <c r="O844" s="20">
        <v>46162.520833333336</v>
      </c>
      <c r="P844" s="20">
        <v>46162.548611111109</v>
      </c>
      <c r="Q844" s="20">
        <v>46162.590277777781</v>
      </c>
      <c r="R844" s="22"/>
      <c r="S844" s="21" t="s">
        <v>3483</v>
      </c>
      <c r="T844" s="18" t="s">
        <v>3484</v>
      </c>
      <c r="U844" s="18"/>
      <c r="V844" s="21" t="s">
        <v>3485</v>
      </c>
      <c r="W844" s="21"/>
      <c r="Y844" t="s">
        <v>158</v>
      </c>
      <c r="Z844" t="s">
        <v>70</v>
      </c>
    </row>
    <row r="845" spans="1:27" ht="15.75" hidden="1" customHeight="1">
      <c r="A845" s="60">
        <f>ROW() - ROW(Table1[[#Headers],[s]])</f>
        <v>844</v>
      </c>
      <c r="B845" s="223" t="s">
        <v>3486</v>
      </c>
      <c r="C845" s="272">
        <v>46143</v>
      </c>
      <c r="D845" s="19" t="s">
        <v>3487</v>
      </c>
      <c r="E845" s="19" t="e" vm="102">
        <v>#VALUE!</v>
      </c>
      <c r="F845" t="e" vm="21">
        <v>#VALUE!</v>
      </c>
      <c r="G845" s="5" t="s">
        <v>174</v>
      </c>
      <c r="H845" t="s">
        <v>152</v>
      </c>
      <c r="I845" s="5"/>
      <c r="J845" s="18" t="s">
        <v>153</v>
      </c>
      <c r="K845" t="s">
        <v>154</v>
      </c>
      <c r="L845" s="20">
        <v>46162.501388888886</v>
      </c>
      <c r="M845" s="307" t="s">
        <v>39</v>
      </c>
      <c r="N845" s="18" t="s">
        <v>39</v>
      </c>
      <c r="O845" s="20">
        <v>46162.552083333336</v>
      </c>
      <c r="P845" s="20">
        <v>46162.572916666664</v>
      </c>
      <c r="Q845" s="20">
        <v>46162.625</v>
      </c>
      <c r="R845" s="22"/>
      <c r="S845" s="21" t="s">
        <v>3488</v>
      </c>
      <c r="T845" s="18" t="s">
        <v>516</v>
      </c>
      <c r="U845" s="18"/>
      <c r="V845" s="21" t="s">
        <v>3489</v>
      </c>
      <c r="W845" s="21"/>
      <c r="Y845" t="s">
        <v>158</v>
      </c>
      <c r="Z845" t="s">
        <v>70</v>
      </c>
    </row>
    <row r="846" spans="1:27" ht="15.75" hidden="1" customHeight="1">
      <c r="A846" s="60">
        <f>ROW() - ROW(Table1[[#Headers],[s]])</f>
        <v>845</v>
      </c>
      <c r="B846" s="223" t="s">
        <v>3490</v>
      </c>
      <c r="C846" s="272">
        <v>46143</v>
      </c>
      <c r="D846" s="19" t="s">
        <v>3491</v>
      </c>
      <c r="E846" s="19" t="e" vm="80">
        <v>#VALUE!</v>
      </c>
      <c r="F846" t="e" vm="10">
        <v>#VALUE!</v>
      </c>
      <c r="G846" s="5" t="s">
        <v>174</v>
      </c>
      <c r="H846" t="s">
        <v>152</v>
      </c>
      <c r="I846" s="5"/>
      <c r="J846" s="18" t="s">
        <v>153</v>
      </c>
      <c r="K846" t="s">
        <v>154</v>
      </c>
      <c r="L846" s="20">
        <v>46162.677083333336</v>
      </c>
      <c r="M846" s="307" t="s">
        <v>78</v>
      </c>
      <c r="N846" s="55" t="s">
        <v>78</v>
      </c>
      <c r="O846" s="20">
        <v>46162.71875</v>
      </c>
      <c r="P846" s="20">
        <v>46162.732638888891</v>
      </c>
      <c r="Q846" s="20">
        <v>46162.760416666664</v>
      </c>
      <c r="R846" s="22"/>
      <c r="S846" s="21" t="s">
        <v>3010</v>
      </c>
      <c r="T846" s="18" t="s">
        <v>2765</v>
      </c>
      <c r="U846" s="18"/>
      <c r="V846" s="21" t="s">
        <v>3012</v>
      </c>
      <c r="W846" s="21"/>
      <c r="Y846" t="s">
        <v>158</v>
      </c>
      <c r="Z846" t="s">
        <v>70</v>
      </c>
    </row>
    <row r="847" spans="1:27" ht="15.75" hidden="1" customHeight="1">
      <c r="A847" s="17">
        <f>ROW() - ROW(Table1[[#Headers],[s]])</f>
        <v>846</v>
      </c>
      <c r="B847" s="223" t="s">
        <v>3492</v>
      </c>
      <c r="C847" s="272">
        <v>46143</v>
      </c>
      <c r="D847" s="19" t="s">
        <v>3493</v>
      </c>
      <c r="E847" s="19" t="e" vm="201">
        <v>#VALUE!</v>
      </c>
      <c r="F847" t="e" vm="16">
        <v>#VALUE!</v>
      </c>
      <c r="G847" s="43" t="s">
        <v>1057</v>
      </c>
      <c r="H847" t="s">
        <v>152</v>
      </c>
      <c r="I847" s="314" t="s">
        <v>43</v>
      </c>
      <c r="J847" s="18" t="s">
        <v>153</v>
      </c>
      <c r="K847" t="s">
        <v>154</v>
      </c>
      <c r="L847" s="20">
        <v>46162.650694444441</v>
      </c>
      <c r="M847" s="307" t="s">
        <v>58</v>
      </c>
      <c r="N847" s="18" t="s">
        <v>58</v>
      </c>
      <c r="O847" s="20">
        <v>46163.375</v>
      </c>
      <c r="P847" s="20">
        <v>46163.380555555559</v>
      </c>
      <c r="Q847" s="20">
        <v>46163.386805555558</v>
      </c>
      <c r="R847" s="22"/>
      <c r="S847" s="21" t="s">
        <v>3494</v>
      </c>
      <c r="T847" s="18" t="s">
        <v>653</v>
      </c>
      <c r="U847" s="18"/>
      <c r="V847" s="21" t="s">
        <v>3495</v>
      </c>
      <c r="W847" s="21"/>
      <c r="Y847" t="s">
        <v>158</v>
      </c>
      <c r="Z847" t="s">
        <v>70</v>
      </c>
    </row>
    <row r="848" spans="1:27" ht="15.75" hidden="1" customHeight="1">
      <c r="A848" s="60">
        <f>ROW() - ROW(Table1[[#Headers],[s]])</f>
        <v>847</v>
      </c>
      <c r="B848" s="223" t="s">
        <v>3496</v>
      </c>
      <c r="C848" s="272">
        <v>46143</v>
      </c>
      <c r="D848" s="19" t="s">
        <v>3497</v>
      </c>
      <c r="E848" s="19" t="e" vm="82">
        <v>#VALUE!</v>
      </c>
      <c r="F848" t="e" vm="5">
        <v>#VALUE!</v>
      </c>
      <c r="G848" s="5" t="s">
        <v>174</v>
      </c>
      <c r="H848" t="s">
        <v>152</v>
      </c>
      <c r="I848" s="5"/>
      <c r="J848" s="18" t="s">
        <v>153</v>
      </c>
      <c r="K848" t="s">
        <v>154</v>
      </c>
      <c r="L848" s="20">
        <v>46162.661805555559</v>
      </c>
      <c r="M848" s="307" t="s">
        <v>55</v>
      </c>
      <c r="N848" s="18" t="s">
        <v>55</v>
      </c>
      <c r="O848" s="20">
        <v>46162.715277777781</v>
      </c>
      <c r="P848" s="20">
        <v>46162.743055555555</v>
      </c>
      <c r="Q848" s="20">
        <v>46162.774305555555</v>
      </c>
      <c r="R848" s="22"/>
      <c r="S848" s="21" t="s">
        <v>3498</v>
      </c>
      <c r="T848" s="18" t="s">
        <v>3499</v>
      </c>
      <c r="U848" s="18"/>
      <c r="V848" s="21" t="s">
        <v>3500</v>
      </c>
      <c r="W848" s="21"/>
      <c r="Y848" t="s">
        <v>158</v>
      </c>
      <c r="Z848" t="s">
        <v>70</v>
      </c>
    </row>
    <row r="849" spans="1:26" ht="15.75" hidden="1" customHeight="1">
      <c r="A849" s="60">
        <f>ROW() - ROW(Table1[[#Headers],[s]])</f>
        <v>848</v>
      </c>
      <c r="B849" s="223" t="s">
        <v>3501</v>
      </c>
      <c r="C849" s="272">
        <v>46143</v>
      </c>
      <c r="D849" s="19" t="s">
        <v>3502</v>
      </c>
      <c r="E849" s="19" t="e" vm="100">
        <v>#VALUE!</v>
      </c>
      <c r="F849" t="e" vm="21">
        <v>#VALUE!</v>
      </c>
      <c r="G849" s="5" t="s">
        <v>174</v>
      </c>
      <c r="H849" t="s">
        <v>152</v>
      </c>
      <c r="I849" s="5"/>
      <c r="J849" s="18" t="s">
        <v>153</v>
      </c>
      <c r="K849" t="s">
        <v>154</v>
      </c>
      <c r="L849" s="20">
        <v>46162.4375</v>
      </c>
      <c r="M849" s="307" t="s">
        <v>39</v>
      </c>
      <c r="N849" s="18" t="s">
        <v>39</v>
      </c>
      <c r="O849" s="20">
        <v>46162.479166666664</v>
      </c>
      <c r="P849" s="20">
        <v>46162.5</v>
      </c>
      <c r="Q849" s="20">
        <v>46162.604166666664</v>
      </c>
      <c r="R849" s="22"/>
      <c r="S849" s="21" t="s">
        <v>3503</v>
      </c>
      <c r="T849" s="18" t="s">
        <v>3504</v>
      </c>
      <c r="U849" s="18"/>
      <c r="V849" s="21" t="s">
        <v>3503</v>
      </c>
      <c r="W849" s="21"/>
      <c r="Y849" t="s">
        <v>158</v>
      </c>
      <c r="Z849" t="s">
        <v>158</v>
      </c>
    </row>
    <row r="850" spans="1:26" ht="15" hidden="1" customHeight="1">
      <c r="A850" s="17">
        <f>ROW() - ROW(Table1[[#Headers],[s]])</f>
        <v>849</v>
      </c>
      <c r="B850" t="s">
        <v>3505</v>
      </c>
      <c r="C850" s="272">
        <v>46143</v>
      </c>
      <c r="D850" s="19" t="s">
        <v>3506</v>
      </c>
      <c r="E850" s="19" t="e" vm="124">
        <v>#VALUE!</v>
      </c>
      <c r="F850" t="e" vm="1">
        <v>#VALUE!</v>
      </c>
      <c r="G850" s="43" t="s">
        <v>1057</v>
      </c>
      <c r="H850" t="s">
        <v>747</v>
      </c>
      <c r="I850" s="314" t="s">
        <v>43</v>
      </c>
      <c r="J850" s="18" t="s">
        <v>253</v>
      </c>
      <c r="K850" t="s">
        <v>154</v>
      </c>
      <c r="L850" s="20">
        <v>46162.921527777777</v>
      </c>
      <c r="M850" s="307" t="s">
        <v>44</v>
      </c>
      <c r="N850" s="18" t="s">
        <v>44</v>
      </c>
      <c r="O850" s="20">
        <v>46163.416666666664</v>
      </c>
      <c r="P850" s="20">
        <v>46163.447916666664</v>
      </c>
      <c r="Q850" s="20">
        <v>46163.454861111109</v>
      </c>
      <c r="R850" s="22"/>
      <c r="S850" s="21" t="s">
        <v>3507</v>
      </c>
      <c r="T850" s="18" t="s">
        <v>3499</v>
      </c>
      <c r="U850" s="18"/>
      <c r="V850" s="21" t="s">
        <v>513</v>
      </c>
      <c r="W850" s="21"/>
      <c r="Y850" t="s">
        <v>70</v>
      </c>
      <c r="Z850" t="s">
        <v>70</v>
      </c>
    </row>
    <row r="851" spans="1:26" ht="15" hidden="1" customHeight="1">
      <c r="A851" s="60">
        <f>ROW() - ROW(Table1[[#Headers],[s]])</f>
        <v>850</v>
      </c>
      <c r="B851" t="s">
        <v>3508</v>
      </c>
      <c r="C851" s="163">
        <v>46143</v>
      </c>
      <c r="D851" s="52" t="s">
        <v>3509</v>
      </c>
      <c r="E851" s="19" t="e" vm="258">
        <v>#VALUE!</v>
      </c>
      <c r="F851" t="e" vm="37">
        <v>#VALUE!</v>
      </c>
      <c r="G851" s="43" t="s">
        <v>1057</v>
      </c>
      <c r="H851" t="s">
        <v>747</v>
      </c>
      <c r="I851" s="314" t="s">
        <v>43</v>
      </c>
      <c r="J851" s="18" t="s">
        <v>253</v>
      </c>
      <c r="K851" t="s">
        <v>154</v>
      </c>
      <c r="L851" s="20">
        <v>46163.388194444444</v>
      </c>
      <c r="M851" s="67" t="s">
        <v>59</v>
      </c>
      <c r="N851" s="67" t="s">
        <v>59</v>
      </c>
      <c r="O851" s="20">
        <v>46163.5</v>
      </c>
      <c r="P851" s="20">
        <v>46163.506944444445</v>
      </c>
      <c r="Q851" s="20">
        <v>46163.647222222222</v>
      </c>
      <c r="R851" s="22"/>
      <c r="S851" s="21" t="s">
        <v>3510</v>
      </c>
      <c r="T851" s="18" t="s">
        <v>3511</v>
      </c>
      <c r="U851" s="18"/>
      <c r="V851" s="53" t="s">
        <v>3512</v>
      </c>
      <c r="W851" s="21"/>
      <c r="Y851" t="s">
        <v>158</v>
      </c>
      <c r="Z851" t="s">
        <v>70</v>
      </c>
    </row>
    <row r="852" spans="1:26" ht="15" hidden="1" customHeight="1">
      <c r="A852" s="17">
        <f>ROW() - ROW(Table1[[#Headers],[s]])</f>
        <v>851</v>
      </c>
      <c r="B852" t="s">
        <v>3513</v>
      </c>
      <c r="C852" s="272">
        <v>46143</v>
      </c>
      <c r="D852" s="19" t="s">
        <v>3514</v>
      </c>
      <c r="E852" s="19" t="e" vm="159">
        <v>#VALUE!</v>
      </c>
      <c r="F852" t="e" vm="49">
        <v>#VALUE!</v>
      </c>
      <c r="G852" s="43" t="s">
        <v>200</v>
      </c>
      <c r="H852" t="s">
        <v>747</v>
      </c>
      <c r="I852" s="5" t="s">
        <v>1221</v>
      </c>
      <c r="J852" s="18" t="s">
        <v>253</v>
      </c>
      <c r="K852" t="s">
        <v>3515</v>
      </c>
      <c r="L852" s="20">
        <v>46163.401388888888</v>
      </c>
      <c r="M852" s="371" t="s">
        <v>155</v>
      </c>
      <c r="N852" s="400" t="s">
        <v>155</v>
      </c>
      <c r="O852" s="3">
        <v>46156.479166666664</v>
      </c>
      <c r="P852" s="3">
        <v>46156.479166666664</v>
      </c>
      <c r="Q852" s="22">
        <v>46156.544444444444</v>
      </c>
      <c r="R852" s="22"/>
      <c r="S852" s="21" t="s">
        <v>1994</v>
      </c>
      <c r="T852" s="18" t="s">
        <v>164</v>
      </c>
      <c r="U852" s="18"/>
      <c r="V852" s="21" t="s">
        <v>3516</v>
      </c>
      <c r="W852" s="21"/>
      <c r="Y852" t="s">
        <v>158</v>
      </c>
      <c r="Z852" t="s">
        <v>158</v>
      </c>
    </row>
    <row r="853" spans="1:26" ht="15" hidden="1" customHeight="1">
      <c r="A853" s="17">
        <f>ROW() - ROW(Table1[[#Headers],[s]])</f>
        <v>852</v>
      </c>
      <c r="B853" t="s">
        <v>3517</v>
      </c>
      <c r="C853" s="272">
        <v>46143</v>
      </c>
      <c r="D853" s="19" t="s">
        <v>3518</v>
      </c>
      <c r="E853" s="19" t="e" vm="259">
        <v>#VALUE!</v>
      </c>
      <c r="F853" t="e" vm="30">
        <v>#VALUE!</v>
      </c>
      <c r="G853" s="43" t="s">
        <v>1057</v>
      </c>
      <c r="H853" t="s">
        <v>152</v>
      </c>
      <c r="I853" s="314" t="s">
        <v>43</v>
      </c>
      <c r="J853" s="18" t="s">
        <v>261</v>
      </c>
      <c r="K853" t="s">
        <v>154</v>
      </c>
      <c r="L853" s="20">
        <v>46163.438888888886</v>
      </c>
      <c r="M853" s="307" t="s">
        <v>3519</v>
      </c>
      <c r="N853" s="307" t="s">
        <v>3519</v>
      </c>
      <c r="O853" s="20">
        <v>46163.5</v>
      </c>
      <c r="P853" s="20">
        <v>46163.506944444445</v>
      </c>
      <c r="Q853" s="20">
        <v>46163.604166666664</v>
      </c>
      <c r="R853" s="22"/>
      <c r="S853" s="21" t="s">
        <v>3520</v>
      </c>
      <c r="T853" s="18" t="s">
        <v>1118</v>
      </c>
      <c r="U853" s="18"/>
      <c r="V853" s="21" t="s">
        <v>3521</v>
      </c>
      <c r="W853" s="21"/>
      <c r="Y853" t="s">
        <v>158</v>
      </c>
      <c r="Z853" t="s">
        <v>158</v>
      </c>
    </row>
    <row r="854" spans="1:26" ht="15" hidden="1" customHeight="1">
      <c r="A854" s="60">
        <f>ROW() - ROW(Table1[[#Headers],[s]])</f>
        <v>853</v>
      </c>
      <c r="B854" t="s">
        <v>3522</v>
      </c>
      <c r="C854" s="181" t="s">
        <v>60</v>
      </c>
      <c r="D854" s="52" t="s">
        <v>3523</v>
      </c>
      <c r="E854" s="19" t="e" vm="79">
        <v>#VALUE!</v>
      </c>
      <c r="F854" t="e" vm="25">
        <v>#VALUE!</v>
      </c>
      <c r="G854" s="43" t="s">
        <v>200</v>
      </c>
      <c r="H854" t="s">
        <v>747</v>
      </c>
      <c r="I854" s="5"/>
      <c r="J854" s="18" t="s">
        <v>280</v>
      </c>
      <c r="K854" s="42" t="s">
        <v>840</v>
      </c>
      <c r="L854" s="20">
        <v>46163.441666666666</v>
      </c>
      <c r="M854" s="169" t="s">
        <v>1019</v>
      </c>
      <c r="N854" s="55"/>
      <c r="O854" s="56"/>
      <c r="P854" s="5"/>
      <c r="Q854" s="58"/>
      <c r="R854" s="22"/>
      <c r="S854" s="21" t="s">
        <v>3524</v>
      </c>
      <c r="T854" s="18" t="s">
        <v>164</v>
      </c>
      <c r="U854" s="18"/>
      <c r="V854" s="53" t="s">
        <v>3525</v>
      </c>
      <c r="W854" s="21"/>
      <c r="Y854" t="s">
        <v>158</v>
      </c>
      <c r="Z854" t="s">
        <v>158</v>
      </c>
    </row>
    <row r="855" spans="1:26" ht="15" hidden="1" customHeight="1">
      <c r="A855" s="17">
        <f>ROW() - ROW(Table1[[#Headers],[s]])</f>
        <v>854</v>
      </c>
      <c r="B855" t="s">
        <v>3526</v>
      </c>
      <c r="C855" s="272">
        <v>46143</v>
      </c>
      <c r="D855" s="19" t="s">
        <v>3527</v>
      </c>
      <c r="E855" s="19" t="e" vm="14">
        <v>#VALUE!</v>
      </c>
      <c r="F855" t="e" vm="1">
        <v>#VALUE!</v>
      </c>
      <c r="G855" s="43" t="s">
        <v>1057</v>
      </c>
      <c r="H855" t="s">
        <v>152</v>
      </c>
      <c r="I855" s="314" t="s">
        <v>43</v>
      </c>
      <c r="J855" s="18" t="s">
        <v>153</v>
      </c>
      <c r="K855" t="s">
        <v>154</v>
      </c>
      <c r="L855" s="20">
        <v>46163.539583333331</v>
      </c>
      <c r="M855" s="307" t="s">
        <v>2046</v>
      </c>
      <c r="N855" s="307" t="s">
        <v>2046</v>
      </c>
      <c r="O855" s="20">
        <v>46163.8125</v>
      </c>
      <c r="P855" s="20">
        <v>46163.818749999999</v>
      </c>
      <c r="Q855" s="20">
        <v>46163.840277777781</v>
      </c>
      <c r="R855" s="22"/>
      <c r="S855" s="21" t="s">
        <v>3528</v>
      </c>
      <c r="T855" s="18" t="s">
        <v>164</v>
      </c>
      <c r="U855" s="18"/>
      <c r="V855" s="21" t="s">
        <v>3529</v>
      </c>
      <c r="W855" s="21"/>
      <c r="Y855" t="s">
        <v>158</v>
      </c>
      <c r="Z855" t="s">
        <v>70</v>
      </c>
    </row>
    <row r="856" spans="1:26" ht="15" hidden="1" customHeight="1">
      <c r="A856" s="17">
        <f>ROW() - ROW(Table1[[#Headers],[s]])</f>
        <v>855</v>
      </c>
      <c r="B856" t="s">
        <v>3530</v>
      </c>
      <c r="C856" s="272">
        <v>46143</v>
      </c>
      <c r="D856" s="19" t="s">
        <v>3531</v>
      </c>
      <c r="E856" s="19" t="e" vm="68">
        <v>#VALUE!</v>
      </c>
      <c r="F856" t="e" vm="26">
        <v>#VALUE!</v>
      </c>
      <c r="G856" s="43" t="s">
        <v>1057</v>
      </c>
      <c r="H856" t="s">
        <v>152</v>
      </c>
      <c r="I856" s="314" t="s">
        <v>43</v>
      </c>
      <c r="J856" s="18" t="s">
        <v>153</v>
      </c>
      <c r="K856" t="s">
        <v>154</v>
      </c>
      <c r="L856" s="20">
        <v>46163.62222222222</v>
      </c>
      <c r="M856" s="67" t="s">
        <v>59</v>
      </c>
      <c r="N856" s="67" t="s">
        <v>59</v>
      </c>
      <c r="O856" s="20">
        <v>46163.875</v>
      </c>
      <c r="P856" s="20">
        <v>46163.90625</v>
      </c>
      <c r="Q856" s="20">
        <v>46163.922222222223</v>
      </c>
      <c r="R856" s="22"/>
      <c r="S856" s="21" t="s">
        <v>3532</v>
      </c>
      <c r="T856" s="18" t="s">
        <v>164</v>
      </c>
      <c r="U856" s="18"/>
      <c r="V856" s="21" t="s">
        <v>3533</v>
      </c>
      <c r="W856" s="21"/>
      <c r="Y856" t="s">
        <v>158</v>
      </c>
      <c r="Z856" t="s">
        <v>70</v>
      </c>
    </row>
    <row r="857" spans="1:26" ht="15" hidden="1" customHeight="1">
      <c r="A857" s="17">
        <f>ROW() - ROW(Table1[[#Headers],[s]])</f>
        <v>856</v>
      </c>
      <c r="B857" t="s">
        <v>3534</v>
      </c>
      <c r="C857" s="272">
        <v>46143</v>
      </c>
      <c r="D857" s="19" t="s">
        <v>3535</v>
      </c>
      <c r="E857" s="19" t="e" vm="80">
        <v>#VALUE!</v>
      </c>
      <c r="F857" t="e" vm="10">
        <v>#VALUE!</v>
      </c>
      <c r="G857" s="43" t="s">
        <v>1057</v>
      </c>
      <c r="H857" t="s">
        <v>152</v>
      </c>
      <c r="I857" s="314" t="s">
        <v>43</v>
      </c>
      <c r="J857" s="18" t="s">
        <v>153</v>
      </c>
      <c r="K857" t="s">
        <v>154</v>
      </c>
      <c r="L857" s="20">
        <v>46163.65902777778</v>
      </c>
      <c r="M857" s="18" t="s">
        <v>78</v>
      </c>
      <c r="N857" s="55" t="s">
        <v>78</v>
      </c>
      <c r="O857" s="20">
        <v>46163.715277777781</v>
      </c>
      <c r="P857" s="20">
        <v>46163.724305555559</v>
      </c>
      <c r="Q857" s="20">
        <v>46163.73333333333</v>
      </c>
      <c r="R857" s="22"/>
      <c r="S857" s="21" t="s">
        <v>3536</v>
      </c>
      <c r="T857" s="55" t="s">
        <v>179</v>
      </c>
      <c r="U857" s="18"/>
      <c r="V857" s="21" t="s">
        <v>3537</v>
      </c>
      <c r="W857" s="21"/>
      <c r="Y857" t="s">
        <v>158</v>
      </c>
      <c r="Z857" t="s">
        <v>70</v>
      </c>
    </row>
    <row r="858" spans="1:26" ht="15.75" hidden="1" customHeight="1">
      <c r="A858" s="17">
        <f>ROW() - ROW(Table1[[#Headers],[s]])</f>
        <v>857</v>
      </c>
      <c r="B858" s="230" t="s">
        <v>3538</v>
      </c>
      <c r="C858" s="272">
        <v>46143</v>
      </c>
      <c r="D858" s="19" t="s">
        <v>3539</v>
      </c>
      <c r="E858" s="19" t="e" vm="13">
        <v>#VALUE!</v>
      </c>
      <c r="F858" t="e" vm="12">
        <v>#VALUE!</v>
      </c>
      <c r="G858" s="43" t="s">
        <v>1057</v>
      </c>
      <c r="H858" t="s">
        <v>152</v>
      </c>
      <c r="I858" s="314" t="s">
        <v>43</v>
      </c>
      <c r="J858" s="18" t="s">
        <v>153</v>
      </c>
      <c r="K858" t="s">
        <v>154</v>
      </c>
      <c r="L858" s="20">
        <v>46163.659722222219</v>
      </c>
      <c r="M858" s="307" t="s">
        <v>72</v>
      </c>
      <c r="N858" s="18" t="s">
        <v>72</v>
      </c>
      <c r="O858" s="20">
        <v>46164.396527777775</v>
      </c>
      <c r="P858" s="3">
        <v>46164.399305555555</v>
      </c>
      <c r="Q858" s="22">
        <v>46164.427083333336</v>
      </c>
      <c r="R858" s="22"/>
      <c r="S858" s="21" t="s">
        <v>3540</v>
      </c>
      <c r="T858" s="18" t="s">
        <v>2765</v>
      </c>
      <c r="U858" s="18"/>
      <c r="V858" s="21" t="s">
        <v>183</v>
      </c>
      <c r="W858" s="21"/>
      <c r="Y858" t="s">
        <v>158</v>
      </c>
      <c r="Z858" t="s">
        <v>70</v>
      </c>
    </row>
    <row r="859" spans="1:26" ht="15" hidden="1" customHeight="1">
      <c r="A859" s="17">
        <f>ROW() - ROW(Table1[[#Headers],[s]])</f>
        <v>858</v>
      </c>
      <c r="B859" t="s">
        <v>3541</v>
      </c>
      <c r="C859" s="23" t="s">
        <v>60</v>
      </c>
      <c r="D859" s="19" t="s">
        <v>3542</v>
      </c>
      <c r="E859" s="19" t="e" vm="79">
        <v>#VALUE!</v>
      </c>
      <c r="F859" t="e" vm="25">
        <v>#VALUE!</v>
      </c>
      <c r="G859" s="43" t="s">
        <v>1057</v>
      </c>
      <c r="H859" t="s">
        <v>747</v>
      </c>
      <c r="I859" t="s">
        <v>3446</v>
      </c>
      <c r="J859" s="18" t="s">
        <v>253</v>
      </c>
      <c r="K859" t="s">
        <v>3446</v>
      </c>
      <c r="L859" s="20">
        <v>46163.652083333334</v>
      </c>
      <c r="M859" s="307"/>
      <c r="N859" s="18"/>
      <c r="O859" s="3"/>
      <c r="P859" s="5"/>
      <c r="R859" s="22"/>
      <c r="S859" s="21" t="s">
        <v>3543</v>
      </c>
      <c r="T859" s="55" t="s">
        <v>179</v>
      </c>
      <c r="U859" s="18"/>
      <c r="W859" s="21"/>
      <c r="Y859" t="s">
        <v>179</v>
      </c>
      <c r="Z859" t="s">
        <v>179</v>
      </c>
    </row>
    <row r="860" spans="1:26" ht="15" hidden="1" customHeight="1">
      <c r="A860" s="17">
        <f>ROW() - ROW(Table1[[#Headers],[s]])</f>
        <v>859</v>
      </c>
      <c r="B860" t="s">
        <v>3544</v>
      </c>
      <c r="C860" s="272">
        <v>46143</v>
      </c>
      <c r="D860" s="19" t="s">
        <v>3545</v>
      </c>
      <c r="E860" s="19" t="e" vm="260">
        <v>#VALUE!</v>
      </c>
      <c r="F860" t="e" vm="26">
        <v>#VALUE!</v>
      </c>
      <c r="G860" s="43" t="s">
        <v>36</v>
      </c>
      <c r="H860" t="s">
        <v>747</v>
      </c>
      <c r="I860" s="5" t="s">
        <v>43</v>
      </c>
      <c r="J860" s="18" t="s">
        <v>253</v>
      </c>
      <c r="K860" t="s">
        <v>154</v>
      </c>
      <c r="L860" s="20">
        <v>46163.665972222225</v>
      </c>
      <c r="M860" s="67" t="s">
        <v>59</v>
      </c>
      <c r="N860" s="18" t="s">
        <v>59</v>
      </c>
      <c r="O860" s="20">
        <v>46163.729166666664</v>
      </c>
      <c r="P860" s="3">
        <v>46164.536111111112</v>
      </c>
      <c r="Q860" s="22">
        <v>46164.6</v>
      </c>
      <c r="R860" s="22"/>
      <c r="S860" s="21" t="s">
        <v>3546</v>
      </c>
      <c r="T860" s="18" t="s">
        <v>164</v>
      </c>
      <c r="U860" s="18"/>
      <c r="V860" s="240" t="s">
        <v>3547</v>
      </c>
      <c r="W860" s="21"/>
      <c r="Y860" t="s">
        <v>70</v>
      </c>
      <c r="Z860" t="s">
        <v>158</v>
      </c>
    </row>
    <row r="861" spans="1:26" ht="15" hidden="1" customHeight="1">
      <c r="A861" s="60">
        <f>ROW() - ROW(Table1[[#Headers],[s]])</f>
        <v>860</v>
      </c>
      <c r="B861" t="s">
        <v>3548</v>
      </c>
      <c r="C861" s="272">
        <v>46143</v>
      </c>
      <c r="D861" s="19" t="s">
        <v>3549</v>
      </c>
      <c r="E861" s="19" t="e" vm="85">
        <v>#VALUE!</v>
      </c>
      <c r="F861" t="e" vm="5">
        <v>#VALUE!</v>
      </c>
      <c r="G861" s="5" t="s">
        <v>151</v>
      </c>
      <c r="H861" t="s">
        <v>747</v>
      </c>
      <c r="I861" s="5"/>
      <c r="J861" s="18" t="s">
        <v>253</v>
      </c>
      <c r="K861" t="s">
        <v>154</v>
      </c>
      <c r="L861" s="20">
        <v>46164.566666666666</v>
      </c>
      <c r="M861" s="307" t="s">
        <v>55</v>
      </c>
      <c r="N861" s="307" t="s">
        <v>55</v>
      </c>
      <c r="O861" s="3">
        <v>46164.699305555558</v>
      </c>
      <c r="P861" s="3">
        <v>46164.720833333333</v>
      </c>
      <c r="Q861" s="22">
        <v>46164.907638888886</v>
      </c>
      <c r="R861" s="22" t="s">
        <v>3550</v>
      </c>
      <c r="S861" s="21" t="s">
        <v>3551</v>
      </c>
      <c r="T861" s="18" t="s">
        <v>266</v>
      </c>
      <c r="U861" s="18"/>
      <c r="V861" s="21" t="s">
        <v>3552</v>
      </c>
      <c r="W861" s="21"/>
      <c r="Y861" t="s">
        <v>158</v>
      </c>
      <c r="Z861" t="s">
        <v>70</v>
      </c>
    </row>
    <row r="862" spans="1:26" ht="15" hidden="1" customHeight="1">
      <c r="A862" s="60">
        <f>ROW() - ROW(Table1[[#Headers],[s]])</f>
        <v>861</v>
      </c>
      <c r="B862" t="s">
        <v>3553</v>
      </c>
      <c r="C862" s="272">
        <v>46143</v>
      </c>
      <c r="D862" s="19" t="s">
        <v>3554</v>
      </c>
      <c r="E862" s="19" t="e" vm="38">
        <v>#VALUE!</v>
      </c>
      <c r="F862" t="e" vm="10">
        <v>#VALUE!</v>
      </c>
      <c r="G862" s="5" t="s">
        <v>36</v>
      </c>
      <c r="H862" t="s">
        <v>152</v>
      </c>
      <c r="I862" s="5" t="s">
        <v>43</v>
      </c>
      <c r="J862" s="18" t="s">
        <v>153</v>
      </c>
      <c r="K862" t="s">
        <v>154</v>
      </c>
      <c r="L862" s="20">
        <v>46164.57708333333</v>
      </c>
      <c r="M862" s="307" t="s">
        <v>78</v>
      </c>
      <c r="N862" s="55" t="s">
        <v>78</v>
      </c>
      <c r="O862" s="3"/>
      <c r="P862" s="5"/>
      <c r="Q862" s="22">
        <v>46164.715277777781</v>
      </c>
      <c r="R862" s="22"/>
      <c r="S862" s="21" t="s">
        <v>3555</v>
      </c>
      <c r="T862" s="18" t="s">
        <v>478</v>
      </c>
      <c r="U862" s="18"/>
      <c r="V862" s="21" t="s">
        <v>3556</v>
      </c>
      <c r="W862" s="21"/>
      <c r="Y862" t="s">
        <v>158</v>
      </c>
      <c r="Z862" t="s">
        <v>70</v>
      </c>
    </row>
    <row r="863" spans="1:26" ht="15" hidden="1" customHeight="1">
      <c r="A863" s="17">
        <f>ROW() - ROW(Table1[[#Headers],[s]])</f>
        <v>862</v>
      </c>
      <c r="B863" t="s">
        <v>1450</v>
      </c>
      <c r="C863" s="272">
        <v>46143</v>
      </c>
      <c r="D863" s="19" t="s">
        <v>3557</v>
      </c>
      <c r="E863" s="19" t="e" vm="165">
        <v>#VALUE!</v>
      </c>
      <c r="F863" t="e" vm="5">
        <v>#VALUE!</v>
      </c>
      <c r="G863" s="5" t="s">
        <v>36</v>
      </c>
      <c r="H863" t="s">
        <v>245</v>
      </c>
      <c r="I863" s="5" t="s">
        <v>43</v>
      </c>
      <c r="J863" s="18" t="s">
        <v>253</v>
      </c>
      <c r="K863" t="s">
        <v>154</v>
      </c>
      <c r="L863" s="20">
        <v>46164.615277777775</v>
      </c>
      <c r="M863" s="307" t="s">
        <v>55</v>
      </c>
      <c r="N863" s="307" t="s">
        <v>55</v>
      </c>
      <c r="O863" s="3">
        <v>46164.648611111108</v>
      </c>
      <c r="P863" s="3">
        <v>46164.648611111108</v>
      </c>
      <c r="Q863" s="22">
        <v>46164.684027777781</v>
      </c>
      <c r="R863" s="22"/>
      <c r="S863" s="21" t="s">
        <v>3558</v>
      </c>
      <c r="T863" s="18" t="s">
        <v>478</v>
      </c>
      <c r="U863" s="18"/>
      <c r="V863" s="21" t="s">
        <v>3558</v>
      </c>
      <c r="W863" s="21"/>
      <c r="Y863" t="s">
        <v>158</v>
      </c>
      <c r="Z863" t="s">
        <v>70</v>
      </c>
    </row>
    <row r="864" spans="1:26" ht="15" hidden="1" customHeight="1">
      <c r="A864" s="60">
        <f>ROW() - ROW(Table1[[#Headers],[s]])</f>
        <v>863</v>
      </c>
      <c r="B864" t="s">
        <v>3559</v>
      </c>
      <c r="C864" s="163">
        <v>46143</v>
      </c>
      <c r="D864" s="52" t="s">
        <v>3560</v>
      </c>
      <c r="E864" s="19" t="e" vm="67">
        <v>#VALUE!</v>
      </c>
      <c r="F864" t="e" vm="21">
        <v>#VALUE!</v>
      </c>
      <c r="G864" s="43" t="s">
        <v>151</v>
      </c>
      <c r="H864" t="s">
        <v>152</v>
      </c>
      <c r="I864" s="5"/>
      <c r="J864" s="18" t="s">
        <v>153</v>
      </c>
      <c r="K864" s="42" t="s">
        <v>154</v>
      </c>
      <c r="L864" s="44">
        <v>46164.463888888888</v>
      </c>
      <c r="M864" s="169" t="s">
        <v>39</v>
      </c>
      <c r="N864" s="55" t="s">
        <v>39</v>
      </c>
      <c r="O864" s="56">
        <v>46164.581944444442</v>
      </c>
      <c r="P864" s="3">
        <v>46164.582638888889</v>
      </c>
      <c r="Q864" s="58">
        <v>46164.586805555555</v>
      </c>
      <c r="R864" s="22"/>
      <c r="S864" s="21" t="s">
        <v>3561</v>
      </c>
      <c r="T864" s="55" t="s">
        <v>2765</v>
      </c>
      <c r="U864" s="18"/>
      <c r="V864" s="53" t="s">
        <v>3561</v>
      </c>
      <c r="W864" s="21"/>
      <c r="Y864" t="s">
        <v>158</v>
      </c>
      <c r="Z864" t="s">
        <v>70</v>
      </c>
    </row>
    <row r="865" spans="1:26" ht="15" hidden="1" customHeight="1">
      <c r="A865" s="60">
        <f>ROW() - ROW(Table1[[#Headers],[s]])</f>
        <v>864</v>
      </c>
      <c r="B865" t="s">
        <v>3562</v>
      </c>
      <c r="C865" s="163">
        <v>46143</v>
      </c>
      <c r="D865" s="52" t="s">
        <v>3563</v>
      </c>
      <c r="E865" s="19" t="e" vm="209">
        <v>#VALUE!</v>
      </c>
      <c r="F865" t="e" vm="12">
        <v>#VALUE!</v>
      </c>
      <c r="G865" s="43" t="s">
        <v>151</v>
      </c>
      <c r="H865" t="s">
        <v>152</v>
      </c>
      <c r="J865" s="18" t="s">
        <v>153</v>
      </c>
      <c r="K865" s="42" t="s">
        <v>154</v>
      </c>
      <c r="L865" s="44">
        <v>46164.457638888889</v>
      </c>
      <c r="M865" s="169" t="s">
        <v>72</v>
      </c>
      <c r="N865" s="55" t="s">
        <v>72</v>
      </c>
      <c r="O865" s="56">
        <v>46164.563194444447</v>
      </c>
      <c r="P865" s="3">
        <v>46164.563194444447</v>
      </c>
      <c r="Q865" s="58">
        <v>46164.611111111109</v>
      </c>
      <c r="R865" s="22"/>
      <c r="S865" s="21" t="s">
        <v>3564</v>
      </c>
      <c r="T865" s="18" t="s">
        <v>478</v>
      </c>
      <c r="U865" s="18"/>
      <c r="V865" s="53" t="s">
        <v>3564</v>
      </c>
      <c r="W865" s="21"/>
      <c r="Y865" t="s">
        <v>203</v>
      </c>
      <c r="Z865" t="s">
        <v>70</v>
      </c>
    </row>
    <row r="866" spans="1:26" ht="15" hidden="1" customHeight="1">
      <c r="A866" s="60">
        <f>ROW() - ROW(Table1[[#Headers],[s]])</f>
        <v>865</v>
      </c>
      <c r="B866" t="s">
        <v>3565</v>
      </c>
      <c r="C866" s="163">
        <v>46143</v>
      </c>
      <c r="D866" s="52" t="s">
        <v>3566</v>
      </c>
      <c r="E866" s="19" t="e" vm="261">
        <v>#VALUE!</v>
      </c>
      <c r="F866" t="e" vm="42">
        <v>#VALUE!</v>
      </c>
      <c r="G866" s="43" t="s">
        <v>151</v>
      </c>
      <c r="H866" t="s">
        <v>152</v>
      </c>
      <c r="I866" s="5"/>
      <c r="J866" s="18" t="s">
        <v>153</v>
      </c>
      <c r="K866" s="42" t="s">
        <v>154</v>
      </c>
      <c r="L866" s="44">
        <v>46164.377083333333</v>
      </c>
      <c r="M866" s="169" t="s">
        <v>597</v>
      </c>
      <c r="N866" s="55" t="s">
        <v>597</v>
      </c>
      <c r="O866" s="56">
        <v>46164.490972222222</v>
      </c>
      <c r="P866" s="3">
        <v>46164.497916666667</v>
      </c>
      <c r="Q866" s="58">
        <v>46164.512499999997</v>
      </c>
      <c r="R866" s="22"/>
      <c r="S866" s="21" t="s">
        <v>3567</v>
      </c>
      <c r="T866" s="55" t="s">
        <v>164</v>
      </c>
      <c r="U866" s="18"/>
      <c r="V866" s="53" t="s">
        <v>3567</v>
      </c>
      <c r="W866" s="21"/>
      <c r="Y866" t="s">
        <v>158</v>
      </c>
      <c r="Z866" t="s">
        <v>70</v>
      </c>
    </row>
    <row r="867" spans="1:26" ht="15" hidden="1" customHeight="1">
      <c r="A867" s="60">
        <f>ROW() - ROW(Table1[[#Headers],[s]])</f>
        <v>866</v>
      </c>
      <c r="B867" t="s">
        <v>3568</v>
      </c>
      <c r="C867" s="163">
        <v>46143</v>
      </c>
      <c r="D867" s="52" t="s">
        <v>3569</v>
      </c>
      <c r="E867" t="e" vm="262">
        <v>#VALUE!</v>
      </c>
      <c r="F867" t="e" vm="21">
        <v>#VALUE!</v>
      </c>
      <c r="G867" s="43" t="s">
        <v>151</v>
      </c>
      <c r="H867" t="s">
        <v>152</v>
      </c>
      <c r="J867" s="18" t="s">
        <v>153</v>
      </c>
      <c r="K867" s="42" t="s">
        <v>154</v>
      </c>
      <c r="L867" s="44">
        <v>46164.479166666664</v>
      </c>
      <c r="M867" s="55" t="s">
        <v>39</v>
      </c>
      <c r="N867" s="55" t="s">
        <v>39</v>
      </c>
      <c r="O867" s="56">
        <v>46164.500694444447</v>
      </c>
      <c r="P867" s="3">
        <v>46164.500694444447</v>
      </c>
      <c r="Q867" s="58">
        <v>46164.510416666664</v>
      </c>
      <c r="S867" s="21" t="s">
        <v>3570</v>
      </c>
      <c r="T867" s="55" t="s">
        <v>2765</v>
      </c>
      <c r="V867" s="53" t="s">
        <v>3570</v>
      </c>
      <c r="Y867" t="s">
        <v>158</v>
      </c>
      <c r="Z867" t="s">
        <v>70</v>
      </c>
    </row>
    <row r="868" spans="1:26" ht="15" hidden="1" customHeight="1">
      <c r="A868" s="60">
        <f>ROW() - ROW(Table1[[#Headers],[s]])</f>
        <v>867</v>
      </c>
      <c r="B868" t="s">
        <v>3571</v>
      </c>
      <c r="C868" s="163">
        <v>46143</v>
      </c>
      <c r="D868" s="52" t="s">
        <v>3572</v>
      </c>
      <c r="E868" t="e" vm="59">
        <v>#VALUE!</v>
      </c>
      <c r="F868" t="e" vm="10">
        <v>#VALUE!</v>
      </c>
      <c r="G868" s="43" t="s">
        <v>36</v>
      </c>
      <c r="H868" t="s">
        <v>152</v>
      </c>
      <c r="I868" s="5" t="s">
        <v>43</v>
      </c>
      <c r="J868" s="18" t="s">
        <v>153</v>
      </c>
      <c r="K868" s="42" t="s">
        <v>154</v>
      </c>
      <c r="L868" s="44">
        <v>46164.461805555555</v>
      </c>
      <c r="M868" s="307" t="s">
        <v>78</v>
      </c>
      <c r="N868" s="55" t="s">
        <v>78</v>
      </c>
      <c r="O868" s="56"/>
      <c r="Q868" s="58">
        <v>46164.770833333336</v>
      </c>
      <c r="S868" s="21" t="s">
        <v>3573</v>
      </c>
      <c r="T868" s="55" t="s">
        <v>164</v>
      </c>
      <c r="V868" s="53" t="s">
        <v>3573</v>
      </c>
      <c r="Y868" t="s">
        <v>158</v>
      </c>
      <c r="Z868" t="s">
        <v>70</v>
      </c>
    </row>
    <row r="869" spans="1:26" ht="15" hidden="1" customHeight="1">
      <c r="A869" s="60">
        <f>ROW() - ROW(Table1[[#Headers],[s]])</f>
        <v>868</v>
      </c>
      <c r="B869" t="s">
        <v>3574</v>
      </c>
      <c r="C869" s="163">
        <v>46143</v>
      </c>
      <c r="D869" s="52" t="s">
        <v>3575</v>
      </c>
      <c r="E869" t="e" vm="9">
        <v>#VALUE!</v>
      </c>
      <c r="F869" t="e" vm="10">
        <v>#VALUE!</v>
      </c>
      <c r="G869" s="43" t="s">
        <v>36</v>
      </c>
      <c r="H869" t="s">
        <v>152</v>
      </c>
      <c r="I869" s="5" t="s">
        <v>43</v>
      </c>
      <c r="J869" s="18" t="s">
        <v>153</v>
      </c>
      <c r="K869" s="42" t="s">
        <v>154</v>
      </c>
      <c r="L869" s="44">
        <v>46164.402777777781</v>
      </c>
      <c r="M869" s="307" t="s">
        <v>78</v>
      </c>
      <c r="N869" s="55" t="s">
        <v>78</v>
      </c>
      <c r="O869" s="56"/>
      <c r="Q869" s="58">
        <v>46164.819444444445</v>
      </c>
      <c r="S869" s="21" t="s">
        <v>3576</v>
      </c>
      <c r="T869" s="55" t="s">
        <v>164</v>
      </c>
      <c r="V869" s="53" t="s">
        <v>2563</v>
      </c>
      <c r="Y869" t="s">
        <v>158</v>
      </c>
      <c r="Z869" t="s">
        <v>70</v>
      </c>
    </row>
    <row r="870" spans="1:26" ht="15" hidden="1" customHeight="1">
      <c r="A870" s="60">
        <f>ROW() - ROW(Table1[[#Headers],[s]])</f>
        <v>869</v>
      </c>
      <c r="B870" t="s">
        <v>3029</v>
      </c>
      <c r="C870" s="163">
        <v>46143</v>
      </c>
      <c r="D870" s="52" t="s">
        <v>3577</v>
      </c>
      <c r="E870" t="e" vm="9">
        <v>#VALUE!</v>
      </c>
      <c r="F870" t="e" vm="10">
        <v>#VALUE!</v>
      </c>
      <c r="G870" s="43" t="s">
        <v>36</v>
      </c>
      <c r="H870" t="s">
        <v>152</v>
      </c>
      <c r="I870" s="5" t="s">
        <v>43</v>
      </c>
      <c r="J870" s="18" t="s">
        <v>153</v>
      </c>
      <c r="K870" s="42" t="s">
        <v>154</v>
      </c>
      <c r="L870" s="44">
        <v>46164.379861111112</v>
      </c>
      <c r="M870" s="307" t="s">
        <v>78</v>
      </c>
      <c r="N870" s="55" t="s">
        <v>78</v>
      </c>
      <c r="O870" s="56"/>
      <c r="Q870" s="58">
        <v>46164.852777777778</v>
      </c>
      <c r="S870" s="21" t="s">
        <v>2566</v>
      </c>
      <c r="T870" s="55" t="s">
        <v>164</v>
      </c>
      <c r="V870" s="53" t="s">
        <v>3578</v>
      </c>
      <c r="Y870" t="s">
        <v>158</v>
      </c>
      <c r="Z870" t="s">
        <v>70</v>
      </c>
    </row>
    <row r="871" spans="1:26" ht="15" hidden="1" customHeight="1">
      <c r="A871" s="60">
        <f>ROW() - ROW(Table1[[#Headers],[s]])</f>
        <v>870</v>
      </c>
      <c r="B871" t="s">
        <v>3579</v>
      </c>
      <c r="C871" s="163">
        <v>46143</v>
      </c>
      <c r="D871" s="52" t="s">
        <v>3580</v>
      </c>
      <c r="E871" t="e" vm="14">
        <v>#VALUE!</v>
      </c>
      <c r="F871" t="e" vm="1">
        <v>#VALUE!</v>
      </c>
      <c r="G871" s="43" t="s">
        <v>36</v>
      </c>
      <c r="H871" t="s">
        <v>152</v>
      </c>
      <c r="I871" t="s">
        <v>43</v>
      </c>
      <c r="J871" s="18" t="s">
        <v>153</v>
      </c>
      <c r="K871" s="42" t="s">
        <v>154</v>
      </c>
      <c r="L871" s="44">
        <v>46164.375</v>
      </c>
      <c r="M871" s="55" t="s">
        <v>1937</v>
      </c>
      <c r="N871" s="55" t="s">
        <v>1937</v>
      </c>
      <c r="O871" s="56"/>
      <c r="Q871" s="58">
        <v>46164.833333333336</v>
      </c>
      <c r="R871" t="s">
        <v>3137</v>
      </c>
      <c r="S871" s="21" t="s">
        <v>3581</v>
      </c>
      <c r="T871" s="55" t="s">
        <v>164</v>
      </c>
      <c r="V871" s="53" t="s">
        <v>3582</v>
      </c>
      <c r="Y871" t="s">
        <v>158</v>
      </c>
      <c r="Z871" t="s">
        <v>70</v>
      </c>
    </row>
    <row r="872" spans="1:26" ht="15" hidden="1" customHeight="1">
      <c r="A872" s="60">
        <f>ROW() - ROW(Table1[[#Headers],[s]])</f>
        <v>871</v>
      </c>
      <c r="B872" s="240" t="s">
        <v>3583</v>
      </c>
      <c r="C872" s="163">
        <v>46143</v>
      </c>
      <c r="D872" s="52" t="s">
        <v>3584</v>
      </c>
      <c r="E872" t="e" vm="75">
        <v>#VALUE!</v>
      </c>
      <c r="F872" t="e" vm="21">
        <v>#VALUE!</v>
      </c>
      <c r="G872" s="43" t="s">
        <v>200</v>
      </c>
      <c r="H872" t="s">
        <v>152</v>
      </c>
      <c r="I872" t="s">
        <v>43</v>
      </c>
      <c r="J872" s="18" t="s">
        <v>153</v>
      </c>
      <c r="K872" s="42" t="s">
        <v>154</v>
      </c>
      <c r="L872" s="44">
        <v>46164.974999999999</v>
      </c>
      <c r="M872" s="55" t="s">
        <v>39</v>
      </c>
      <c r="N872" s="55" t="s">
        <v>39</v>
      </c>
      <c r="O872" s="56">
        <f>Table1[[#This Row],[Data si ora finalizare incident]]-TIME(2,0,0)</f>
        <v>46167.416666666664</v>
      </c>
      <c r="P872" s="349">
        <f>Table1[[#This Row],[Data si ora finalizare incident]]-TIME(1,0,0)</f>
        <v>46167.458333333336</v>
      </c>
      <c r="Q872" s="58">
        <v>46167.5</v>
      </c>
      <c r="S872" s="21" t="s">
        <v>3585</v>
      </c>
      <c r="T872" s="55" t="s">
        <v>164</v>
      </c>
      <c r="V872" s="53" t="s">
        <v>3586</v>
      </c>
      <c r="Y872" t="s">
        <v>203</v>
      </c>
      <c r="Z872" t="s">
        <v>158</v>
      </c>
    </row>
    <row r="873" spans="1:26" ht="15" hidden="1" customHeight="1">
      <c r="A873" s="60">
        <f>ROW() - ROW(Table1[[#Headers],[s]])</f>
        <v>872</v>
      </c>
      <c r="B873" t="s">
        <v>3587</v>
      </c>
      <c r="C873" s="163">
        <v>46143</v>
      </c>
      <c r="D873" s="52" t="s">
        <v>3588</v>
      </c>
      <c r="E873" t="e" vm="9">
        <v>#VALUE!</v>
      </c>
      <c r="F873" t="e" vm="10">
        <v>#VALUE!</v>
      </c>
      <c r="G873" s="43" t="s">
        <v>36</v>
      </c>
      <c r="H873" t="s">
        <v>152</v>
      </c>
      <c r="I873" s="5" t="s">
        <v>43</v>
      </c>
      <c r="J873" s="18" t="s">
        <v>153</v>
      </c>
      <c r="K873" s="42" t="s">
        <v>154</v>
      </c>
      <c r="L873" s="44">
        <v>46164.986111111109</v>
      </c>
      <c r="M873" s="55" t="s">
        <v>78</v>
      </c>
      <c r="N873" s="55" t="s">
        <v>78</v>
      </c>
      <c r="O873" s="56"/>
      <c r="Q873" s="58">
        <v>46165.694444444445</v>
      </c>
      <c r="S873" s="21" t="s">
        <v>3589</v>
      </c>
      <c r="T873" s="55" t="s">
        <v>164</v>
      </c>
      <c r="V873" s="53" t="s">
        <v>3590</v>
      </c>
      <c r="Y873" t="s">
        <v>158</v>
      </c>
      <c r="Z873" t="s">
        <v>70</v>
      </c>
    </row>
    <row r="874" spans="1:26" ht="15" hidden="1" customHeight="1">
      <c r="A874" s="60">
        <f>ROW() - ROW(Table1[[#Headers],[s]])</f>
        <v>873</v>
      </c>
      <c r="B874" t="s">
        <v>3591</v>
      </c>
      <c r="C874" s="163">
        <v>46143</v>
      </c>
      <c r="D874" s="52" t="s">
        <v>3592</v>
      </c>
      <c r="E874" t="e" vm="179">
        <v>#VALUE!</v>
      </c>
      <c r="F874" t="e" vm="1">
        <v>#VALUE!</v>
      </c>
      <c r="G874" s="43" t="s">
        <v>36</v>
      </c>
      <c r="H874" t="s">
        <v>747</v>
      </c>
      <c r="I874" t="s">
        <v>43</v>
      </c>
      <c r="J874" s="18" t="s">
        <v>253</v>
      </c>
      <c r="K874" s="47" t="s">
        <v>3593</v>
      </c>
      <c r="L874" s="44">
        <v>46165.35833333333</v>
      </c>
      <c r="M874" s="55" t="s">
        <v>2185</v>
      </c>
      <c r="N874" s="55" t="s">
        <v>2185</v>
      </c>
      <c r="O874" s="56"/>
      <c r="Q874" s="58">
        <v>46165.631944444445</v>
      </c>
      <c r="S874" s="21" t="s">
        <v>1994</v>
      </c>
      <c r="T874" s="55" t="s">
        <v>164</v>
      </c>
      <c r="V874" s="53" t="s">
        <v>862</v>
      </c>
      <c r="Y874" t="s">
        <v>158</v>
      </c>
      <c r="Z874" t="s">
        <v>158</v>
      </c>
    </row>
    <row r="875" spans="1:26" ht="15" hidden="1" customHeight="1">
      <c r="A875" s="60">
        <f>ROW() - ROW(Table1[[#Headers],[s]])</f>
        <v>874</v>
      </c>
      <c r="B875" t="s">
        <v>3594</v>
      </c>
      <c r="C875" s="163">
        <v>46143</v>
      </c>
      <c r="D875" s="52" t="s">
        <v>3595</v>
      </c>
      <c r="E875" t="e" vm="263">
        <v>#VALUE!</v>
      </c>
      <c r="F875" t="e" vm="35">
        <v>#VALUE!</v>
      </c>
      <c r="G875" s="43" t="s">
        <v>36</v>
      </c>
      <c r="H875" t="s">
        <v>747</v>
      </c>
      <c r="I875" t="s">
        <v>43</v>
      </c>
      <c r="J875" s="18" t="s">
        <v>253</v>
      </c>
      <c r="K875" s="42" t="s">
        <v>154</v>
      </c>
      <c r="L875" s="44">
        <v>46165.352777777778</v>
      </c>
      <c r="M875" s="55" t="s">
        <v>85</v>
      </c>
      <c r="N875" s="55" t="s">
        <v>85</v>
      </c>
      <c r="O875" s="56"/>
      <c r="Q875" s="58">
        <v>46165.691666666666</v>
      </c>
      <c r="S875" s="21" t="s">
        <v>3596</v>
      </c>
      <c r="T875" s="55" t="s">
        <v>164</v>
      </c>
      <c r="V875" s="53" t="s">
        <v>1102</v>
      </c>
      <c r="Y875" t="s">
        <v>158</v>
      </c>
      <c r="Z875" t="s">
        <v>158</v>
      </c>
    </row>
    <row r="876" spans="1:26" ht="15" hidden="1" customHeight="1">
      <c r="A876" s="60">
        <f>ROW() - ROW(Table1[[#Headers],[s]])</f>
        <v>875</v>
      </c>
      <c r="B876" t="s">
        <v>3597</v>
      </c>
      <c r="C876" s="163">
        <v>46143</v>
      </c>
      <c r="D876" s="52" t="s">
        <v>3598</v>
      </c>
      <c r="E876" t="e" vm="100">
        <v>#VALUE!</v>
      </c>
      <c r="F876" t="e" vm="21">
        <v>#VALUE!</v>
      </c>
      <c r="G876" s="43" t="s">
        <v>36</v>
      </c>
      <c r="H876" t="s">
        <v>152</v>
      </c>
      <c r="I876" s="5" t="s">
        <v>43</v>
      </c>
      <c r="J876" s="18" t="s">
        <v>153</v>
      </c>
      <c r="K876" s="42" t="s">
        <v>154</v>
      </c>
      <c r="L876" s="44">
        <v>46165.37777777778</v>
      </c>
      <c r="M876" s="55" t="s">
        <v>39</v>
      </c>
      <c r="N876" s="55" t="s">
        <v>39</v>
      </c>
      <c r="O876" s="56"/>
      <c r="Q876" s="58">
        <v>46165.583333333336</v>
      </c>
      <c r="S876" s="21" t="s">
        <v>3599</v>
      </c>
      <c r="T876" s="55" t="s">
        <v>164</v>
      </c>
      <c r="V876" s="53" t="s">
        <v>3600</v>
      </c>
      <c r="Y876" t="s">
        <v>158</v>
      </c>
      <c r="Z876" t="s">
        <v>70</v>
      </c>
    </row>
    <row r="877" spans="1:26" ht="15" hidden="1" customHeight="1">
      <c r="A877" s="60">
        <f>ROW() - ROW(Table1[[#Headers],[s]])</f>
        <v>876</v>
      </c>
      <c r="B877" t="s">
        <v>3601</v>
      </c>
      <c r="C877" s="163">
        <v>46143</v>
      </c>
      <c r="D877" s="52" t="s">
        <v>3602</v>
      </c>
      <c r="E877" t="e" vm="238">
        <v>#VALUE!</v>
      </c>
      <c r="F877" t="e" vm="10">
        <v>#VALUE!</v>
      </c>
      <c r="G877" s="43" t="s">
        <v>36</v>
      </c>
      <c r="H877" t="s">
        <v>152</v>
      </c>
      <c r="I877" s="5" t="s">
        <v>43</v>
      </c>
      <c r="J877" s="18" t="s">
        <v>153</v>
      </c>
      <c r="K877" s="42" t="s">
        <v>154</v>
      </c>
      <c r="L877" s="44">
        <v>46165.443055555559</v>
      </c>
      <c r="M877" s="55" t="s">
        <v>78</v>
      </c>
      <c r="N877" s="55" t="s">
        <v>78</v>
      </c>
      <c r="O877" s="56"/>
      <c r="Q877" s="58">
        <v>46165.645833333336</v>
      </c>
      <c r="S877" s="21" t="s">
        <v>3603</v>
      </c>
      <c r="T877" s="55" t="s">
        <v>164</v>
      </c>
      <c r="V877" s="53" t="s">
        <v>3604</v>
      </c>
      <c r="Y877" t="s">
        <v>158</v>
      </c>
      <c r="Z877" t="s">
        <v>70</v>
      </c>
    </row>
    <row r="878" spans="1:26" ht="15" hidden="1" customHeight="1">
      <c r="A878" s="60">
        <f>ROW() - ROW(Table1[[#Headers],[s]])</f>
        <v>877</v>
      </c>
      <c r="B878" t="s">
        <v>1769</v>
      </c>
      <c r="C878" s="163">
        <v>46143</v>
      </c>
      <c r="D878" s="52" t="s">
        <v>3605</v>
      </c>
      <c r="E878" t="s">
        <v>3606</v>
      </c>
      <c r="F878" t="e" vm="17">
        <v>#VALUE!</v>
      </c>
      <c r="G878" s="43" t="s">
        <v>36</v>
      </c>
      <c r="H878" t="s">
        <v>152</v>
      </c>
      <c r="I878" s="5" t="s">
        <v>43</v>
      </c>
      <c r="J878" s="18" t="s">
        <v>153</v>
      </c>
      <c r="K878" s="42" t="s">
        <v>154</v>
      </c>
      <c r="L878" s="44">
        <v>46165.461111111108</v>
      </c>
      <c r="M878" s="55" t="s">
        <v>227</v>
      </c>
      <c r="N878" s="55" t="s">
        <v>227</v>
      </c>
      <c r="O878" s="56"/>
      <c r="Q878" s="58">
        <v>46165.916666666664</v>
      </c>
      <c r="S878" s="21" t="s">
        <v>3607</v>
      </c>
      <c r="T878" s="55" t="s">
        <v>164</v>
      </c>
      <c r="V878" s="53" t="s">
        <v>3608</v>
      </c>
      <c r="Y878" t="s">
        <v>158</v>
      </c>
      <c r="Z878" t="s">
        <v>158</v>
      </c>
    </row>
    <row r="879" spans="1:26" ht="15" hidden="1" customHeight="1">
      <c r="A879" s="60">
        <f>ROW() - ROW(Table1[[#Headers],[s]])</f>
        <v>878</v>
      </c>
      <c r="B879" t="s">
        <v>3609</v>
      </c>
      <c r="C879" s="163">
        <v>46143</v>
      </c>
      <c r="D879" s="52" t="s">
        <v>3610</v>
      </c>
      <c r="E879" t="e" vm="131">
        <v>#VALUE!</v>
      </c>
      <c r="F879" t="e" vm="25">
        <v>#VALUE!</v>
      </c>
      <c r="G879" s="43" t="s">
        <v>36</v>
      </c>
      <c r="H879" t="s">
        <v>152</v>
      </c>
      <c r="I879" s="5" t="s">
        <v>43</v>
      </c>
      <c r="J879" s="18" t="s">
        <v>153</v>
      </c>
      <c r="K879" s="42" t="s">
        <v>154</v>
      </c>
      <c r="L879" s="44">
        <v>46165.552777777775</v>
      </c>
      <c r="M879" s="55" t="s">
        <v>566</v>
      </c>
      <c r="N879" s="55" t="s">
        <v>566</v>
      </c>
      <c r="O879" s="56"/>
      <c r="Q879" s="58">
        <v>46165.803472222222</v>
      </c>
      <c r="S879" s="21" t="s">
        <v>3611</v>
      </c>
      <c r="T879" s="55" t="s">
        <v>50</v>
      </c>
      <c r="V879" s="53" t="s">
        <v>2936</v>
      </c>
      <c r="Y879" t="s">
        <v>158</v>
      </c>
      <c r="Z879" t="s">
        <v>70</v>
      </c>
    </row>
    <row r="880" spans="1:26" ht="15" hidden="1" customHeight="1">
      <c r="A880" s="60">
        <f>ROW() - ROW(Table1[[#Headers],[s]])</f>
        <v>879</v>
      </c>
      <c r="B880" s="210" t="s">
        <v>3612</v>
      </c>
      <c r="C880" s="163">
        <v>46143</v>
      </c>
      <c r="D880" s="52" t="s">
        <v>3613</v>
      </c>
      <c r="E880" t="e" vm="71">
        <v>#VALUE!</v>
      </c>
      <c r="F880" t="e" vm="49">
        <v>#VALUE!</v>
      </c>
      <c r="G880" s="43" t="s">
        <v>36</v>
      </c>
      <c r="H880" t="s">
        <v>152</v>
      </c>
      <c r="I880" t="s">
        <v>43</v>
      </c>
      <c r="J880" s="18" t="s">
        <v>153</v>
      </c>
      <c r="K880" s="42" t="s">
        <v>154</v>
      </c>
      <c r="L880" s="44">
        <v>46165.60833333333</v>
      </c>
      <c r="M880" s="55" t="s">
        <v>85</v>
      </c>
      <c r="N880" s="55" t="s">
        <v>85</v>
      </c>
      <c r="O880" s="56"/>
      <c r="Q880" s="58">
        <v>46165.875</v>
      </c>
      <c r="R880" t="s">
        <v>3279</v>
      </c>
      <c r="S880" s="21" t="s">
        <v>3614</v>
      </c>
      <c r="T880" s="55" t="s">
        <v>164</v>
      </c>
      <c r="V880" s="53" t="s">
        <v>3615</v>
      </c>
      <c r="Y880" t="s">
        <v>158</v>
      </c>
      <c r="Z880" t="s">
        <v>158</v>
      </c>
    </row>
    <row r="881" spans="1:26" ht="15" hidden="1" customHeight="1">
      <c r="A881" s="60">
        <f>ROW() - ROW(Table1[[#Headers],[s]])</f>
        <v>880</v>
      </c>
      <c r="B881" t="s">
        <v>3616</v>
      </c>
      <c r="C881" s="163">
        <v>46143</v>
      </c>
      <c r="D881" s="52" t="s">
        <v>3617</v>
      </c>
      <c r="E881" t="e" vm="238">
        <v>#VALUE!</v>
      </c>
      <c r="F881" t="e" vm="10">
        <v>#VALUE!</v>
      </c>
      <c r="G881" s="43" t="s">
        <v>36</v>
      </c>
      <c r="H881" t="s">
        <v>152</v>
      </c>
      <c r="I881" s="5" t="s">
        <v>43</v>
      </c>
      <c r="J881" s="18" t="s">
        <v>153</v>
      </c>
      <c r="K881" s="42" t="s">
        <v>154</v>
      </c>
      <c r="L881" s="44">
        <v>46165.60833333333</v>
      </c>
      <c r="M881" s="55" t="s">
        <v>78</v>
      </c>
      <c r="N881" s="55" t="s">
        <v>78</v>
      </c>
      <c r="O881" s="56"/>
      <c r="Q881" s="58">
        <v>46165.666666666664</v>
      </c>
      <c r="S881" s="21" t="s">
        <v>3618</v>
      </c>
      <c r="T881" s="55" t="s">
        <v>164</v>
      </c>
      <c r="V881" s="392" t="s">
        <v>3051</v>
      </c>
      <c r="Y881" t="s">
        <v>158</v>
      </c>
      <c r="Z881" t="s">
        <v>70</v>
      </c>
    </row>
    <row r="882" spans="1:26" ht="15" hidden="1" customHeight="1">
      <c r="A882" s="60">
        <f>ROW() - ROW(Table1[[#Headers],[s]])</f>
        <v>881</v>
      </c>
      <c r="B882" t="s">
        <v>3619</v>
      </c>
      <c r="C882" s="163">
        <v>46143</v>
      </c>
      <c r="D882" s="52" t="s">
        <v>3620</v>
      </c>
      <c r="E882" t="e" vm="187">
        <v>#VALUE!</v>
      </c>
      <c r="F882" t="e" vm="16">
        <v>#VALUE!</v>
      </c>
      <c r="G882" s="43" t="s">
        <v>36</v>
      </c>
      <c r="H882" t="s">
        <v>245</v>
      </c>
      <c r="I882" s="5" t="s">
        <v>43</v>
      </c>
      <c r="J882" s="18" t="s">
        <v>253</v>
      </c>
      <c r="K882" s="42" t="s">
        <v>154</v>
      </c>
      <c r="L882" s="44">
        <v>46165.675694444442</v>
      </c>
      <c r="M882" s="55" t="s">
        <v>2185</v>
      </c>
      <c r="N882" s="55" t="s">
        <v>2185</v>
      </c>
      <c r="O882" s="56"/>
      <c r="Q882" s="58">
        <v>46165.851388888892</v>
      </c>
      <c r="S882" s="21" t="s">
        <v>861</v>
      </c>
      <c r="T882" s="55" t="s">
        <v>164</v>
      </c>
      <c r="V882" s="53" t="s">
        <v>1585</v>
      </c>
      <c r="Y882" t="s">
        <v>158</v>
      </c>
      <c r="Z882" t="s">
        <v>158</v>
      </c>
    </row>
    <row r="883" spans="1:26" ht="15" hidden="1" customHeight="1">
      <c r="A883" s="60">
        <f>ROW() - ROW(Table1[[#Headers],[s]])</f>
        <v>882</v>
      </c>
      <c r="B883" t="s">
        <v>3621</v>
      </c>
      <c r="C883" s="163">
        <v>46143</v>
      </c>
      <c r="D883" s="52" t="s">
        <v>3622</v>
      </c>
      <c r="E883" t="e" vm="240">
        <v>#VALUE!</v>
      </c>
      <c r="F883" t="e" vm="7">
        <v>#VALUE!</v>
      </c>
      <c r="G883" s="43" t="s">
        <v>36</v>
      </c>
      <c r="H883" t="s">
        <v>152</v>
      </c>
      <c r="I883" s="5" t="s">
        <v>43</v>
      </c>
      <c r="J883" s="18" t="s">
        <v>153</v>
      </c>
      <c r="K883" s="42" t="s">
        <v>154</v>
      </c>
      <c r="L883" s="44">
        <v>46166.213194444441</v>
      </c>
      <c r="M883" s="55" t="s">
        <v>2185</v>
      </c>
      <c r="N883" s="55" t="s">
        <v>2185</v>
      </c>
      <c r="O883" s="56"/>
      <c r="Q883" s="58">
        <v>46166.604166666664</v>
      </c>
      <c r="S883" s="21" t="s">
        <v>3623</v>
      </c>
      <c r="T883" s="55" t="s">
        <v>164</v>
      </c>
      <c r="V883" s="53" t="s">
        <v>3624</v>
      </c>
      <c r="Y883" t="s">
        <v>158</v>
      </c>
      <c r="Z883" t="s">
        <v>70</v>
      </c>
    </row>
    <row r="884" spans="1:26" ht="15" hidden="1" customHeight="1">
      <c r="A884" s="60">
        <f>ROW() - ROW(Table1[[#Headers],[s]])</f>
        <v>883</v>
      </c>
      <c r="B884" t="s">
        <v>3625</v>
      </c>
      <c r="C884" s="163">
        <v>46143</v>
      </c>
      <c r="D884" s="52" t="s">
        <v>3626</v>
      </c>
      <c r="E884" t="e" vm="144">
        <v>#VALUE!</v>
      </c>
      <c r="F884" t="e" vm="39">
        <v>#VALUE!</v>
      </c>
      <c r="G884" s="43" t="s">
        <v>36</v>
      </c>
      <c r="H884" t="s">
        <v>245</v>
      </c>
      <c r="I884" t="s">
        <v>43</v>
      </c>
      <c r="J884" s="18" t="s">
        <v>253</v>
      </c>
      <c r="K884" s="42" t="s">
        <v>154</v>
      </c>
      <c r="L884" s="44">
        <v>46166.373611111114</v>
      </c>
      <c r="M884" s="55" t="s">
        <v>1275</v>
      </c>
      <c r="N884" s="55" t="s">
        <v>1275</v>
      </c>
      <c r="O884" s="56"/>
      <c r="Q884" s="58">
        <v>46166.547222222223</v>
      </c>
      <c r="S884" s="21" t="s">
        <v>861</v>
      </c>
      <c r="T884" s="55" t="s">
        <v>164</v>
      </c>
      <c r="V884" s="53" t="s">
        <v>3627</v>
      </c>
      <c r="Y884" t="s">
        <v>158</v>
      </c>
      <c r="Z884" t="s">
        <v>158</v>
      </c>
    </row>
    <row r="885" spans="1:26" ht="15" hidden="1" customHeight="1">
      <c r="A885" s="60">
        <f>ROW() - ROW(Table1[[#Headers],[s]])</f>
        <v>884</v>
      </c>
      <c r="B885" t="s">
        <v>3628</v>
      </c>
      <c r="C885" s="163">
        <v>46143</v>
      </c>
      <c r="D885" s="52" t="s">
        <v>3629</v>
      </c>
      <c r="E885" t="e" vm="59">
        <v>#VALUE!</v>
      </c>
      <c r="F885" t="e" vm="10">
        <v>#VALUE!</v>
      </c>
      <c r="G885" s="43" t="s">
        <v>36</v>
      </c>
      <c r="H885" t="s">
        <v>152</v>
      </c>
      <c r="I885" s="5" t="s">
        <v>43</v>
      </c>
      <c r="J885" s="18" t="s">
        <v>153</v>
      </c>
      <c r="K885" s="42" t="s">
        <v>154</v>
      </c>
      <c r="L885" s="44">
        <v>46166.412499999999</v>
      </c>
      <c r="M885" s="55" t="s">
        <v>78</v>
      </c>
      <c r="N885" s="55" t="s">
        <v>78</v>
      </c>
      <c r="O885" s="56"/>
      <c r="Q885" s="58">
        <v>46166.642361111109</v>
      </c>
      <c r="S885" s="21" t="s">
        <v>3630</v>
      </c>
      <c r="T885" s="55" t="s">
        <v>164</v>
      </c>
      <c r="V885" s="53" t="s">
        <v>761</v>
      </c>
      <c r="Y885" t="s">
        <v>158</v>
      </c>
      <c r="Z885" t="s">
        <v>70</v>
      </c>
    </row>
    <row r="886" spans="1:26" ht="15" hidden="1" customHeight="1">
      <c r="A886" s="60">
        <f>ROW() - ROW(Table1[[#Headers],[s]])</f>
        <v>885</v>
      </c>
      <c r="B886" t="s">
        <v>3631</v>
      </c>
      <c r="C886" s="163">
        <v>46143</v>
      </c>
      <c r="D886" s="52" t="s">
        <v>3632</v>
      </c>
      <c r="E886" t="e" vm="193">
        <v>#VALUE!</v>
      </c>
      <c r="F886" t="e" vm="19">
        <v>#VALUE!</v>
      </c>
      <c r="G886" s="43" t="s">
        <v>36</v>
      </c>
      <c r="H886" t="s">
        <v>152</v>
      </c>
      <c r="I886" s="5" t="s">
        <v>43</v>
      </c>
      <c r="J886" s="18" t="s">
        <v>153</v>
      </c>
      <c r="K886" s="42" t="s">
        <v>154</v>
      </c>
      <c r="L886" s="44">
        <v>46166.468055555553</v>
      </c>
      <c r="M886" s="55" t="s">
        <v>3633</v>
      </c>
      <c r="N886" s="55" t="s">
        <v>3633</v>
      </c>
      <c r="O886" s="56"/>
      <c r="Q886" s="58">
        <v>46166.666666666664</v>
      </c>
      <c r="S886" s="21" t="s">
        <v>3634</v>
      </c>
      <c r="T886" s="55" t="s">
        <v>3011</v>
      </c>
      <c r="V886" s="53" t="s">
        <v>3635</v>
      </c>
      <c r="Y886" t="s">
        <v>158</v>
      </c>
      <c r="Z886" t="s">
        <v>70</v>
      </c>
    </row>
    <row r="887" spans="1:26" ht="15" hidden="1" customHeight="1">
      <c r="A887" s="60">
        <f>ROW() - ROW(Table1[[#Headers],[s]])</f>
        <v>886</v>
      </c>
      <c r="B887" t="s">
        <v>3636</v>
      </c>
      <c r="C887" s="163">
        <v>46143</v>
      </c>
      <c r="D887" s="52" t="s">
        <v>3637</v>
      </c>
      <c r="E887" t="e" vm="183">
        <v>#VALUE!</v>
      </c>
      <c r="F887" t="e" vm="19">
        <v>#VALUE!</v>
      </c>
      <c r="G887" s="43" t="s">
        <v>200</v>
      </c>
      <c r="H887" t="s">
        <v>152</v>
      </c>
      <c r="I887" t="s">
        <v>43</v>
      </c>
      <c r="J887" s="18" t="s">
        <v>153</v>
      </c>
      <c r="K887" s="42" t="s">
        <v>154</v>
      </c>
      <c r="L887" s="44">
        <v>46166.495138888888</v>
      </c>
      <c r="M887" s="55" t="s">
        <v>3633</v>
      </c>
      <c r="N887" s="55" t="s">
        <v>3633</v>
      </c>
      <c r="O887" s="56">
        <f>Table1[[#This Row],[Data si ora finalizare incident]]-TIME(2,0,0)</f>
        <v>46167.333333333328</v>
      </c>
      <c r="P887" s="349">
        <f>Table1[[#This Row],[Data si ora finalizare incident]]-TIME(1,0,0)</f>
        <v>46167.375</v>
      </c>
      <c r="Q887" s="58">
        <v>46167.416666666664</v>
      </c>
      <c r="S887" s="21" t="s">
        <v>3638</v>
      </c>
      <c r="T887" s="55" t="s">
        <v>164</v>
      </c>
      <c r="V887" s="53" t="s">
        <v>3639</v>
      </c>
      <c r="Y887" t="s">
        <v>203</v>
      </c>
      <c r="Z887" t="s">
        <v>158</v>
      </c>
    </row>
    <row r="888" spans="1:26" ht="15" hidden="1" customHeight="1">
      <c r="A888" s="60">
        <f>ROW() - ROW(Table1[[#Headers],[s]])</f>
        <v>887</v>
      </c>
      <c r="B888" t="s">
        <v>3640</v>
      </c>
      <c r="C888" s="163">
        <v>46143</v>
      </c>
      <c r="D888" s="52" t="s">
        <v>3641</v>
      </c>
      <c r="E888" t="s">
        <v>3642</v>
      </c>
      <c r="F888" t="e" vm="26">
        <v>#VALUE!</v>
      </c>
      <c r="G888" s="43" t="s">
        <v>36</v>
      </c>
      <c r="H888" t="s">
        <v>747</v>
      </c>
      <c r="I888" t="s">
        <v>211</v>
      </c>
      <c r="J888" s="18" t="s">
        <v>253</v>
      </c>
      <c r="K888" s="42" t="s">
        <v>154</v>
      </c>
      <c r="L888" s="44">
        <v>46166.741666666669</v>
      </c>
      <c r="M888" s="55" t="s">
        <v>81</v>
      </c>
      <c r="N888" s="55" t="s">
        <v>81</v>
      </c>
      <c r="O888" s="56"/>
      <c r="Q888" s="58">
        <v>46166.927083333336</v>
      </c>
      <c r="S888" s="21" t="s">
        <v>1100</v>
      </c>
      <c r="T888" s="55" t="s">
        <v>164</v>
      </c>
      <c r="V888" s="53" t="s">
        <v>1733</v>
      </c>
      <c r="Y888" t="s">
        <v>158</v>
      </c>
      <c r="Z888" t="s">
        <v>158</v>
      </c>
    </row>
    <row r="889" spans="1:26" ht="15" hidden="1" customHeight="1">
      <c r="A889" s="60">
        <f>ROW() - ROW(Table1[[#Headers],[s]])</f>
        <v>888</v>
      </c>
      <c r="B889" t="s">
        <v>3643</v>
      </c>
      <c r="C889" s="163">
        <v>46143</v>
      </c>
      <c r="D889" s="52" t="s">
        <v>3644</v>
      </c>
      <c r="E889" t="e" vm="193">
        <v>#VALUE!</v>
      </c>
      <c r="F889" t="e" vm="19">
        <v>#VALUE!</v>
      </c>
      <c r="G889" s="43" t="s">
        <v>36</v>
      </c>
      <c r="H889" t="s">
        <v>747</v>
      </c>
      <c r="I889" t="s">
        <v>43</v>
      </c>
      <c r="J889" s="18" t="s">
        <v>253</v>
      </c>
      <c r="K889" s="42" t="s">
        <v>154</v>
      </c>
      <c r="L889" s="44">
        <v>46166.770833333336</v>
      </c>
      <c r="M889" s="55" t="s">
        <v>3633</v>
      </c>
      <c r="N889" s="55" t="s">
        <v>3633</v>
      </c>
      <c r="O889" s="56"/>
      <c r="Q889" s="58">
        <v>46166.842361111114</v>
      </c>
      <c r="S889" s="21" t="s">
        <v>3645</v>
      </c>
      <c r="T889" s="55" t="s">
        <v>164</v>
      </c>
      <c r="V889" s="53" t="s">
        <v>3646</v>
      </c>
      <c r="Y889" t="s">
        <v>158</v>
      </c>
      <c r="Z889" t="s">
        <v>70</v>
      </c>
    </row>
    <row r="890" spans="1:26" ht="15" hidden="1" customHeight="1">
      <c r="A890" s="60">
        <f>ROW() - ROW(Table1[[#Headers],[s]])</f>
        <v>889</v>
      </c>
      <c r="B890" t="s">
        <v>3647</v>
      </c>
      <c r="C890" s="163">
        <v>46143</v>
      </c>
      <c r="D890" s="52" t="s">
        <v>3648</v>
      </c>
      <c r="E890" t="e" vm="73">
        <v>#VALUE!</v>
      </c>
      <c r="F890" t="e" vm="49">
        <v>#VALUE!</v>
      </c>
      <c r="G890" s="43" t="s">
        <v>200</v>
      </c>
      <c r="H890" t="s">
        <v>152</v>
      </c>
      <c r="I890" t="s">
        <v>43</v>
      </c>
      <c r="J890" s="18" t="s">
        <v>153</v>
      </c>
      <c r="K890" s="42" t="s">
        <v>154</v>
      </c>
      <c r="L890" s="44">
        <v>46167.417361111111</v>
      </c>
      <c r="M890" s="55" t="s">
        <v>227</v>
      </c>
      <c r="N890" s="55" t="s">
        <v>227</v>
      </c>
      <c r="O890" s="56">
        <f>Table1[[#This Row],[Data si ora finalizare incident]]-TIME(2,0,0)</f>
        <v>46167.729166666664</v>
      </c>
      <c r="P890" s="349">
        <f>Table1[[#This Row],[Data si ora finalizare incident]]-TIME(1,0,0)</f>
        <v>46167.770833333336</v>
      </c>
      <c r="Q890" s="58">
        <v>46167.8125</v>
      </c>
      <c r="S890" s="21" t="s">
        <v>3649</v>
      </c>
      <c r="T890" s="55" t="s">
        <v>1348</v>
      </c>
      <c r="V890" s="53" t="s">
        <v>3650</v>
      </c>
      <c r="Y890" t="s">
        <v>203</v>
      </c>
      <c r="Z890" t="s">
        <v>70</v>
      </c>
    </row>
    <row r="891" spans="1:26" ht="15" hidden="1" customHeight="1">
      <c r="A891" s="60">
        <f>ROW() - ROW(Table1[[#Headers],[s]])</f>
        <v>890</v>
      </c>
      <c r="B891" t="s">
        <v>3651</v>
      </c>
      <c r="C891" s="272">
        <v>46143</v>
      </c>
      <c r="D891" s="19" t="s">
        <v>3652</v>
      </c>
      <c r="E891" t="e" vm="216">
        <v>#VALUE!</v>
      </c>
      <c r="F891" t="e" vm="25">
        <v>#VALUE!</v>
      </c>
      <c r="G891" s="5" t="s">
        <v>200</v>
      </c>
      <c r="H891" t="s">
        <v>152</v>
      </c>
      <c r="I891" t="s">
        <v>43</v>
      </c>
      <c r="J891" s="18" t="s">
        <v>153</v>
      </c>
      <c r="K891" s="42" t="s">
        <v>154</v>
      </c>
      <c r="L891" s="20">
        <v>46167.705555555556</v>
      </c>
      <c r="M891" s="18" t="s">
        <v>72</v>
      </c>
      <c r="N891" s="18" t="s">
        <v>72</v>
      </c>
      <c r="O891" s="56">
        <f>Table1[[#This Row],[Data si ora finalizare incident]]-TIME(2,0,0)</f>
        <v>46167.791666666664</v>
      </c>
      <c r="P891" s="349">
        <f>Table1[[#This Row],[Data si ora finalizare incident]]-TIME(1,0,0)</f>
        <v>46167.833333333336</v>
      </c>
      <c r="Q891" s="22">
        <v>46167.875</v>
      </c>
      <c r="S891" s="21" t="s">
        <v>3653</v>
      </c>
      <c r="T891" s="18" t="s">
        <v>179</v>
      </c>
      <c r="V891" s="21" t="s">
        <v>3654</v>
      </c>
      <c r="Y891" t="s">
        <v>203</v>
      </c>
      <c r="Z891" t="s">
        <v>70</v>
      </c>
    </row>
    <row r="892" spans="1:26" ht="15" hidden="1" customHeight="1">
      <c r="A892" s="60">
        <f>ROW() - ROW(Table1[[#Headers],[s]])</f>
        <v>891</v>
      </c>
      <c r="B892" t="s">
        <v>3655</v>
      </c>
      <c r="C892" s="272">
        <v>46143</v>
      </c>
      <c r="D892" s="19" t="s">
        <v>3656</v>
      </c>
      <c r="E892" t="e" vm="185">
        <v>#VALUE!</v>
      </c>
      <c r="F892" t="e" vm="5">
        <v>#VALUE!</v>
      </c>
      <c r="G892" s="5" t="s">
        <v>200</v>
      </c>
      <c r="H892" t="s">
        <v>152</v>
      </c>
      <c r="I892" t="s">
        <v>43</v>
      </c>
      <c r="J892" s="18" t="s">
        <v>153</v>
      </c>
      <c r="K892" s="42" t="s">
        <v>154</v>
      </c>
      <c r="L892" s="20">
        <v>46167.68472222222</v>
      </c>
      <c r="M892" s="18" t="s">
        <v>55</v>
      </c>
      <c r="N892" s="18" t="s">
        <v>55</v>
      </c>
      <c r="O892" s="56">
        <f>Table1[[#This Row],[Data si ora finalizare incident]]-TIME(2,0,0)</f>
        <v>46167.875</v>
      </c>
      <c r="P892" s="349">
        <f>Table1[[#This Row],[Data si ora finalizare incident]]-TIME(1,0,0)</f>
        <v>46167.916666666672</v>
      </c>
      <c r="Q892" s="22">
        <v>46167.958333333336</v>
      </c>
      <c r="S892" s="21" t="s">
        <v>3657</v>
      </c>
      <c r="T892" s="18" t="s">
        <v>179</v>
      </c>
      <c r="V892" s="21" t="s">
        <v>374</v>
      </c>
      <c r="Y892" t="s">
        <v>203</v>
      </c>
      <c r="Z892" t="s">
        <v>70</v>
      </c>
    </row>
    <row r="893" spans="1:26" ht="15" hidden="1" customHeight="1">
      <c r="A893" s="60">
        <f>ROW() - ROW(Table1[[#Headers],[s]])</f>
        <v>892</v>
      </c>
      <c r="B893" t="s">
        <v>3658</v>
      </c>
      <c r="C893" s="272">
        <v>46143</v>
      </c>
      <c r="D893" s="19" t="s">
        <v>3659</v>
      </c>
      <c r="E893" t="e" vm="57">
        <v>#VALUE!</v>
      </c>
      <c r="F893" t="e" vm="25">
        <v>#VALUE!</v>
      </c>
      <c r="G893" s="5" t="s">
        <v>200</v>
      </c>
      <c r="H893" t="s">
        <v>152</v>
      </c>
      <c r="I893" t="s">
        <v>43</v>
      </c>
      <c r="J893" s="18" t="s">
        <v>153</v>
      </c>
      <c r="K893" s="42" t="s">
        <v>154</v>
      </c>
      <c r="L893" s="20">
        <v>46167.695833333331</v>
      </c>
      <c r="M893" s="18" t="s">
        <v>72</v>
      </c>
      <c r="N893" s="18" t="s">
        <v>72</v>
      </c>
      <c r="O893" s="56">
        <f>Table1[[#This Row],[Data si ora finalizare incident]]-TIME(2,0,0)</f>
        <v>46167.875</v>
      </c>
      <c r="P893" s="349">
        <f>Table1[[#This Row],[Data si ora finalizare incident]]-TIME(1,0,0)</f>
        <v>46167.916666666672</v>
      </c>
      <c r="Q893" s="22">
        <v>46167.958333333336</v>
      </c>
      <c r="S893" s="21" t="s">
        <v>3660</v>
      </c>
      <c r="T893" s="18" t="s">
        <v>179</v>
      </c>
      <c r="V893" s="21" t="s">
        <v>3650</v>
      </c>
      <c r="Y893" t="s">
        <v>203</v>
      </c>
      <c r="Z893" t="s">
        <v>70</v>
      </c>
    </row>
    <row r="894" spans="1:26" ht="15" hidden="1" customHeight="1">
      <c r="A894" s="60">
        <f>ROW() - ROW(Table1[[#Headers],[s]])</f>
        <v>893</v>
      </c>
      <c r="B894" t="s">
        <v>3661</v>
      </c>
      <c r="C894" s="272">
        <v>46143</v>
      </c>
      <c r="D894" s="19" t="s">
        <v>3662</v>
      </c>
      <c r="E894" t="e" vm="193">
        <v>#VALUE!</v>
      </c>
      <c r="F894" t="e" vm="19">
        <v>#VALUE!</v>
      </c>
      <c r="G894" s="43" t="s">
        <v>174</v>
      </c>
      <c r="H894" t="s">
        <v>152</v>
      </c>
      <c r="J894" s="18" t="s">
        <v>153</v>
      </c>
      <c r="K894" s="42" t="s">
        <v>154</v>
      </c>
      <c r="L894" s="20">
        <v>46167.700694444444</v>
      </c>
      <c r="M894" s="18" t="s">
        <v>1536</v>
      </c>
      <c r="N894" s="18" t="s">
        <v>1536</v>
      </c>
      <c r="O894" s="56">
        <v>46168.354166666664</v>
      </c>
      <c r="P894" s="56">
        <v>46168.368055555555</v>
      </c>
      <c r="Q894" s="56">
        <v>46168.395833333336</v>
      </c>
      <c r="S894" s="21" t="s">
        <v>3663</v>
      </c>
      <c r="T894" s="55" t="s">
        <v>478</v>
      </c>
      <c r="V894" s="21" t="s">
        <v>3664</v>
      </c>
      <c r="Y894" t="s">
        <v>158</v>
      </c>
      <c r="Z894" t="s">
        <v>70</v>
      </c>
    </row>
    <row r="895" spans="1:26" ht="15" hidden="1" customHeight="1">
      <c r="A895" s="60">
        <f>ROW() - ROW(Table1[[#Headers],[s]])</f>
        <v>894</v>
      </c>
      <c r="B895" t="s">
        <v>3665</v>
      </c>
      <c r="C895" s="163">
        <v>46143</v>
      </c>
      <c r="D895" s="52" t="s">
        <v>3666</v>
      </c>
      <c r="E895" t="s">
        <v>898</v>
      </c>
      <c r="F895" t="e" vm="25">
        <v>#VALUE!</v>
      </c>
      <c r="G895" s="5" t="s">
        <v>200</v>
      </c>
      <c r="H895" t="s">
        <v>152</v>
      </c>
      <c r="I895" t="s">
        <v>43</v>
      </c>
      <c r="J895" s="18" t="s">
        <v>153</v>
      </c>
      <c r="K895" t="s">
        <v>154</v>
      </c>
      <c r="L895" s="44">
        <v>46167.588194444441</v>
      </c>
      <c r="M895" s="55" t="s">
        <v>72</v>
      </c>
      <c r="N895" s="55" t="s">
        <v>72</v>
      </c>
      <c r="O895" s="56">
        <f>Table1[[#This Row],[Data si ora finalizare incident]]-TIME(2,0,0)</f>
        <v>46167.8125</v>
      </c>
      <c r="P895" s="349">
        <f>Table1[[#This Row],[Data si ora finalizare incident]]-TIME(1,0,0)</f>
        <v>46167.854166666672</v>
      </c>
      <c r="Q895" s="58">
        <v>46167.895833333336</v>
      </c>
      <c r="S895" s="21" t="s">
        <v>3667</v>
      </c>
      <c r="T895" s="55" t="s">
        <v>179</v>
      </c>
      <c r="V895" s="53" t="s">
        <v>3668</v>
      </c>
      <c r="Y895" t="s">
        <v>203</v>
      </c>
      <c r="Z895" t="s">
        <v>70</v>
      </c>
    </row>
    <row r="896" spans="1:26" ht="15" hidden="1" customHeight="1">
      <c r="A896" s="60">
        <f>ROW() - ROW(Table1[[#Headers],[s]])</f>
        <v>895</v>
      </c>
      <c r="B896" t="s">
        <v>3669</v>
      </c>
      <c r="C896" s="163">
        <v>46143</v>
      </c>
      <c r="D896" s="52" t="s">
        <v>3670</v>
      </c>
      <c r="E896" t="e" vm="12">
        <v>#VALUE!</v>
      </c>
      <c r="F896" t="e" vm="12">
        <v>#VALUE!</v>
      </c>
      <c r="G896" s="43" t="s">
        <v>200</v>
      </c>
      <c r="H896" t="s">
        <v>747</v>
      </c>
      <c r="I896" t="s">
        <v>1221</v>
      </c>
      <c r="J896" s="18" t="s">
        <v>253</v>
      </c>
      <c r="K896" s="42" t="s">
        <v>154</v>
      </c>
      <c r="L896" s="44">
        <v>46167.655555555553</v>
      </c>
      <c r="M896" s="55" t="s">
        <v>53</v>
      </c>
      <c r="N896" s="55" t="s">
        <v>53</v>
      </c>
      <c r="O896" s="56">
        <v>46167.708333333336</v>
      </c>
      <c r="P896" s="2">
        <v>46167.708333333336</v>
      </c>
      <c r="Q896" s="58">
        <v>46167.96875</v>
      </c>
      <c r="S896" s="21" t="s">
        <v>3671</v>
      </c>
      <c r="T896" s="55" t="s">
        <v>516</v>
      </c>
      <c r="V896" s="53" t="s">
        <v>3672</v>
      </c>
      <c r="Y896" t="s">
        <v>203</v>
      </c>
      <c r="Z896" t="s">
        <v>158</v>
      </c>
    </row>
    <row r="897" spans="1:27" s="24" customFormat="1" ht="15" hidden="1" customHeight="1">
      <c r="A897" s="87">
        <f>ROW() - ROW(Table1[[#Headers],[s]])</f>
        <v>896</v>
      </c>
      <c r="B897" s="24" t="s">
        <v>3673</v>
      </c>
      <c r="C897" s="348">
        <v>46143</v>
      </c>
      <c r="D897" s="52" t="s">
        <v>3674</v>
      </c>
      <c r="E897" s="24" t="e" vm="264">
        <v>#VALUE!</v>
      </c>
      <c r="F897" s="24" t="e" vm="30">
        <v>#VALUE!</v>
      </c>
      <c r="G897" s="256" t="s">
        <v>200</v>
      </c>
      <c r="H897" s="24" t="s">
        <v>747</v>
      </c>
      <c r="I897" s="24" t="s">
        <v>1221</v>
      </c>
      <c r="J897" s="259" t="s">
        <v>253</v>
      </c>
      <c r="K897" s="24" t="s">
        <v>154</v>
      </c>
      <c r="L897" s="142">
        <v>46167.779166666667</v>
      </c>
      <c r="M897" s="134" t="s">
        <v>3675</v>
      </c>
      <c r="N897" s="134" t="s">
        <v>3675</v>
      </c>
      <c r="O897" s="143">
        <f>Table1[[#This Row],[Data si ora finalizare incident]]-TIME(2,0,0)</f>
        <v>46168.447916666664</v>
      </c>
      <c r="P897" s="24">
        <f>Table1[[#This Row],[Data si ora finalizare incident]]-TIME(1,0,0)</f>
        <v>46168.489583333336</v>
      </c>
      <c r="Q897" s="213">
        <v>46168.53125</v>
      </c>
      <c r="S897" s="345" t="s">
        <v>3676</v>
      </c>
      <c r="T897" s="134" t="s">
        <v>478</v>
      </c>
      <c r="V897" s="341" t="s">
        <v>3677</v>
      </c>
      <c r="Y897" s="24" t="s">
        <v>70</v>
      </c>
      <c r="Z897" s="24" t="s">
        <v>70</v>
      </c>
    </row>
    <row r="898" spans="1:27" ht="15" hidden="1" customHeight="1">
      <c r="A898" s="60">
        <f>ROW() - ROW(Table1[[#Headers],[s]])</f>
        <v>897</v>
      </c>
      <c r="B898" t="s">
        <v>3678</v>
      </c>
      <c r="C898" s="163">
        <v>46143</v>
      </c>
      <c r="D898" s="52" t="s">
        <v>3679</v>
      </c>
      <c r="E898" t="e" vm="265">
        <v>#VALUE!</v>
      </c>
      <c r="F898" t="e" vm="26">
        <v>#VALUE!</v>
      </c>
      <c r="G898" s="43" t="s">
        <v>200</v>
      </c>
      <c r="H898" t="s">
        <v>747</v>
      </c>
      <c r="I898" t="s">
        <v>1221</v>
      </c>
      <c r="J898" s="18" t="s">
        <v>253</v>
      </c>
      <c r="K898" s="42" t="s">
        <v>154</v>
      </c>
      <c r="L898" s="44">
        <v>46167.701388888891</v>
      </c>
      <c r="M898" s="55" t="s">
        <v>1023</v>
      </c>
      <c r="N898" s="55" t="s">
        <v>1023</v>
      </c>
      <c r="O898" s="56">
        <v>46167.770833333336</v>
      </c>
      <c r="P898" s="2">
        <v>46167.770833333336</v>
      </c>
      <c r="Q898" s="58">
        <v>46167.833333333336</v>
      </c>
      <c r="S898" s="21" t="s">
        <v>1442</v>
      </c>
      <c r="T898" s="55" t="s">
        <v>3680</v>
      </c>
      <c r="V898" s="53" t="s">
        <v>2818</v>
      </c>
      <c r="Y898" t="s">
        <v>203</v>
      </c>
      <c r="Z898" t="s">
        <v>158</v>
      </c>
    </row>
    <row r="899" spans="1:27" ht="15" hidden="1" customHeight="1">
      <c r="A899" s="60">
        <f>ROW() - ROW(Table1[[#Headers],[s]])</f>
        <v>898</v>
      </c>
      <c r="B899" t="s">
        <v>3340</v>
      </c>
      <c r="C899" s="163">
        <v>46143</v>
      </c>
      <c r="D899" s="52" t="s">
        <v>3681</v>
      </c>
      <c r="E899" t="e" vm="82">
        <v>#VALUE!</v>
      </c>
      <c r="F899" t="e" vm="5">
        <v>#VALUE!</v>
      </c>
      <c r="G899" s="43" t="s">
        <v>200</v>
      </c>
      <c r="H899" t="s">
        <v>747</v>
      </c>
      <c r="I899" t="s">
        <v>1221</v>
      </c>
      <c r="J899" s="18" t="s">
        <v>253</v>
      </c>
      <c r="K899" s="42" t="s">
        <v>3682</v>
      </c>
      <c r="L899" s="44">
        <v>46167.497916666667</v>
      </c>
      <c r="M899" s="55" t="s">
        <v>602</v>
      </c>
      <c r="N899" s="55" t="s">
        <v>602</v>
      </c>
      <c r="O899" s="56">
        <v>46167.708333333336</v>
      </c>
      <c r="P899" s="2">
        <v>46167.729166666664</v>
      </c>
      <c r="Q899" s="58">
        <v>46167.791666666664</v>
      </c>
      <c r="S899" s="21" t="s">
        <v>3683</v>
      </c>
      <c r="T899" s="55" t="s">
        <v>3684</v>
      </c>
      <c r="V899" s="53" t="s">
        <v>3685</v>
      </c>
      <c r="Y899" t="s">
        <v>203</v>
      </c>
      <c r="Z899" t="s">
        <v>179</v>
      </c>
    </row>
    <row r="900" spans="1:27" ht="15" hidden="1" customHeight="1">
      <c r="A900" s="60">
        <f>ROW() - ROW(Table1[[#Headers],[s]])</f>
        <v>899</v>
      </c>
      <c r="B900" t="s">
        <v>3686</v>
      </c>
      <c r="C900" s="181" t="s">
        <v>60</v>
      </c>
      <c r="D900" s="52" t="s">
        <v>3687</v>
      </c>
      <c r="E900" t="e" vm="94">
        <v>#VALUE!</v>
      </c>
      <c r="F900" t="e" vm="17">
        <v>#VALUE!</v>
      </c>
      <c r="G900" s="43" t="s">
        <v>200</v>
      </c>
      <c r="H900" t="s">
        <v>747</v>
      </c>
      <c r="J900" s="18" t="s">
        <v>253</v>
      </c>
      <c r="K900" s="42" t="s">
        <v>3688</v>
      </c>
      <c r="L900" s="44">
        <v>46167.549305555556</v>
      </c>
      <c r="M900" s="55"/>
      <c r="N900" s="55"/>
      <c r="O900" s="56"/>
      <c r="Q900" s="58"/>
      <c r="S900" s="21" t="s">
        <v>3689</v>
      </c>
      <c r="T900" s="55" t="s">
        <v>179</v>
      </c>
      <c r="V900" s="53"/>
      <c r="Y900" t="s">
        <v>179</v>
      </c>
      <c r="Z900" t="s">
        <v>179</v>
      </c>
    </row>
    <row r="901" spans="1:27" ht="15" hidden="1" customHeight="1">
      <c r="A901" s="60">
        <f>ROW() - ROW(Table1[[#Headers],[s]])</f>
        <v>900</v>
      </c>
      <c r="B901" t="s">
        <v>3594</v>
      </c>
      <c r="C901" s="163">
        <v>46143</v>
      </c>
      <c r="D901" s="52" t="s">
        <v>3690</v>
      </c>
      <c r="E901" t="e" vm="263">
        <v>#VALUE!</v>
      </c>
      <c r="F901" t="e" vm="35">
        <v>#VALUE!</v>
      </c>
      <c r="G901" s="43" t="s">
        <v>200</v>
      </c>
      <c r="H901" t="s">
        <v>747</v>
      </c>
      <c r="I901" t="s">
        <v>1221</v>
      </c>
      <c r="J901" s="18" t="s">
        <v>253</v>
      </c>
      <c r="K901" s="42" t="s">
        <v>371</v>
      </c>
      <c r="L901" s="44">
        <v>46167.410416666666</v>
      </c>
      <c r="M901" s="55" t="s">
        <v>3691</v>
      </c>
      <c r="N901" s="55" t="s">
        <v>3691</v>
      </c>
      <c r="O901" s="56">
        <v>46167.520833333336</v>
      </c>
      <c r="P901" s="2">
        <v>46167.5625</v>
      </c>
      <c r="Q901" s="58">
        <v>46167.729166666664</v>
      </c>
      <c r="S901" s="21" t="s">
        <v>3692</v>
      </c>
      <c r="T901" s="55" t="s">
        <v>478</v>
      </c>
      <c r="V901" s="53" t="s">
        <v>3693</v>
      </c>
      <c r="Y901" t="s">
        <v>203</v>
      </c>
      <c r="Z901" t="s">
        <v>70</v>
      </c>
    </row>
    <row r="902" spans="1:27" ht="15" hidden="1" customHeight="1">
      <c r="A902" s="60">
        <f>ROW() - ROW(Table1[[#Headers],[s]])</f>
        <v>901</v>
      </c>
      <c r="B902" t="s">
        <v>3694</v>
      </c>
      <c r="C902" s="163">
        <v>46143</v>
      </c>
      <c r="D902" s="52" t="s">
        <v>3695</v>
      </c>
      <c r="E902" t="e" vm="245">
        <v>#VALUE!</v>
      </c>
      <c r="F902" t="e" vm="25">
        <v>#VALUE!</v>
      </c>
      <c r="G902" s="43" t="s">
        <v>174</v>
      </c>
      <c r="H902" t="s">
        <v>747</v>
      </c>
      <c r="J902" s="18" t="s">
        <v>253</v>
      </c>
      <c r="K902" s="42" t="s">
        <v>3696</v>
      </c>
      <c r="L902" s="44">
        <v>46167.73333333333</v>
      </c>
      <c r="M902" s="55" t="s">
        <v>72</v>
      </c>
      <c r="N902" s="55" t="s">
        <v>72</v>
      </c>
      <c r="O902" s="56">
        <v>46168.354166666664</v>
      </c>
      <c r="P902" s="56">
        <v>46168.368055555555</v>
      </c>
      <c r="Q902" s="56">
        <v>46168.494444444441</v>
      </c>
      <c r="S902" s="21" t="s">
        <v>3002</v>
      </c>
      <c r="T902" s="55" t="s">
        <v>3697</v>
      </c>
      <c r="V902" s="53" t="s">
        <v>3698</v>
      </c>
      <c r="Y902" t="s">
        <v>70</v>
      </c>
      <c r="Z902" t="s">
        <v>158</v>
      </c>
      <c r="AA902" t="s">
        <v>3699</v>
      </c>
    </row>
    <row r="903" spans="1:27" ht="15" hidden="1" customHeight="1">
      <c r="A903" s="60">
        <f>ROW() - ROW(Table1[[#Headers],[s]])</f>
        <v>902</v>
      </c>
      <c r="B903" t="s">
        <v>3700</v>
      </c>
      <c r="C903" s="163">
        <v>46143</v>
      </c>
      <c r="D903" s="52" t="s">
        <v>3701</v>
      </c>
      <c r="E903" t="e" vm="73">
        <v>#VALUE!</v>
      </c>
      <c r="F903" t="e" vm="49">
        <v>#VALUE!</v>
      </c>
      <c r="G903" s="43" t="s">
        <v>174</v>
      </c>
      <c r="H903" t="s">
        <v>152</v>
      </c>
      <c r="J903" s="18" t="s">
        <v>153</v>
      </c>
      <c r="K903" t="s">
        <v>154</v>
      </c>
      <c r="L903" s="44">
        <v>46168.592361111114</v>
      </c>
      <c r="M903" s="169" t="s">
        <v>1484</v>
      </c>
      <c r="N903" s="169" t="s">
        <v>1484</v>
      </c>
      <c r="O903" s="44">
        <v>46168.666666666664</v>
      </c>
      <c r="P903" s="44">
        <v>46168.677083333336</v>
      </c>
      <c r="Q903" s="44">
        <v>46168.760416666664</v>
      </c>
      <c r="S903" s="21" t="s">
        <v>3702</v>
      </c>
      <c r="T903" s="55" t="s">
        <v>3703</v>
      </c>
      <c r="V903" s="53" t="s">
        <v>3704</v>
      </c>
      <c r="Y903" t="s">
        <v>158</v>
      </c>
      <c r="Z903" t="s">
        <v>70</v>
      </c>
    </row>
    <row r="904" spans="1:27" ht="15" hidden="1" customHeight="1">
      <c r="A904" s="60">
        <f>ROW() - ROW(Table1[[#Headers],[s]])</f>
        <v>903</v>
      </c>
      <c r="B904" t="s">
        <v>3705</v>
      </c>
      <c r="C904" s="163">
        <v>46143</v>
      </c>
      <c r="D904" s="52" t="s">
        <v>3706</v>
      </c>
      <c r="E904" t="e" vm="266">
        <v>#VALUE!</v>
      </c>
      <c r="F904" t="e" vm="17">
        <v>#VALUE!</v>
      </c>
      <c r="G904" s="43" t="s">
        <v>200</v>
      </c>
      <c r="H904" t="s">
        <v>152</v>
      </c>
      <c r="I904" t="s">
        <v>43</v>
      </c>
      <c r="J904" s="18" t="s">
        <v>153</v>
      </c>
      <c r="K904" s="42" t="s">
        <v>154</v>
      </c>
      <c r="L904" s="44">
        <v>46168.618750000001</v>
      </c>
      <c r="M904" s="169" t="s">
        <v>1484</v>
      </c>
      <c r="N904" s="169" t="s">
        <v>1484</v>
      </c>
      <c r="O904" s="56">
        <v>46169.375</v>
      </c>
      <c r="P904" s="2">
        <v>46169.416666666664</v>
      </c>
      <c r="Q904" s="58">
        <v>46169.458333333336</v>
      </c>
      <c r="S904" s="21" t="s">
        <v>3707</v>
      </c>
      <c r="T904" s="55" t="s">
        <v>516</v>
      </c>
      <c r="V904" s="53" t="s">
        <v>3707</v>
      </c>
      <c r="Y904" t="s">
        <v>158</v>
      </c>
      <c r="Z904" t="s">
        <v>70</v>
      </c>
    </row>
    <row r="905" spans="1:27" ht="15" hidden="1" customHeight="1">
      <c r="A905" s="60">
        <f>ROW() - ROW(Table1[[#Headers],[s]])</f>
        <v>904</v>
      </c>
      <c r="B905" s="55" t="s">
        <v>3708</v>
      </c>
      <c r="C905" s="163">
        <v>46143</v>
      </c>
      <c r="D905" s="52" t="s">
        <v>3709</v>
      </c>
      <c r="E905" t="e" vm="64">
        <v>#VALUE!</v>
      </c>
      <c r="F905" t="e" vm="26">
        <v>#VALUE!</v>
      </c>
      <c r="G905" s="43" t="s">
        <v>200</v>
      </c>
      <c r="H905" t="s">
        <v>152</v>
      </c>
      <c r="I905" t="s">
        <v>43</v>
      </c>
      <c r="J905" s="18" t="s">
        <v>153</v>
      </c>
      <c r="K905" s="42" t="s">
        <v>154</v>
      </c>
      <c r="L905" s="44">
        <v>46168.621527777781</v>
      </c>
      <c r="M905" s="55" t="s">
        <v>3710</v>
      </c>
      <c r="N905" s="55" t="s">
        <v>3710</v>
      </c>
      <c r="O905" s="56">
        <v>46169.75</v>
      </c>
      <c r="P905" s="2">
        <v>46169.770833333336</v>
      </c>
      <c r="Q905" s="58">
        <v>46169.791666666664</v>
      </c>
      <c r="S905" s="21" t="s">
        <v>3711</v>
      </c>
      <c r="T905" s="55" t="s">
        <v>50</v>
      </c>
      <c r="V905" s="53" t="s">
        <v>374</v>
      </c>
      <c r="Y905" t="s">
        <v>52</v>
      </c>
      <c r="Z905" t="s">
        <v>70</v>
      </c>
    </row>
    <row r="906" spans="1:27" ht="15" hidden="1" customHeight="1">
      <c r="A906" s="60">
        <f>ROW() - ROW(Table1[[#Headers],[s]])</f>
        <v>905</v>
      </c>
      <c r="B906" t="s">
        <v>3712</v>
      </c>
      <c r="C906" s="181" t="s">
        <v>60</v>
      </c>
      <c r="D906" s="52" t="s">
        <v>3713</v>
      </c>
      <c r="E906" t="e" vm="256">
        <v>#VALUE!</v>
      </c>
      <c r="F906" t="e" vm="26">
        <v>#VALUE!</v>
      </c>
      <c r="G906" s="43" t="s">
        <v>174</v>
      </c>
      <c r="H906" t="s">
        <v>747</v>
      </c>
      <c r="J906" s="18" t="s">
        <v>253</v>
      </c>
      <c r="K906" t="s">
        <v>3714</v>
      </c>
      <c r="L906" s="44">
        <v>46168.490277777775</v>
      </c>
      <c r="M906" s="55" t="s">
        <v>59</v>
      </c>
      <c r="N906" s="55" t="s">
        <v>59</v>
      </c>
      <c r="O906" s="56"/>
      <c r="Q906" s="58"/>
      <c r="S906" s="21" t="s">
        <v>3715</v>
      </c>
      <c r="T906" s="55" t="s">
        <v>50</v>
      </c>
      <c r="V906" s="53"/>
      <c r="Y906" t="s">
        <v>179</v>
      </c>
      <c r="Z906" t="s">
        <v>179</v>
      </c>
    </row>
    <row r="907" spans="1:27" ht="15.75" hidden="1" customHeight="1">
      <c r="A907" s="60">
        <f>ROW() - ROW(Table1[[#Headers],[s]])</f>
        <v>906</v>
      </c>
      <c r="B907" s="223" t="s">
        <v>3716</v>
      </c>
      <c r="C907" s="163">
        <v>46143</v>
      </c>
      <c r="D907" s="52" t="s">
        <v>3717</v>
      </c>
      <c r="E907" t="e" vm="267">
        <v>#VALUE!</v>
      </c>
      <c r="F907" t="e" vm="46">
        <v>#VALUE!</v>
      </c>
      <c r="G907" s="43" t="s">
        <v>174</v>
      </c>
      <c r="H907" t="s">
        <v>152</v>
      </c>
      <c r="J907" s="18" t="s">
        <v>153</v>
      </c>
      <c r="K907" t="s">
        <v>154</v>
      </c>
      <c r="L907" s="44">
        <v>46168.61041666667</v>
      </c>
      <c r="M907" s="55" t="s">
        <v>1023</v>
      </c>
      <c r="N907" s="55" t="s">
        <v>1023</v>
      </c>
      <c r="O907" s="44">
        <v>46168.649305555555</v>
      </c>
      <c r="P907" s="44">
        <v>46168.666666666664</v>
      </c>
      <c r="Q907" s="44">
        <v>46168.680555555555</v>
      </c>
      <c r="S907" s="21" t="s">
        <v>3718</v>
      </c>
      <c r="T907" s="55" t="s">
        <v>3719</v>
      </c>
      <c r="V907" s="53" t="s">
        <v>3720</v>
      </c>
      <c r="Y907" t="s">
        <v>158</v>
      </c>
      <c r="Z907" t="s">
        <v>70</v>
      </c>
    </row>
    <row r="908" spans="1:27" ht="15.75" hidden="1" customHeight="1">
      <c r="A908" s="60">
        <f>ROW() - ROW(Table1[[#Headers],[s]])</f>
        <v>907</v>
      </c>
      <c r="B908" s="223" t="s">
        <v>3721</v>
      </c>
      <c r="C908" s="163">
        <v>46143</v>
      </c>
      <c r="D908" s="52" t="s">
        <v>3722</v>
      </c>
      <c r="E908" t="e" vm="80">
        <v>#VALUE!</v>
      </c>
      <c r="F908" t="e" vm="10">
        <v>#VALUE!</v>
      </c>
      <c r="G908" s="43" t="s">
        <v>174</v>
      </c>
      <c r="H908" t="s">
        <v>152</v>
      </c>
      <c r="J908" s="18" t="s">
        <v>153</v>
      </c>
      <c r="K908" t="s">
        <v>154</v>
      </c>
      <c r="L908" s="44">
        <v>46168.618055555555</v>
      </c>
      <c r="M908" s="55" t="s">
        <v>78</v>
      </c>
      <c r="N908" s="55" t="s">
        <v>78</v>
      </c>
      <c r="O908" s="44">
        <v>46168.701388888891</v>
      </c>
      <c r="P908" s="44">
        <v>46168.729166666664</v>
      </c>
      <c r="Q908" s="44">
        <v>46168.784722222219</v>
      </c>
      <c r="S908" s="21" t="s">
        <v>3723</v>
      </c>
      <c r="T908" s="55" t="s">
        <v>2765</v>
      </c>
      <c r="V908" s="53" t="s">
        <v>3724</v>
      </c>
      <c r="Y908" t="s">
        <v>158</v>
      </c>
      <c r="Z908" t="s">
        <v>70</v>
      </c>
    </row>
    <row r="909" spans="1:27" ht="15.75" hidden="1" customHeight="1">
      <c r="A909" s="60">
        <f>ROW() - ROW(Table1[[#Headers],[s]])</f>
        <v>908</v>
      </c>
      <c r="B909" s="223" t="s">
        <v>3725</v>
      </c>
      <c r="C909" s="163">
        <v>46143</v>
      </c>
      <c r="D909" s="52" t="s">
        <v>3726</v>
      </c>
      <c r="E909" t="e" vm="189">
        <v>#VALUE!</v>
      </c>
      <c r="F909" t="e" vm="23">
        <v>#VALUE!</v>
      </c>
      <c r="G909" s="43" t="s">
        <v>174</v>
      </c>
      <c r="H909" t="s">
        <v>152</v>
      </c>
      <c r="J909" s="18" t="s">
        <v>153</v>
      </c>
      <c r="K909" t="s">
        <v>154</v>
      </c>
      <c r="L909" s="44">
        <v>46168.624305555553</v>
      </c>
      <c r="M909" s="55" t="s">
        <v>58</v>
      </c>
      <c r="N909" s="55" t="s">
        <v>58</v>
      </c>
      <c r="O909" s="44">
        <v>46168.6875</v>
      </c>
      <c r="P909" s="44">
        <v>46168.715277777781</v>
      </c>
      <c r="Q909" s="44">
        <v>46168.760416666664</v>
      </c>
      <c r="S909" s="21" t="s">
        <v>3718</v>
      </c>
      <c r="T909" s="55" t="s">
        <v>3719</v>
      </c>
      <c r="V909" s="53" t="s">
        <v>3727</v>
      </c>
      <c r="Y909" t="s">
        <v>158</v>
      </c>
      <c r="Z909" t="s">
        <v>70</v>
      </c>
    </row>
    <row r="910" spans="1:27" ht="15.75" hidden="1" customHeight="1">
      <c r="A910" s="60">
        <f>ROW() - ROW(Table1[[#Headers],[s]])</f>
        <v>909</v>
      </c>
      <c r="B910" s="223" t="s">
        <v>3728</v>
      </c>
      <c r="C910" s="163">
        <v>46143</v>
      </c>
      <c r="D910" s="52" t="s">
        <v>3729</v>
      </c>
      <c r="E910" t="e" vm="58">
        <v>#VALUE!</v>
      </c>
      <c r="F910" t="e" vm="25">
        <v>#VALUE!</v>
      </c>
      <c r="G910" s="43" t="s">
        <v>174</v>
      </c>
      <c r="H910" t="s">
        <v>152</v>
      </c>
      <c r="J910" s="42" t="s">
        <v>268</v>
      </c>
      <c r="K910" t="s">
        <v>154</v>
      </c>
      <c r="L910" s="44">
        <v>46168.652083333334</v>
      </c>
      <c r="M910" s="55" t="s">
        <v>72</v>
      </c>
      <c r="N910" s="55" t="s">
        <v>72</v>
      </c>
      <c r="O910" s="44">
        <v>46168.6875</v>
      </c>
      <c r="P910" s="44">
        <v>46168.708333333336</v>
      </c>
      <c r="Q910" s="44">
        <v>46168.770833333336</v>
      </c>
      <c r="S910" s="21" t="s">
        <v>3730</v>
      </c>
      <c r="T910" s="55" t="s">
        <v>478</v>
      </c>
      <c r="V910" s="21" t="s">
        <v>3730</v>
      </c>
      <c r="Y910" t="s">
        <v>158</v>
      </c>
      <c r="Z910" t="s">
        <v>70</v>
      </c>
    </row>
    <row r="911" spans="1:27" ht="15.75" hidden="1" customHeight="1">
      <c r="A911" s="60">
        <f>ROW() - ROW(Table1[[#Headers],[s]])</f>
        <v>910</v>
      </c>
      <c r="B911" s="223" t="s">
        <v>3731</v>
      </c>
      <c r="C911" s="181" t="s">
        <v>60</v>
      </c>
      <c r="D911" s="52" t="s">
        <v>3732</v>
      </c>
      <c r="E911" t="e" vm="58">
        <v>#VALUE!</v>
      </c>
      <c r="F911" t="e" vm="25">
        <v>#VALUE!</v>
      </c>
      <c r="G911" s="43" t="s">
        <v>174</v>
      </c>
      <c r="H911" t="s">
        <v>152</v>
      </c>
      <c r="J911" s="18" t="s">
        <v>153</v>
      </c>
      <c r="K911" t="s">
        <v>154</v>
      </c>
      <c r="L911" s="44">
        <v>46168.652777777781</v>
      </c>
      <c r="M911" s="55" t="s">
        <v>72</v>
      </c>
      <c r="N911" s="55" t="s">
        <v>72</v>
      </c>
      <c r="O911" s="56"/>
      <c r="Q911" s="58"/>
      <c r="S911" s="21" t="s">
        <v>3733</v>
      </c>
      <c r="T911" s="55" t="s">
        <v>50</v>
      </c>
      <c r="V911" s="21" t="s">
        <v>3733</v>
      </c>
    </row>
    <row r="912" spans="1:27" s="29" customFormat="1" ht="15" hidden="1" customHeight="1">
      <c r="A912" s="111">
        <f>ROW() - ROW(Table1[[#Headers],[s]])</f>
        <v>911</v>
      </c>
      <c r="B912" s="29" t="s">
        <v>3734</v>
      </c>
      <c r="C912" s="274">
        <v>46143</v>
      </c>
      <c r="D912" s="52" t="s">
        <v>3735</v>
      </c>
      <c r="E912" s="29" t="e" vm="124">
        <v>#VALUE!</v>
      </c>
      <c r="F912" s="29" t="e" vm="35">
        <v>#VALUE!</v>
      </c>
      <c r="G912" s="114" t="s">
        <v>174</v>
      </c>
      <c r="H912" s="29" t="s">
        <v>245</v>
      </c>
      <c r="J912" s="235" t="s">
        <v>253</v>
      </c>
      <c r="K912" s="29" t="s">
        <v>154</v>
      </c>
      <c r="L912" s="151">
        <v>46168.651388888888</v>
      </c>
      <c r="M912" s="153" t="s">
        <v>3736</v>
      </c>
      <c r="N912" s="153" t="s">
        <v>3736</v>
      </c>
      <c r="O912" s="151">
        <v>46168.6875</v>
      </c>
      <c r="P912" s="151">
        <v>46168.722222222219</v>
      </c>
      <c r="Q912" s="151">
        <v>46168.759027777778</v>
      </c>
      <c r="S912" s="252" t="s">
        <v>3737</v>
      </c>
      <c r="T912" s="153" t="s">
        <v>478</v>
      </c>
      <c r="V912" s="154" t="s">
        <v>3738</v>
      </c>
      <c r="Y912" s="29" t="s">
        <v>158</v>
      </c>
      <c r="Z912" s="29" t="s">
        <v>70</v>
      </c>
    </row>
    <row r="913" spans="1:26" ht="15" hidden="1" customHeight="1">
      <c r="A913" s="60">
        <f>ROW() - ROW(Table1[[#Headers],[s]])</f>
        <v>912</v>
      </c>
      <c r="B913" t="s">
        <v>3739</v>
      </c>
      <c r="C913" s="163">
        <v>46143</v>
      </c>
      <c r="D913" s="52" t="s">
        <v>3740</v>
      </c>
      <c r="E913" t="e" vm="226">
        <v>#VALUE!</v>
      </c>
      <c r="F913" t="e" vm="16">
        <v>#VALUE!</v>
      </c>
      <c r="G913" s="43" t="s">
        <v>174</v>
      </c>
      <c r="H913" t="s">
        <v>747</v>
      </c>
      <c r="J913" s="18" t="s">
        <v>253</v>
      </c>
      <c r="K913" t="s">
        <v>3741</v>
      </c>
      <c r="L913" s="44">
        <v>46168.65</v>
      </c>
      <c r="M913" s="55" t="s">
        <v>3736</v>
      </c>
      <c r="N913" s="55" t="s">
        <v>3736</v>
      </c>
      <c r="O913" s="44">
        <v>46168.770833333336</v>
      </c>
      <c r="P913" s="44">
        <v>46168.815972222219</v>
      </c>
      <c r="Q913" s="44">
        <v>46168.65</v>
      </c>
      <c r="S913" s="21" t="s">
        <v>3742</v>
      </c>
      <c r="T913" s="55" t="s">
        <v>3743</v>
      </c>
      <c r="V913" s="53" t="s">
        <v>3744</v>
      </c>
      <c r="Y913" t="s">
        <v>158</v>
      </c>
      <c r="Z913" t="s">
        <v>158</v>
      </c>
    </row>
    <row r="914" spans="1:26" ht="15" hidden="1" customHeight="1">
      <c r="A914" s="60">
        <f>ROW() - ROW(Table1[[#Headers],[s]])</f>
        <v>913</v>
      </c>
      <c r="B914" t="s">
        <v>3745</v>
      </c>
      <c r="C914" s="163">
        <v>46143</v>
      </c>
      <c r="D914" s="52" t="s">
        <v>3746</v>
      </c>
      <c r="E914" t="e" vm="127">
        <v>#VALUE!</v>
      </c>
      <c r="F914" t="e" vm="21">
        <v>#VALUE!</v>
      </c>
      <c r="G914" s="43" t="s">
        <v>200</v>
      </c>
      <c r="H914" t="s">
        <v>747</v>
      </c>
      <c r="I914" t="s">
        <v>1221</v>
      </c>
      <c r="J914" s="18" t="s">
        <v>253</v>
      </c>
      <c r="K914" s="42" t="s">
        <v>154</v>
      </c>
      <c r="L914" s="44">
        <v>46168.915277777778</v>
      </c>
      <c r="M914" s="55" t="s">
        <v>39</v>
      </c>
      <c r="N914" s="55" t="s">
        <v>39</v>
      </c>
      <c r="O914" s="56">
        <f>Table1[[#This Row],[Data si ora finalizare incident]]-TIME(2,0,0)</f>
        <v>46169.395833333328</v>
      </c>
      <c r="P914">
        <f>Table1[[#This Row],[Data si ora finalizare incident]]-TIME(1,0,0)</f>
        <v>46169.4375</v>
      </c>
      <c r="Q914" s="58">
        <v>46169.479166666664</v>
      </c>
      <c r="S914" s="21" t="s">
        <v>748</v>
      </c>
      <c r="T914" s="55" t="s">
        <v>478</v>
      </c>
      <c r="V914" s="53" t="s">
        <v>749</v>
      </c>
      <c r="Y914" t="s">
        <v>70</v>
      </c>
      <c r="Z914" t="s">
        <v>70</v>
      </c>
    </row>
    <row r="915" spans="1:26" ht="15" hidden="1" customHeight="1">
      <c r="A915" s="60">
        <f>ROW() - ROW(Table1[[#Headers],[s]])</f>
        <v>914</v>
      </c>
      <c r="B915" t="s">
        <v>514</v>
      </c>
      <c r="C915" s="163">
        <v>46143</v>
      </c>
      <c r="D915" s="52" t="s">
        <v>3747</v>
      </c>
      <c r="E915" t="e" vm="59">
        <v>#VALUE!</v>
      </c>
      <c r="F915" t="e" vm="10">
        <v>#VALUE!</v>
      </c>
      <c r="G915" s="43" t="s">
        <v>200</v>
      </c>
      <c r="H915" t="s">
        <v>152</v>
      </c>
      <c r="I915" t="s">
        <v>43</v>
      </c>
      <c r="J915" s="18" t="s">
        <v>153</v>
      </c>
      <c r="K915" s="42" t="s">
        <v>154</v>
      </c>
      <c r="L915" s="44">
        <v>46169.634722222225</v>
      </c>
      <c r="M915" s="55" t="s">
        <v>78</v>
      </c>
      <c r="N915" s="55" t="s">
        <v>78</v>
      </c>
      <c r="O915" s="56">
        <v>46169.75</v>
      </c>
      <c r="P915" s="2">
        <v>46169.75</v>
      </c>
      <c r="Q915" s="58">
        <v>46169.958333333336</v>
      </c>
      <c r="S915" s="21" t="s">
        <v>519</v>
      </c>
      <c r="T915" s="55" t="s">
        <v>50</v>
      </c>
      <c r="V915" s="53" t="s">
        <v>513</v>
      </c>
      <c r="Y915" t="s">
        <v>158</v>
      </c>
      <c r="Z915" t="s">
        <v>70</v>
      </c>
    </row>
    <row r="916" spans="1:26" ht="15" hidden="1" customHeight="1">
      <c r="A916" s="60">
        <f>ROW() - ROW(Table1[[#Headers],[s]])</f>
        <v>915</v>
      </c>
      <c r="B916" t="s">
        <v>3748</v>
      </c>
      <c r="C916" s="272">
        <v>46143</v>
      </c>
      <c r="D916" s="19" t="s">
        <v>3749</v>
      </c>
      <c r="E916" t="e" vm="80">
        <v>#VALUE!</v>
      </c>
      <c r="F916" t="e" vm="10">
        <v>#VALUE!</v>
      </c>
      <c r="G916" s="5" t="s">
        <v>200</v>
      </c>
      <c r="H916" t="s">
        <v>152</v>
      </c>
      <c r="I916" t="s">
        <v>43</v>
      </c>
      <c r="J916" s="18" t="s">
        <v>153</v>
      </c>
      <c r="K916" t="s">
        <v>154</v>
      </c>
      <c r="L916" s="20">
        <v>46169.628472222219</v>
      </c>
      <c r="M916" s="55" t="s">
        <v>78</v>
      </c>
      <c r="N916" s="55" t="s">
        <v>78</v>
      </c>
      <c r="O916" s="3">
        <v>46169.791666666664</v>
      </c>
      <c r="P916" s="2">
        <v>46169.8125</v>
      </c>
      <c r="Q916" s="22">
        <v>46169.833333333336</v>
      </c>
      <c r="S916" s="21" t="s">
        <v>3750</v>
      </c>
      <c r="T916" s="18" t="s">
        <v>179</v>
      </c>
      <c r="V916" s="21" t="s">
        <v>1388</v>
      </c>
      <c r="Y916" t="s">
        <v>203</v>
      </c>
      <c r="Z916" t="s">
        <v>70</v>
      </c>
    </row>
    <row r="917" spans="1:26" ht="15" hidden="1" customHeight="1">
      <c r="A917" s="60">
        <f>ROW() - ROW(Table1[[#Headers],[s]])</f>
        <v>916</v>
      </c>
      <c r="B917" t="s">
        <v>3751</v>
      </c>
      <c r="C917" s="272">
        <v>46143</v>
      </c>
      <c r="D917" s="19" t="s">
        <v>3752</v>
      </c>
      <c r="E917" t="e" vm="52">
        <v>#VALUE!</v>
      </c>
      <c r="F917" t="e" vm="25">
        <v>#VALUE!</v>
      </c>
      <c r="G917" s="5" t="s">
        <v>200</v>
      </c>
      <c r="H917" t="s">
        <v>152</v>
      </c>
      <c r="I917" t="s">
        <v>43</v>
      </c>
      <c r="J917" s="18" t="s">
        <v>153</v>
      </c>
      <c r="K917" t="s">
        <v>154</v>
      </c>
      <c r="L917" s="20">
        <v>46169.716666666667</v>
      </c>
      <c r="M917" s="18" t="s">
        <v>72</v>
      </c>
      <c r="N917" s="18" t="s">
        <v>72</v>
      </c>
      <c r="O917" s="3">
        <v>46169.833333333336</v>
      </c>
      <c r="P917" s="2">
        <v>46169.854166666664</v>
      </c>
      <c r="Q917" s="22">
        <v>46169.875</v>
      </c>
      <c r="S917" s="21" t="s">
        <v>3753</v>
      </c>
      <c r="T917" s="18" t="s">
        <v>50</v>
      </c>
      <c r="V917" s="21" t="s">
        <v>3754</v>
      </c>
      <c r="Y917" t="s">
        <v>203</v>
      </c>
      <c r="Z917" t="s">
        <v>70</v>
      </c>
    </row>
    <row r="918" spans="1:26" ht="15" hidden="1" customHeight="1">
      <c r="A918" s="60">
        <f>ROW() - ROW(Table1[[#Headers],[s]])</f>
        <v>917</v>
      </c>
      <c r="B918" t="s">
        <v>3755</v>
      </c>
      <c r="C918" s="272">
        <v>46143</v>
      </c>
      <c r="D918" s="19" t="s">
        <v>3756</v>
      </c>
      <c r="E918" t="e" vm="204">
        <v>#VALUE!</v>
      </c>
      <c r="F918" t="e" vm="2">
        <v>#VALUE!</v>
      </c>
      <c r="G918" s="43" t="s">
        <v>200</v>
      </c>
      <c r="H918" t="s">
        <v>747</v>
      </c>
      <c r="I918" t="s">
        <v>1221</v>
      </c>
      <c r="J918" s="18" t="s">
        <v>253</v>
      </c>
      <c r="K918" s="42" t="s">
        <v>154</v>
      </c>
      <c r="L918" s="20">
        <v>46169.503472222219</v>
      </c>
      <c r="M918" s="18" t="s">
        <v>162</v>
      </c>
      <c r="N918" s="18" t="s">
        <v>162</v>
      </c>
      <c r="O918" s="3">
        <v>46169.5625</v>
      </c>
      <c r="P918" s="2">
        <v>46169.583333333336</v>
      </c>
      <c r="Q918" s="22">
        <v>46169.625</v>
      </c>
      <c r="S918" s="21" t="s">
        <v>3757</v>
      </c>
      <c r="T918" s="18" t="s">
        <v>478</v>
      </c>
      <c r="V918" s="21" t="s">
        <v>239</v>
      </c>
      <c r="Y918" t="s">
        <v>158</v>
      </c>
      <c r="Z918" t="s">
        <v>158</v>
      </c>
    </row>
    <row r="919" spans="1:26" ht="15" hidden="1" customHeight="1">
      <c r="A919" s="60">
        <f>ROW() - ROW(Table1[[#Headers],[s]])</f>
        <v>918</v>
      </c>
      <c r="B919" t="s">
        <v>3513</v>
      </c>
      <c r="C919" s="272">
        <v>46143</v>
      </c>
      <c r="D919" s="19" t="s">
        <v>3758</v>
      </c>
      <c r="E919" t="e" vm="268">
        <v>#VALUE!</v>
      </c>
      <c r="F919" t="e" vm="49">
        <v>#VALUE!</v>
      </c>
      <c r="G919" s="43" t="s">
        <v>174</v>
      </c>
      <c r="H919" t="s">
        <v>747</v>
      </c>
      <c r="J919" s="18" t="s">
        <v>253</v>
      </c>
      <c r="K919" s="42" t="s">
        <v>154</v>
      </c>
      <c r="L919" s="20">
        <v>46169.697916666664</v>
      </c>
      <c r="M919" s="371" t="s">
        <v>155</v>
      </c>
      <c r="N919" s="400" t="s">
        <v>155</v>
      </c>
      <c r="O919" s="3">
        <v>46170.375</v>
      </c>
      <c r="P919" s="3">
        <v>46170.40625</v>
      </c>
      <c r="Q919" s="22">
        <v>46170.550694444442</v>
      </c>
      <c r="S919" s="21" t="s">
        <v>1618</v>
      </c>
      <c r="T919" s="55" t="s">
        <v>478</v>
      </c>
      <c r="V919" s="21" t="s">
        <v>3759</v>
      </c>
      <c r="Y919" t="s">
        <v>70</v>
      </c>
      <c r="Z919" t="s">
        <v>158</v>
      </c>
    </row>
    <row r="920" spans="1:26" ht="15" hidden="1" customHeight="1">
      <c r="A920" s="60">
        <f>ROW() - ROW(Table1[[#Headers],[s]])</f>
        <v>919</v>
      </c>
      <c r="B920" t="s">
        <v>3760</v>
      </c>
      <c r="C920" s="272">
        <v>46143</v>
      </c>
      <c r="D920" s="19" t="s">
        <v>3761</v>
      </c>
      <c r="E920" t="e" vm="180">
        <v>#VALUE!</v>
      </c>
      <c r="F920" t="e" vm="16">
        <v>#VALUE!</v>
      </c>
      <c r="G920" s="43" t="s">
        <v>200</v>
      </c>
      <c r="H920" t="s">
        <v>747</v>
      </c>
      <c r="I920" t="s">
        <v>1221</v>
      </c>
      <c r="J920" s="18" t="s">
        <v>253</v>
      </c>
      <c r="K920" t="s">
        <v>3762</v>
      </c>
      <c r="L920" s="20">
        <v>46169.399305555555</v>
      </c>
      <c r="M920" s="18" t="s">
        <v>3763</v>
      </c>
      <c r="N920" s="18" t="s">
        <v>3763</v>
      </c>
      <c r="O920" s="3">
        <v>46169.5</v>
      </c>
      <c r="P920" s="2">
        <v>46169.541666666664</v>
      </c>
      <c r="Q920" s="22">
        <v>46169.604166666664</v>
      </c>
      <c r="S920" s="21" t="s">
        <v>3764</v>
      </c>
      <c r="T920" s="18" t="s">
        <v>478</v>
      </c>
      <c r="V920" s="21" t="s">
        <v>3765</v>
      </c>
      <c r="Y920" t="s">
        <v>158</v>
      </c>
      <c r="Z920" t="s">
        <v>158</v>
      </c>
    </row>
    <row r="921" spans="1:26" ht="15" hidden="1" customHeight="1">
      <c r="A921" s="60">
        <f>ROW() - ROW(Table1[[#Headers],[s]])</f>
        <v>920</v>
      </c>
      <c r="B921" t="s">
        <v>3766</v>
      </c>
      <c r="C921" s="272" t="s">
        <v>60</v>
      </c>
      <c r="D921" s="19" t="s">
        <v>3767</v>
      </c>
      <c r="E921" t="e" vm="125">
        <v>#VALUE!</v>
      </c>
      <c r="F921" t="e" vm="25">
        <v>#VALUE!</v>
      </c>
      <c r="G921" s="5" t="s">
        <v>200</v>
      </c>
      <c r="H921" t="s">
        <v>747</v>
      </c>
      <c r="J921" s="18" t="s">
        <v>253</v>
      </c>
      <c r="K921" t="s">
        <v>3768</v>
      </c>
      <c r="N921" s="18"/>
      <c r="O921" s="3"/>
      <c r="S921" s="21" t="s">
        <v>3769</v>
      </c>
      <c r="T921" s="18" t="s">
        <v>50</v>
      </c>
      <c r="Y921" t="s">
        <v>179</v>
      </c>
      <c r="Z921" t="s">
        <v>179</v>
      </c>
    </row>
    <row r="922" spans="1:26" ht="15.75" hidden="1" customHeight="1">
      <c r="A922" s="60">
        <f>ROW() - ROW(Table1[[#Headers],[s]])</f>
        <v>921</v>
      </c>
      <c r="B922" s="223" t="s">
        <v>3411</v>
      </c>
      <c r="C922" s="272">
        <v>46174</v>
      </c>
      <c r="D922" s="19" t="s">
        <v>3770</v>
      </c>
      <c r="E922" t="e" vm="147">
        <v>#VALUE!</v>
      </c>
      <c r="F922" t="e" vm="16">
        <v>#VALUE!</v>
      </c>
      <c r="G922" s="43" t="s">
        <v>174</v>
      </c>
      <c r="H922" t="s">
        <v>152</v>
      </c>
      <c r="J922" s="18" t="s">
        <v>153</v>
      </c>
      <c r="K922" t="s">
        <v>3771</v>
      </c>
      <c r="L922" s="20">
        <v>46169.829861111109</v>
      </c>
      <c r="M922" s="18" t="s">
        <v>58</v>
      </c>
      <c r="N922" s="18" t="s">
        <v>58</v>
      </c>
      <c r="O922" s="3">
        <v>46170.333333333336</v>
      </c>
      <c r="P922" s="3">
        <v>46170.40625</v>
      </c>
      <c r="Q922" s="22">
        <v>46170.46875</v>
      </c>
      <c r="S922" s="21" t="s">
        <v>3772</v>
      </c>
      <c r="T922" s="55" t="s">
        <v>478</v>
      </c>
      <c r="V922" s="21" t="s">
        <v>3773</v>
      </c>
      <c r="Y922" t="s">
        <v>158</v>
      </c>
      <c r="Z922" t="s">
        <v>158</v>
      </c>
    </row>
    <row r="923" spans="1:26" ht="15" hidden="1" customHeight="1">
      <c r="A923" s="60">
        <f>ROW() - ROW(Table1[[#Headers],[s]])</f>
        <v>922</v>
      </c>
      <c r="B923" t="s">
        <v>3774</v>
      </c>
      <c r="C923" s="272">
        <v>46174</v>
      </c>
      <c r="D923" s="19" t="s">
        <v>3775</v>
      </c>
      <c r="E923" t="e" vm="147">
        <v>#VALUE!</v>
      </c>
      <c r="F923" t="e" vm="16">
        <v>#VALUE!</v>
      </c>
      <c r="G923" s="43" t="s">
        <v>174</v>
      </c>
      <c r="H923" t="s">
        <v>152</v>
      </c>
      <c r="J923" s="18" t="s">
        <v>153</v>
      </c>
      <c r="K923" s="42" t="s">
        <v>154</v>
      </c>
      <c r="L923" s="20">
        <v>46169.616666666669</v>
      </c>
      <c r="M923" s="18" t="s">
        <v>58</v>
      </c>
      <c r="N923" s="18" t="s">
        <v>58</v>
      </c>
      <c r="O923" s="3">
        <v>46170.333333333336</v>
      </c>
      <c r="P923" s="3">
        <v>46170.364583333336</v>
      </c>
      <c r="Q923" s="22">
        <v>46170.385416666664</v>
      </c>
      <c r="S923" s="21" t="s">
        <v>3776</v>
      </c>
      <c r="T923" s="55" t="s">
        <v>478</v>
      </c>
      <c r="V923" s="21" t="s">
        <v>930</v>
      </c>
      <c r="Y923" t="s">
        <v>158</v>
      </c>
      <c r="Z923" t="s">
        <v>70</v>
      </c>
    </row>
    <row r="924" spans="1:26" ht="15" hidden="1" customHeight="1">
      <c r="A924" s="60">
        <f>ROW() - ROW(Table1[[#Headers],[s]])</f>
        <v>923</v>
      </c>
      <c r="B924" t="s">
        <v>241</v>
      </c>
      <c r="C924" s="272">
        <v>46174</v>
      </c>
      <c r="D924" s="19" t="s">
        <v>3777</v>
      </c>
      <c r="E924" t="e" vm="89">
        <v>#VALUE!</v>
      </c>
      <c r="F924" t="e" vm="2">
        <v>#VALUE!</v>
      </c>
      <c r="G924" s="43" t="s">
        <v>36</v>
      </c>
      <c r="H924" t="s">
        <v>152</v>
      </c>
      <c r="I924" t="s">
        <v>43</v>
      </c>
      <c r="J924" s="18" t="s">
        <v>153</v>
      </c>
      <c r="K924" t="s">
        <v>154</v>
      </c>
      <c r="L924" s="20">
        <v>46170.590277777781</v>
      </c>
      <c r="M924" s="18" t="s">
        <v>162</v>
      </c>
      <c r="N924" s="18" t="s">
        <v>162</v>
      </c>
      <c r="O924" s="3"/>
      <c r="Q924" s="22">
        <v>46171.388888888891</v>
      </c>
      <c r="S924" s="21" t="s">
        <v>3778</v>
      </c>
      <c r="T924" s="18" t="s">
        <v>478</v>
      </c>
      <c r="V924" s="21" t="s">
        <v>3779</v>
      </c>
      <c r="Y924" t="s">
        <v>158</v>
      </c>
      <c r="Z924" t="s">
        <v>70</v>
      </c>
    </row>
    <row r="925" spans="1:26" ht="15" hidden="1" customHeight="1">
      <c r="A925" s="60">
        <f>ROW() - ROW(Table1[[#Headers],[s]])</f>
        <v>924</v>
      </c>
      <c r="B925" t="s">
        <v>3780</v>
      </c>
      <c r="C925" s="163">
        <v>46174</v>
      </c>
      <c r="D925" s="52" t="s">
        <v>3781</v>
      </c>
      <c r="E925" t="e" vm="118">
        <v>#VALUE!</v>
      </c>
      <c r="F925" t="e" vm="25">
        <v>#VALUE!</v>
      </c>
      <c r="G925" s="43" t="s">
        <v>174</v>
      </c>
      <c r="H925" t="s">
        <v>152</v>
      </c>
      <c r="J925" s="18" t="s">
        <v>153</v>
      </c>
      <c r="K925" s="42" t="s">
        <v>154</v>
      </c>
      <c r="L925" s="20">
        <v>46170.597916666666</v>
      </c>
      <c r="M925" s="18" t="s">
        <v>72</v>
      </c>
      <c r="N925" s="18" t="s">
        <v>72</v>
      </c>
      <c r="O925" s="20">
        <v>46170.666666666664</v>
      </c>
      <c r="P925" s="20">
        <v>46170.677083333336</v>
      </c>
      <c r="Q925" s="20">
        <v>46170.708333333336</v>
      </c>
      <c r="S925" s="21" t="s">
        <v>3782</v>
      </c>
      <c r="T925" s="55" t="s">
        <v>2765</v>
      </c>
      <c r="V925" s="53" t="s">
        <v>2347</v>
      </c>
      <c r="Y925" t="s">
        <v>158</v>
      </c>
      <c r="Z925" t="s">
        <v>70</v>
      </c>
    </row>
    <row r="926" spans="1:26" ht="15" hidden="1" customHeight="1">
      <c r="A926" s="60">
        <f>ROW() - ROW(Table1[[#Headers],[s]])</f>
        <v>925</v>
      </c>
      <c r="B926" t="s">
        <v>3783</v>
      </c>
      <c r="C926" s="23" t="s">
        <v>60</v>
      </c>
      <c r="D926" s="19" t="s">
        <v>3784</v>
      </c>
      <c r="E926" t="e" vm="118">
        <v>#VALUE!</v>
      </c>
      <c r="F926" t="e" vm="25">
        <v>#VALUE!</v>
      </c>
      <c r="G926" s="43" t="s">
        <v>174</v>
      </c>
      <c r="H926" t="s">
        <v>152</v>
      </c>
      <c r="J926" s="18" t="s">
        <v>153</v>
      </c>
      <c r="K926" s="42" t="s">
        <v>154</v>
      </c>
      <c r="L926" s="20">
        <v>46170.606249999997</v>
      </c>
      <c r="M926" s="18" t="s">
        <v>72</v>
      </c>
      <c r="N926" s="18" t="s">
        <v>72</v>
      </c>
      <c r="O926" s="3"/>
      <c r="S926" s="53" t="s">
        <v>3785</v>
      </c>
      <c r="T926" s="18" t="s">
        <v>50</v>
      </c>
      <c r="V926" s="53" t="s">
        <v>3785</v>
      </c>
      <c r="Y926" t="s">
        <v>179</v>
      </c>
      <c r="Z926" t="s">
        <v>179</v>
      </c>
    </row>
    <row r="927" spans="1:26" ht="15" hidden="1" customHeight="1">
      <c r="A927" s="60">
        <f>ROW() - ROW(Table1[[#Headers],[s]])</f>
        <v>926</v>
      </c>
      <c r="B927" t="s">
        <v>3786</v>
      </c>
      <c r="C927" s="272">
        <v>46174</v>
      </c>
      <c r="D927" s="19" t="s">
        <v>3787</v>
      </c>
      <c r="E927" t="e" vm="269">
        <v>#VALUE!</v>
      </c>
      <c r="F927" t="e" vm="2">
        <v>#VALUE!</v>
      </c>
      <c r="G927" s="43" t="s">
        <v>174</v>
      </c>
      <c r="H927" t="s">
        <v>152</v>
      </c>
      <c r="J927" s="18" t="s">
        <v>153</v>
      </c>
      <c r="K927" s="42" t="s">
        <v>154</v>
      </c>
      <c r="L927" s="20">
        <v>46170.613194444442</v>
      </c>
      <c r="M927" s="18" t="s">
        <v>162</v>
      </c>
      <c r="N927" s="18" t="s">
        <v>162</v>
      </c>
      <c r="O927" s="20">
        <v>46170.666666666664</v>
      </c>
      <c r="P927" s="20">
        <v>46170.677083333336</v>
      </c>
      <c r="Q927" s="20">
        <v>46170.760416666664</v>
      </c>
      <c r="R927" t="s">
        <v>3788</v>
      </c>
      <c r="S927" s="21" t="s">
        <v>3789</v>
      </c>
      <c r="T927" s="55" t="s">
        <v>478</v>
      </c>
      <c r="V927" s="21" t="s">
        <v>3790</v>
      </c>
      <c r="Y927" t="s">
        <v>158</v>
      </c>
      <c r="Z927" t="s">
        <v>70</v>
      </c>
    </row>
    <row r="928" spans="1:26" ht="15.75" hidden="1" customHeight="1">
      <c r="A928" s="60">
        <f>ROW() - ROW(Table1[[#Headers],[s]])</f>
        <v>927</v>
      </c>
      <c r="B928" s="223" t="s">
        <v>3791</v>
      </c>
      <c r="C928" s="23" t="s">
        <v>60</v>
      </c>
      <c r="D928" s="19" t="s">
        <v>3792</v>
      </c>
      <c r="E928" t="e" vm="147">
        <v>#VALUE!</v>
      </c>
      <c r="F928" t="e" vm="16">
        <v>#VALUE!</v>
      </c>
      <c r="G928" s="43" t="s">
        <v>174</v>
      </c>
      <c r="H928" t="s">
        <v>152</v>
      </c>
      <c r="J928" s="18" t="s">
        <v>153</v>
      </c>
      <c r="K928" s="42" t="s">
        <v>154</v>
      </c>
      <c r="L928" s="20">
        <v>46170.617361111108</v>
      </c>
      <c r="M928" s="18" t="s">
        <v>58</v>
      </c>
      <c r="N928" s="18" t="s">
        <v>58</v>
      </c>
      <c r="O928" s="3"/>
      <c r="S928" s="53" t="s">
        <v>3793</v>
      </c>
      <c r="T928" s="18" t="s">
        <v>50</v>
      </c>
      <c r="V928" s="53" t="s">
        <v>3793</v>
      </c>
      <c r="Y928" t="s">
        <v>179</v>
      </c>
      <c r="Z928" t="s">
        <v>179</v>
      </c>
    </row>
    <row r="929" spans="1:27" ht="15.75" hidden="1" customHeight="1">
      <c r="A929" s="60">
        <f>ROW() - ROW(Table1[[#Headers],[s]])</f>
        <v>928</v>
      </c>
      <c r="B929" s="223" t="s">
        <v>3794</v>
      </c>
      <c r="C929" s="272">
        <v>46174</v>
      </c>
      <c r="D929" s="19" t="s">
        <v>3795</v>
      </c>
      <c r="E929" t="e" vm="193">
        <v>#VALUE!</v>
      </c>
      <c r="F929" t="e" vm="19">
        <v>#VALUE!</v>
      </c>
      <c r="G929" s="43" t="s">
        <v>36</v>
      </c>
      <c r="H929" t="s">
        <v>152</v>
      </c>
      <c r="I929" t="s">
        <v>43</v>
      </c>
      <c r="J929" s="18" t="s">
        <v>153</v>
      </c>
      <c r="K929" s="42" t="s">
        <v>154</v>
      </c>
      <c r="L929" s="20">
        <v>46171.051388888889</v>
      </c>
      <c r="M929" s="18" t="s">
        <v>3633</v>
      </c>
      <c r="N929" s="18" t="s">
        <v>3633</v>
      </c>
      <c r="O929" s="3"/>
      <c r="Q929" s="22">
        <v>46171.614583333336</v>
      </c>
      <c r="S929" s="21" t="s">
        <v>3796</v>
      </c>
      <c r="T929" s="55" t="s">
        <v>478</v>
      </c>
      <c r="V929" s="21" t="s">
        <v>3797</v>
      </c>
      <c r="Y929" t="s">
        <v>158</v>
      </c>
      <c r="Z929" t="s">
        <v>70</v>
      </c>
      <c r="AA929" t="s">
        <v>3798</v>
      </c>
    </row>
    <row r="930" spans="1:27" ht="15.75" hidden="1" customHeight="1">
      <c r="A930" s="60">
        <f>ROW() - ROW(Table1[[#Headers],[s]])</f>
        <v>929</v>
      </c>
      <c r="B930" s="223" t="s">
        <v>3799</v>
      </c>
      <c r="C930" s="272">
        <v>46174</v>
      </c>
      <c r="D930" s="19" t="s">
        <v>3800</v>
      </c>
      <c r="E930" t="e" vm="270">
        <v>#VALUE!</v>
      </c>
      <c r="F930" t="e" vm="1">
        <v>#VALUE!</v>
      </c>
      <c r="G930" s="43" t="s">
        <v>174</v>
      </c>
      <c r="H930" t="s">
        <v>152</v>
      </c>
      <c r="J930" s="18" t="s">
        <v>153</v>
      </c>
      <c r="K930" s="42" t="s">
        <v>154</v>
      </c>
      <c r="L930" s="20">
        <v>46170.781944444447</v>
      </c>
      <c r="M930" s="18" t="s">
        <v>3736</v>
      </c>
      <c r="N930" s="18" t="s">
        <v>3736</v>
      </c>
      <c r="O930" s="20">
        <v>46170.84375</v>
      </c>
      <c r="P930" s="20">
        <v>46170.868055555555</v>
      </c>
      <c r="Q930" s="20">
        <v>46170.899305555555</v>
      </c>
      <c r="S930" s="21" t="s">
        <v>3801</v>
      </c>
      <c r="T930" s="18" t="s">
        <v>164</v>
      </c>
      <c r="V930" s="21" t="s">
        <v>3802</v>
      </c>
      <c r="Y930" t="s">
        <v>158</v>
      </c>
      <c r="Z930" t="s">
        <v>70</v>
      </c>
    </row>
    <row r="931" spans="1:27" ht="15" hidden="1" customHeight="1">
      <c r="A931" s="60">
        <f>ROW() - ROW(Table1[[#Headers],[s]])</f>
        <v>930</v>
      </c>
      <c r="B931" t="s">
        <v>3803</v>
      </c>
      <c r="C931" s="181" t="s">
        <v>60</v>
      </c>
      <c r="D931" s="52" t="s">
        <v>3804</v>
      </c>
      <c r="E931" t="e" vm="104">
        <v>#VALUE!</v>
      </c>
      <c r="F931" t="e" vm="1">
        <v>#VALUE!</v>
      </c>
      <c r="G931" s="43" t="s">
        <v>174</v>
      </c>
      <c r="H931" t="s">
        <v>747</v>
      </c>
      <c r="J931" s="18" t="s">
        <v>253</v>
      </c>
      <c r="K931" s="55" t="s">
        <v>2687</v>
      </c>
      <c r="L931" s="20">
        <v>46170.672222222223</v>
      </c>
      <c r="M931" s="55" t="s">
        <v>2687</v>
      </c>
      <c r="N931" s="55" t="s">
        <v>2687</v>
      </c>
      <c r="O931" s="56"/>
      <c r="Q931" s="58"/>
      <c r="S931" s="53" t="s">
        <v>2687</v>
      </c>
      <c r="T931" s="18" t="s">
        <v>50</v>
      </c>
      <c r="V931" s="53"/>
      <c r="Y931" t="s">
        <v>179</v>
      </c>
      <c r="Z931" t="s">
        <v>179</v>
      </c>
    </row>
    <row r="932" spans="1:27" ht="15" hidden="1" customHeight="1">
      <c r="A932" s="60">
        <f>ROW() - ROW(Table1[[#Headers],[s]])</f>
        <v>931</v>
      </c>
      <c r="B932" t="s">
        <v>3748</v>
      </c>
      <c r="C932" s="163">
        <v>46174</v>
      </c>
      <c r="D932" s="52" t="s">
        <v>3805</v>
      </c>
      <c r="E932" t="e" vm="80">
        <v>#VALUE!</v>
      </c>
      <c r="F932" t="e" vm="10">
        <v>#VALUE!</v>
      </c>
      <c r="G932" s="43" t="s">
        <v>36</v>
      </c>
      <c r="H932" t="s">
        <v>152</v>
      </c>
      <c r="I932" t="s">
        <v>43</v>
      </c>
      <c r="J932" s="18" t="s">
        <v>153</v>
      </c>
      <c r="K932" s="55" t="s">
        <v>154</v>
      </c>
      <c r="L932" s="44">
        <v>46171.422222222223</v>
      </c>
      <c r="M932" s="55" t="s">
        <v>78</v>
      </c>
      <c r="N932" s="55" t="s">
        <v>78</v>
      </c>
      <c r="O932" s="56"/>
      <c r="Q932" s="58">
        <v>46171.770833333336</v>
      </c>
      <c r="S932" s="21" t="s">
        <v>3806</v>
      </c>
      <c r="T932" s="18" t="s">
        <v>164</v>
      </c>
      <c r="V932" s="53" t="s">
        <v>3807</v>
      </c>
      <c r="Y932" t="s">
        <v>158</v>
      </c>
      <c r="Z932" t="s">
        <v>70</v>
      </c>
    </row>
    <row r="933" spans="1:27" ht="15" hidden="1" customHeight="1">
      <c r="A933" s="60">
        <f>ROW() - ROW(Table1[[#Headers],[s]])</f>
        <v>932</v>
      </c>
      <c r="B933" t="s">
        <v>3808</v>
      </c>
      <c r="C933" s="272">
        <v>46174</v>
      </c>
      <c r="D933" s="19" t="s">
        <v>3809</v>
      </c>
      <c r="E933" t="e" vm="195">
        <v>#VALUE!</v>
      </c>
      <c r="F933" t="e" vm="37">
        <v>#VALUE!</v>
      </c>
      <c r="G933" s="5" t="s">
        <v>36</v>
      </c>
      <c r="H933" t="s">
        <v>152</v>
      </c>
      <c r="I933" t="s">
        <v>43</v>
      </c>
      <c r="J933" s="18" t="s">
        <v>153</v>
      </c>
      <c r="K933" s="18" t="s">
        <v>154</v>
      </c>
      <c r="L933" s="20">
        <v>46171.427083333336</v>
      </c>
      <c r="M933" s="18" t="s">
        <v>81</v>
      </c>
      <c r="N933" s="18" t="s">
        <v>81</v>
      </c>
      <c r="O933" s="3"/>
      <c r="Q933" s="22">
        <v>46171.549305555556</v>
      </c>
      <c r="S933" s="21" t="s">
        <v>3810</v>
      </c>
      <c r="T933" s="18" t="s">
        <v>164</v>
      </c>
      <c r="V933" s="397" t="s">
        <v>1577</v>
      </c>
      <c r="Y933" t="s">
        <v>158</v>
      </c>
      <c r="Z933" t="s">
        <v>70</v>
      </c>
    </row>
    <row r="934" spans="1:27" ht="15" hidden="1" customHeight="1">
      <c r="A934" s="60">
        <f>ROW() - ROW(Table1[[#Headers],[s]])</f>
        <v>933</v>
      </c>
      <c r="B934" t="s">
        <v>3811</v>
      </c>
      <c r="C934" s="272">
        <v>46174</v>
      </c>
      <c r="D934" s="19" t="s">
        <v>3812</v>
      </c>
      <c r="E934" t="e" vm="226">
        <v>#VALUE!</v>
      </c>
      <c r="F934" t="e" vm="16">
        <v>#VALUE!</v>
      </c>
      <c r="G934" s="5" t="s">
        <v>36</v>
      </c>
      <c r="H934" t="s">
        <v>152</v>
      </c>
      <c r="I934" t="s">
        <v>43</v>
      </c>
      <c r="J934" s="18" t="s">
        <v>153</v>
      </c>
      <c r="K934" s="18" t="s">
        <v>154</v>
      </c>
      <c r="L934" s="20">
        <v>46171.541666666664</v>
      </c>
      <c r="M934" s="18" t="s">
        <v>58</v>
      </c>
      <c r="N934" s="18" t="s">
        <v>58</v>
      </c>
      <c r="O934" s="3"/>
      <c r="Q934" s="22">
        <v>46171.673611111109</v>
      </c>
      <c r="S934" s="21" t="s">
        <v>3813</v>
      </c>
      <c r="T934" s="18" t="s">
        <v>164</v>
      </c>
      <c r="V934" s="21" t="s">
        <v>3814</v>
      </c>
      <c r="Y934" t="s">
        <v>158</v>
      </c>
      <c r="Z934" t="s">
        <v>70</v>
      </c>
    </row>
    <row r="935" spans="1:27" ht="15" hidden="1" customHeight="1">
      <c r="A935" s="60">
        <f>ROW() - ROW(Table1[[#Headers],[s]])</f>
        <v>934</v>
      </c>
      <c r="B935" t="s">
        <v>3815</v>
      </c>
      <c r="C935" s="272">
        <v>46174</v>
      </c>
      <c r="D935" s="19" t="s">
        <v>3816</v>
      </c>
      <c r="E935" t="e" vm="192">
        <v>#VALUE!</v>
      </c>
      <c r="F935" t="e" vm="17">
        <v>#VALUE!</v>
      </c>
      <c r="G935" s="5" t="s">
        <v>36</v>
      </c>
      <c r="H935" t="s">
        <v>152</v>
      </c>
      <c r="I935" s="5" t="s">
        <v>43</v>
      </c>
      <c r="J935" s="18" t="s">
        <v>153</v>
      </c>
      <c r="K935" s="18" t="s">
        <v>154</v>
      </c>
      <c r="L935" s="20">
        <v>46171.586805555555</v>
      </c>
      <c r="M935" s="18" t="s">
        <v>68</v>
      </c>
      <c r="N935" s="18" t="s">
        <v>68</v>
      </c>
      <c r="O935" s="3"/>
      <c r="Q935" s="22">
        <v>46171.71875</v>
      </c>
      <c r="S935" s="21" t="s">
        <v>3817</v>
      </c>
      <c r="T935" s="18" t="s">
        <v>266</v>
      </c>
      <c r="V935" s="21" t="s">
        <v>3818</v>
      </c>
      <c r="Y935" t="s">
        <v>158</v>
      </c>
      <c r="Z935" t="s">
        <v>158</v>
      </c>
    </row>
    <row r="936" spans="1:27" ht="15" hidden="1" customHeight="1">
      <c r="A936" s="60">
        <f>ROW() - ROW(Table1[[#Headers],[s]])</f>
        <v>935</v>
      </c>
      <c r="B936" t="s">
        <v>3819</v>
      </c>
      <c r="C936" s="23" t="s">
        <v>60</v>
      </c>
      <c r="D936" s="19" t="s">
        <v>3820</v>
      </c>
      <c r="E936" t="e" vm="138">
        <v>#VALUE!</v>
      </c>
      <c r="F936" t="e" vm="5">
        <v>#VALUE!</v>
      </c>
      <c r="G936" s="5" t="s">
        <v>36</v>
      </c>
      <c r="H936" t="s">
        <v>747</v>
      </c>
      <c r="I936" s="23" t="s">
        <v>60</v>
      </c>
      <c r="J936" s="18" t="s">
        <v>253</v>
      </c>
      <c r="K936" s="18" t="s">
        <v>154</v>
      </c>
      <c r="L936" s="20">
        <v>46171.650694444441</v>
      </c>
      <c r="M936" s="18" t="s">
        <v>55</v>
      </c>
      <c r="N936" s="18" t="s">
        <v>55</v>
      </c>
      <c r="O936" s="3"/>
      <c r="Q936" s="22">
        <v>46171.834027777775</v>
      </c>
      <c r="S936" s="21" t="s">
        <v>3821</v>
      </c>
      <c r="T936" s="18" t="s">
        <v>164</v>
      </c>
      <c r="V936" s="21" t="s">
        <v>3822</v>
      </c>
      <c r="Y936" t="s">
        <v>158</v>
      </c>
      <c r="Z936" t="s">
        <v>70</v>
      </c>
    </row>
    <row r="937" spans="1:27" ht="15" hidden="1" customHeight="1">
      <c r="A937" s="60">
        <f>ROW() - ROW(Table1[[#Headers],[s]])</f>
        <v>936</v>
      </c>
      <c r="B937" t="s">
        <v>3823</v>
      </c>
      <c r="C937" s="272">
        <v>46143</v>
      </c>
      <c r="D937" s="19" t="s">
        <v>3824</v>
      </c>
      <c r="E937" t="e" vm="234">
        <v>#VALUE!</v>
      </c>
      <c r="F937" t="e" vm="35">
        <v>#VALUE!</v>
      </c>
      <c r="G937" s="5" t="s">
        <v>36</v>
      </c>
      <c r="H937" t="s">
        <v>747</v>
      </c>
      <c r="I937" t="s">
        <v>43</v>
      </c>
      <c r="J937" s="18" t="s">
        <v>253</v>
      </c>
      <c r="K937" s="18" t="s">
        <v>154</v>
      </c>
      <c r="L937" s="20">
        <v>46171.662499999999</v>
      </c>
      <c r="M937" s="18" t="s">
        <v>227</v>
      </c>
      <c r="N937" s="18" t="s">
        <v>227</v>
      </c>
      <c r="O937" s="3"/>
      <c r="Q937" s="22">
        <v>46171.987500000003</v>
      </c>
      <c r="S937" s="21" t="s">
        <v>3825</v>
      </c>
      <c r="T937" s="18" t="s">
        <v>164</v>
      </c>
      <c r="V937" s="21" t="s">
        <v>3826</v>
      </c>
      <c r="Y937" t="s">
        <v>158</v>
      </c>
      <c r="Z937" t="s">
        <v>158</v>
      </c>
    </row>
    <row r="938" spans="1:27" ht="15" hidden="1" customHeight="1">
      <c r="A938" s="60">
        <f>ROW() - ROW(Table1[[#Headers],[s]])</f>
        <v>937</v>
      </c>
      <c r="B938" t="s">
        <v>3827</v>
      </c>
      <c r="C938" s="272">
        <v>46174</v>
      </c>
      <c r="D938" s="19" t="s">
        <v>3828</v>
      </c>
      <c r="E938" t="e" vm="9">
        <v>#VALUE!</v>
      </c>
      <c r="F938" t="e" vm="10">
        <v>#VALUE!</v>
      </c>
      <c r="G938" s="5" t="s">
        <v>36</v>
      </c>
      <c r="H938" t="s">
        <v>152</v>
      </c>
      <c r="I938" t="s">
        <v>43</v>
      </c>
      <c r="J938" s="18" t="s">
        <v>153</v>
      </c>
      <c r="K938" s="18" t="s">
        <v>154</v>
      </c>
      <c r="L938" s="20">
        <v>46171.863194444442</v>
      </c>
      <c r="M938" s="18" t="s">
        <v>78</v>
      </c>
      <c r="N938" s="55" t="s">
        <v>78</v>
      </c>
      <c r="O938" s="3"/>
      <c r="Q938" s="22">
        <v>46171.967361111114</v>
      </c>
      <c r="S938" s="21" t="s">
        <v>3829</v>
      </c>
      <c r="T938" s="18" t="s">
        <v>164</v>
      </c>
      <c r="V938" s="21" t="s">
        <v>2205</v>
      </c>
      <c r="Y938" t="s">
        <v>158</v>
      </c>
      <c r="Z938" t="s">
        <v>70</v>
      </c>
    </row>
    <row r="939" spans="1:27" ht="15.75" hidden="1" customHeight="1">
      <c r="A939" s="60">
        <f>ROW() - ROW(Table1[[#Headers],[s]])</f>
        <v>938</v>
      </c>
      <c r="B939" s="223" t="s">
        <v>3830</v>
      </c>
      <c r="C939" s="272">
        <v>46174</v>
      </c>
      <c r="D939" s="19" t="s">
        <v>3831</v>
      </c>
      <c r="E939" t="e" vm="183">
        <v>#VALUE!</v>
      </c>
      <c r="F939" t="e" vm="19">
        <v>#VALUE!</v>
      </c>
      <c r="G939" s="43" t="s">
        <v>174</v>
      </c>
      <c r="H939" t="s">
        <v>152</v>
      </c>
      <c r="J939" s="18" t="s">
        <v>153</v>
      </c>
      <c r="K939" s="18" t="s">
        <v>154</v>
      </c>
      <c r="L939" s="20">
        <v>46172.779166666667</v>
      </c>
      <c r="M939" s="18" t="s">
        <v>82</v>
      </c>
      <c r="N939" s="18" t="s">
        <v>82</v>
      </c>
      <c r="O939" s="3">
        <v>46173.333333333336</v>
      </c>
      <c r="P939" s="3">
        <v>46173.354166666664</v>
      </c>
      <c r="Q939" s="3">
        <v>46173.381944444445</v>
      </c>
      <c r="S939" s="21" t="s">
        <v>3832</v>
      </c>
      <c r="T939" s="18" t="s">
        <v>3833</v>
      </c>
      <c r="V939" s="21" t="s">
        <v>3834</v>
      </c>
      <c r="Y939" t="s">
        <v>158</v>
      </c>
      <c r="Z939" t="s">
        <v>70</v>
      </c>
    </row>
    <row r="940" spans="1:27" ht="15" hidden="1" customHeight="1">
      <c r="A940" s="60">
        <f>ROW() - ROW(Table1[[#Headers],[s]])</f>
        <v>939</v>
      </c>
      <c r="B940" t="s">
        <v>3835</v>
      </c>
      <c r="C940" s="163">
        <v>46143</v>
      </c>
      <c r="D940" s="52" t="s">
        <v>3836</v>
      </c>
      <c r="E940" t="e" vm="190">
        <v>#VALUE!</v>
      </c>
      <c r="F940" t="e" vm="49">
        <v>#VALUE!</v>
      </c>
      <c r="G940" s="43" t="s">
        <v>174</v>
      </c>
      <c r="H940" t="s">
        <v>245</v>
      </c>
      <c r="J940" s="18" t="s">
        <v>253</v>
      </c>
      <c r="K940" s="18" t="s">
        <v>154</v>
      </c>
      <c r="L940" s="44">
        <v>46173.32916666667</v>
      </c>
      <c r="M940" s="371" t="s">
        <v>155</v>
      </c>
      <c r="N940" s="400" t="s">
        <v>155</v>
      </c>
      <c r="O940" s="44">
        <v>46173.423611111109</v>
      </c>
      <c r="P940" s="44">
        <v>46173.4375</v>
      </c>
      <c r="Q940" s="44">
        <v>46173.609722222223</v>
      </c>
      <c r="S940" s="21" t="s">
        <v>3837</v>
      </c>
      <c r="T940" s="55" t="s">
        <v>3838</v>
      </c>
      <c r="V940" s="53" t="s">
        <v>3839</v>
      </c>
      <c r="Y940" t="s">
        <v>158</v>
      </c>
      <c r="Z940" t="s">
        <v>158</v>
      </c>
    </row>
    <row r="941" spans="1:27" ht="15" hidden="1" customHeight="1">
      <c r="A941" s="60">
        <f>ROW() - ROW(Table1[[#Headers],[s]])</f>
        <v>940</v>
      </c>
      <c r="B941" t="s">
        <v>3840</v>
      </c>
      <c r="C941" s="181" t="s">
        <v>60</v>
      </c>
      <c r="D941" s="52" t="s">
        <v>3841</v>
      </c>
      <c r="E941" t="e" vm="271">
        <v>#VALUE!</v>
      </c>
      <c r="F941" t="e" vm="1">
        <v>#VALUE!</v>
      </c>
      <c r="G941" s="43" t="s">
        <v>174</v>
      </c>
      <c r="H941" t="s">
        <v>747</v>
      </c>
      <c r="J941" s="18" t="s">
        <v>253</v>
      </c>
      <c r="K941" s="55" t="s">
        <v>2687</v>
      </c>
      <c r="L941" s="44">
        <v>46173.447222222225</v>
      </c>
      <c r="M941" s="55" t="s">
        <v>2687</v>
      </c>
      <c r="N941" s="55" t="s">
        <v>2687</v>
      </c>
      <c r="O941" s="56"/>
      <c r="Q941" s="58"/>
      <c r="S941" s="53" t="s">
        <v>2687</v>
      </c>
      <c r="T941" s="18" t="s">
        <v>50</v>
      </c>
      <c r="U941" s="55"/>
      <c r="V941" s="53" t="s">
        <v>2687</v>
      </c>
      <c r="Y941" t="s">
        <v>179</v>
      </c>
      <c r="Z941" t="s">
        <v>179</v>
      </c>
    </row>
    <row r="942" spans="1:27" ht="15" hidden="1" customHeight="1">
      <c r="A942" s="60">
        <f>ROW() - ROW(Table1[[#Headers],[s]])</f>
        <v>941</v>
      </c>
      <c r="B942" t="s">
        <v>3842</v>
      </c>
      <c r="C942" s="163">
        <v>46143</v>
      </c>
      <c r="D942" s="52" t="s">
        <v>3843</v>
      </c>
      <c r="E942" t="e" vm="241">
        <v>#VALUE!</v>
      </c>
      <c r="F942" t="e" vm="2">
        <v>#VALUE!</v>
      </c>
      <c r="G942" s="43" t="s">
        <v>174</v>
      </c>
      <c r="H942" t="s">
        <v>747</v>
      </c>
      <c r="J942" s="18" t="s">
        <v>253</v>
      </c>
      <c r="K942" s="18" t="s">
        <v>154</v>
      </c>
      <c r="L942" s="44">
        <v>46172.428472222222</v>
      </c>
      <c r="M942" s="55" t="s">
        <v>162</v>
      </c>
      <c r="N942" s="55" t="s">
        <v>162</v>
      </c>
      <c r="O942" s="44">
        <v>46172.5</v>
      </c>
      <c r="P942" s="44">
        <v>46172.510416666664</v>
      </c>
      <c r="Q942" s="44">
        <v>46172.760416666664</v>
      </c>
      <c r="S942" s="21" t="s">
        <v>3844</v>
      </c>
      <c r="T942" s="18" t="s">
        <v>164</v>
      </c>
      <c r="V942" s="53" t="s">
        <v>3845</v>
      </c>
      <c r="Y942" t="s">
        <v>158</v>
      </c>
      <c r="Z942" t="s">
        <v>158</v>
      </c>
    </row>
    <row r="943" spans="1:27" ht="15" hidden="1" customHeight="1">
      <c r="A943" s="60">
        <f>ROW() - ROW(Table1[[#Headers],[s]])</f>
        <v>942</v>
      </c>
      <c r="B943" t="s">
        <v>3846</v>
      </c>
      <c r="C943" s="181" t="s">
        <v>60</v>
      </c>
      <c r="D943" s="52" t="s">
        <v>3847</v>
      </c>
      <c r="E943" t="e" vm="138">
        <v>#VALUE!</v>
      </c>
      <c r="F943" t="e" vm="5">
        <v>#VALUE!</v>
      </c>
      <c r="G943" s="43" t="s">
        <v>174</v>
      </c>
      <c r="H943" t="s">
        <v>747</v>
      </c>
      <c r="J943" s="18" t="s">
        <v>253</v>
      </c>
      <c r="K943" s="18" t="s">
        <v>154</v>
      </c>
      <c r="L943" s="44">
        <v>46172.337500000001</v>
      </c>
      <c r="M943" s="55" t="s">
        <v>55</v>
      </c>
      <c r="N943" s="55" t="s">
        <v>55</v>
      </c>
      <c r="O943" s="44">
        <v>46172.337500000001</v>
      </c>
      <c r="P943" s="44">
        <v>46172.337500000001</v>
      </c>
      <c r="Q943" s="44">
        <v>46172.421527777777</v>
      </c>
      <c r="S943" s="21" t="s">
        <v>3848</v>
      </c>
      <c r="T943" s="18" t="s">
        <v>50</v>
      </c>
      <c r="V943" s="53" t="s">
        <v>3849</v>
      </c>
      <c r="Y943" t="s">
        <v>158</v>
      </c>
      <c r="Z943" t="s">
        <v>158</v>
      </c>
    </row>
    <row r="944" spans="1:27" ht="15" hidden="1" customHeight="1">
      <c r="A944" s="60">
        <f>ROW() - ROW(Table1[[#Headers],[s]])</f>
        <v>943</v>
      </c>
      <c r="B944" t="s">
        <v>3850</v>
      </c>
      <c r="C944" s="163">
        <v>46174</v>
      </c>
      <c r="D944" s="59" t="s">
        <v>3851</v>
      </c>
      <c r="E944" t="e" vm="105">
        <v>#VALUE!</v>
      </c>
      <c r="F944" t="e" vm="30">
        <v>#VALUE!</v>
      </c>
      <c r="G944" s="43" t="s">
        <v>174</v>
      </c>
      <c r="H944" t="s">
        <v>747</v>
      </c>
      <c r="J944" s="18" t="s">
        <v>253</v>
      </c>
      <c r="K944" s="42" t="s">
        <v>3852</v>
      </c>
      <c r="L944" s="44">
        <v>46174.256249999999</v>
      </c>
      <c r="M944" s="55" t="s">
        <v>3853</v>
      </c>
      <c r="N944" s="55" t="s">
        <v>3853</v>
      </c>
      <c r="O944" s="44">
        <v>46174.354166666664</v>
      </c>
      <c r="P944" s="44">
        <v>46174.520833333336</v>
      </c>
      <c r="Q944" s="44">
        <v>46174.734722222223</v>
      </c>
      <c r="S944" s="21" t="s">
        <v>3854</v>
      </c>
      <c r="T944" s="18" t="s">
        <v>164</v>
      </c>
      <c r="V944" s="53" t="s">
        <v>3855</v>
      </c>
      <c r="Y944" t="s">
        <v>70</v>
      </c>
      <c r="Z944" t="s">
        <v>70</v>
      </c>
    </row>
    <row r="945" spans="1:27" ht="15" hidden="1" customHeight="1">
      <c r="A945" s="60">
        <f>ROW() - ROW(Table1[[#Headers],[s]])</f>
        <v>944</v>
      </c>
      <c r="B945" t="s">
        <v>3856</v>
      </c>
      <c r="C945" s="163">
        <v>46174</v>
      </c>
      <c r="D945" s="52" t="s">
        <v>3857</v>
      </c>
      <c r="E945" t="e" vm="138">
        <v>#VALUE!</v>
      </c>
      <c r="F945" t="e" vm="5">
        <v>#VALUE!</v>
      </c>
      <c r="G945" s="43" t="s">
        <v>1057</v>
      </c>
      <c r="H945" t="s">
        <v>747</v>
      </c>
      <c r="I945" t="s">
        <v>43</v>
      </c>
      <c r="J945" s="18" t="s">
        <v>253</v>
      </c>
      <c r="K945" s="18" t="s">
        <v>154</v>
      </c>
      <c r="L945" s="44">
        <v>46175.675694444442</v>
      </c>
      <c r="M945" s="55" t="s">
        <v>55</v>
      </c>
      <c r="N945" s="55" t="s">
        <v>55</v>
      </c>
      <c r="O945" s="44">
        <v>46175.729166666664</v>
      </c>
      <c r="P945" s="44">
        <v>46175.745138888888</v>
      </c>
      <c r="Q945" s="44">
        <v>46175.968055555553</v>
      </c>
      <c r="S945" s="21" t="s">
        <v>3858</v>
      </c>
      <c r="T945" s="55" t="s">
        <v>3859</v>
      </c>
      <c r="V945" s="53" t="s">
        <v>3860</v>
      </c>
      <c r="W945" t="s">
        <v>3861</v>
      </c>
      <c r="Y945" t="s">
        <v>158</v>
      </c>
      <c r="Z945" t="s">
        <v>158</v>
      </c>
      <c r="AA945" t="s">
        <v>3862</v>
      </c>
    </row>
    <row r="946" spans="1:27" ht="15" hidden="1" customHeight="1">
      <c r="A946" s="60">
        <f>ROW() - ROW(Table1[[#Headers],[s]])</f>
        <v>945</v>
      </c>
      <c r="B946" t="s">
        <v>3863</v>
      </c>
      <c r="C946" s="272">
        <v>46174</v>
      </c>
      <c r="D946" s="19" t="s">
        <v>3864</v>
      </c>
      <c r="E946" t="e" vm="272">
        <v>#VALUE!</v>
      </c>
      <c r="F946" t="e" vm="40">
        <v>#VALUE!</v>
      </c>
      <c r="G946" s="5" t="s">
        <v>174</v>
      </c>
      <c r="H946" t="s">
        <v>152</v>
      </c>
      <c r="J946" s="18" t="s">
        <v>153</v>
      </c>
      <c r="K946" s="18" t="s">
        <v>154</v>
      </c>
      <c r="L946" s="20">
        <v>46176.504166666666</v>
      </c>
      <c r="M946" s="18" t="s">
        <v>39</v>
      </c>
      <c r="N946" s="18" t="s">
        <v>39</v>
      </c>
      <c r="O946" s="20">
        <v>46176.572916666664</v>
      </c>
      <c r="P946" s="20">
        <v>46176.590277777781</v>
      </c>
      <c r="Q946" s="20">
        <v>46176.631944444445</v>
      </c>
      <c r="S946" s="21" t="s">
        <v>3865</v>
      </c>
      <c r="T946" s="18" t="s">
        <v>164</v>
      </c>
      <c r="V946" s="21" t="s">
        <v>2995</v>
      </c>
      <c r="Y946" t="s">
        <v>158</v>
      </c>
      <c r="Z946" t="s">
        <v>70</v>
      </c>
    </row>
    <row r="947" spans="1:27" ht="15" hidden="1" customHeight="1">
      <c r="A947" s="60">
        <f>ROW() - ROW(Table1[[#Headers],[s]])</f>
        <v>946</v>
      </c>
      <c r="B947" t="s">
        <v>3866</v>
      </c>
      <c r="C947" s="272">
        <v>46174</v>
      </c>
      <c r="D947" s="19" t="s">
        <v>3867</v>
      </c>
      <c r="E947" t="e" vm="175">
        <v>#VALUE!</v>
      </c>
      <c r="F947" t="e" vm="42">
        <v>#VALUE!</v>
      </c>
      <c r="G947" s="5" t="s">
        <v>174</v>
      </c>
      <c r="H947" t="s">
        <v>152</v>
      </c>
      <c r="J947" s="18" t="s">
        <v>153</v>
      </c>
      <c r="K947" s="18" t="s">
        <v>154</v>
      </c>
      <c r="L947" s="20">
        <v>46176.510416666664</v>
      </c>
      <c r="M947" s="18" t="s">
        <v>3868</v>
      </c>
      <c r="N947" s="18" t="s">
        <v>3868</v>
      </c>
      <c r="O947" s="20">
        <v>46176.552083333336</v>
      </c>
      <c r="P947" s="20">
        <v>46176.572916666664</v>
      </c>
      <c r="Q947" s="20">
        <v>46176.625</v>
      </c>
      <c r="S947" s="21" t="s">
        <v>1077</v>
      </c>
      <c r="T947" s="18" t="s">
        <v>164</v>
      </c>
      <c r="V947" s="21" t="s">
        <v>3869</v>
      </c>
      <c r="Y947" t="s">
        <v>158</v>
      </c>
      <c r="Z947" t="s">
        <v>70</v>
      </c>
    </row>
    <row r="948" spans="1:27" ht="15" hidden="1" customHeight="1">
      <c r="A948" s="60">
        <f>ROW() - ROW(Table1[[#Headers],[s]])</f>
        <v>947</v>
      </c>
      <c r="B948" t="s">
        <v>3870</v>
      </c>
      <c r="C948" s="272">
        <v>46174</v>
      </c>
      <c r="D948" s="19" t="s">
        <v>3871</v>
      </c>
      <c r="E948" t="e" vm="147">
        <v>#VALUE!</v>
      </c>
      <c r="F948" t="e" vm="16">
        <v>#VALUE!</v>
      </c>
      <c r="G948" s="5" t="s">
        <v>151</v>
      </c>
      <c r="H948" t="s">
        <v>152</v>
      </c>
      <c r="J948" s="18" t="s">
        <v>153</v>
      </c>
      <c r="K948" t="s">
        <v>154</v>
      </c>
      <c r="L948" s="20">
        <v>46176.512499999997</v>
      </c>
      <c r="M948" s="18" t="s">
        <v>58</v>
      </c>
      <c r="N948" s="18" t="s">
        <v>58</v>
      </c>
      <c r="O948" s="3">
        <v>46177.573611111111</v>
      </c>
      <c r="P948" s="20">
        <v>46177.663194444445</v>
      </c>
      <c r="Q948" s="22">
        <v>46177.686111111114</v>
      </c>
      <c r="S948" s="21" t="s">
        <v>3872</v>
      </c>
      <c r="T948" s="18" t="s">
        <v>164</v>
      </c>
      <c r="V948" s="21" t="s">
        <v>3872</v>
      </c>
      <c r="Y948" t="s">
        <v>70</v>
      </c>
      <c r="Z948" t="s">
        <v>70</v>
      </c>
    </row>
    <row r="949" spans="1:27" s="24" customFormat="1" ht="15" hidden="1" customHeight="1">
      <c r="A949" s="87">
        <f>ROW() - ROW(Table1[[#Headers],[s]])</f>
        <v>948</v>
      </c>
      <c r="B949" s="24" t="s">
        <v>3873</v>
      </c>
      <c r="C949" s="366">
        <v>46174</v>
      </c>
      <c r="D949" s="242" t="s">
        <v>3874</v>
      </c>
      <c r="E949" s="24" t="e" vm="273">
        <v>#VALUE!</v>
      </c>
      <c r="F949" s="24" t="e" vm="49">
        <v>#VALUE!</v>
      </c>
      <c r="G949" s="256" t="s">
        <v>151</v>
      </c>
      <c r="H949" s="24" t="s">
        <v>152</v>
      </c>
      <c r="J949" s="259" t="s">
        <v>153</v>
      </c>
      <c r="K949" s="24" t="s">
        <v>154</v>
      </c>
      <c r="L949" s="258">
        <v>46176.513194444444</v>
      </c>
      <c r="M949" s="259" t="s">
        <v>1255</v>
      </c>
      <c r="N949" s="259" t="s">
        <v>1255</v>
      </c>
      <c r="O949" s="344">
        <v>46177.618055555555</v>
      </c>
      <c r="P949" s="344">
        <v>46177.637499999997</v>
      </c>
      <c r="Q949" s="344">
        <v>46178.5</v>
      </c>
      <c r="S949" s="345" t="s">
        <v>3875</v>
      </c>
      <c r="T949" s="259" t="s">
        <v>164</v>
      </c>
      <c r="V949" s="345" t="s">
        <v>3876</v>
      </c>
      <c r="Y949" s="24" t="s">
        <v>203</v>
      </c>
      <c r="Z949" s="24" t="s">
        <v>70</v>
      </c>
    </row>
    <row r="950" spans="1:27" ht="15" hidden="1" customHeight="1">
      <c r="A950" s="60">
        <f>ROW() - ROW(Table1[[#Headers],[s]])</f>
        <v>949</v>
      </c>
      <c r="B950" t="s">
        <v>3877</v>
      </c>
      <c r="C950" s="272">
        <v>46174</v>
      </c>
      <c r="D950" s="19" t="s">
        <v>3878</v>
      </c>
      <c r="E950" t="e" vm="52">
        <v>#VALUE!</v>
      </c>
      <c r="F950" t="e" vm="25">
        <v>#VALUE!</v>
      </c>
      <c r="G950" s="5" t="s">
        <v>174</v>
      </c>
      <c r="H950" t="s">
        <v>152</v>
      </c>
      <c r="J950" s="18" t="s">
        <v>153</v>
      </c>
      <c r="K950" s="18" t="s">
        <v>154</v>
      </c>
      <c r="L950" s="20">
        <v>46176.51666666667</v>
      </c>
      <c r="M950" s="18" t="s">
        <v>72</v>
      </c>
      <c r="N950" s="18" t="s">
        <v>72</v>
      </c>
      <c r="O950" s="20">
        <v>46176.572916666664</v>
      </c>
      <c r="P950" s="20">
        <v>46176.590277777781</v>
      </c>
      <c r="Q950" s="20">
        <v>46176.631944444445</v>
      </c>
      <c r="S950" s="21" t="s">
        <v>3879</v>
      </c>
      <c r="T950" s="18" t="s">
        <v>3011</v>
      </c>
      <c r="V950" s="21" t="s">
        <v>3880</v>
      </c>
      <c r="Y950" t="s">
        <v>158</v>
      </c>
      <c r="Z950" t="s">
        <v>70</v>
      </c>
    </row>
    <row r="951" spans="1:27" ht="15" hidden="1" customHeight="1">
      <c r="A951" s="60">
        <f>ROW() - ROW(Table1[[#Headers],[s]])</f>
        <v>950</v>
      </c>
      <c r="B951" t="s">
        <v>3881</v>
      </c>
      <c r="C951" s="272">
        <v>46174</v>
      </c>
      <c r="D951" s="19" t="s">
        <v>3882</v>
      </c>
      <c r="E951" t="e" vm="274">
        <v>#VALUE!</v>
      </c>
      <c r="F951" t="e" vm="2">
        <v>#VALUE!</v>
      </c>
      <c r="G951" s="5" t="s">
        <v>174</v>
      </c>
      <c r="H951" t="s">
        <v>152</v>
      </c>
      <c r="J951" s="18" t="s">
        <v>153</v>
      </c>
      <c r="K951" s="18" t="s">
        <v>154</v>
      </c>
      <c r="L951" s="20">
        <v>46176.517361111109</v>
      </c>
      <c r="M951" s="18" t="s">
        <v>162</v>
      </c>
      <c r="N951" s="18" t="s">
        <v>162</v>
      </c>
      <c r="O951" s="20">
        <v>46176.559027777781</v>
      </c>
      <c r="P951" s="20">
        <v>46176.604166666664</v>
      </c>
      <c r="Q951" s="20">
        <v>46176.642361111109</v>
      </c>
      <c r="S951" s="21" t="s">
        <v>3883</v>
      </c>
      <c r="T951" s="18" t="s">
        <v>164</v>
      </c>
      <c r="V951" s="21" t="s">
        <v>183</v>
      </c>
      <c r="Y951" t="s">
        <v>158</v>
      </c>
      <c r="Z951" t="s">
        <v>70</v>
      </c>
    </row>
    <row r="952" spans="1:27" ht="15" hidden="1" customHeight="1">
      <c r="A952" s="60">
        <f>ROW() - ROW(Table1[[#Headers],[s]])</f>
        <v>951</v>
      </c>
      <c r="B952" t="s">
        <v>3884</v>
      </c>
      <c r="C952" s="272">
        <v>46174</v>
      </c>
      <c r="D952" s="19" t="s">
        <v>3885</v>
      </c>
      <c r="E952" t="e" vm="83">
        <v>#VALUE!</v>
      </c>
      <c r="F952" t="e" vm="37">
        <v>#VALUE!</v>
      </c>
      <c r="G952" s="5" t="s">
        <v>174</v>
      </c>
      <c r="H952" t="s">
        <v>152</v>
      </c>
      <c r="J952" s="18" t="s">
        <v>153</v>
      </c>
      <c r="K952" s="18" t="s">
        <v>154</v>
      </c>
      <c r="L952" s="20">
        <v>46176.520138888889</v>
      </c>
      <c r="M952" s="18" t="s">
        <v>1023</v>
      </c>
      <c r="N952" s="18" t="s">
        <v>1023</v>
      </c>
      <c r="O952" s="20">
        <v>46176.583333333336</v>
      </c>
      <c r="P952" s="20">
        <v>46176.590277777781</v>
      </c>
      <c r="Q952" s="20">
        <v>46176.645833333336</v>
      </c>
      <c r="S952" s="21" t="s">
        <v>620</v>
      </c>
      <c r="T952" s="18" t="s">
        <v>164</v>
      </c>
      <c r="V952" s="21" t="s">
        <v>183</v>
      </c>
      <c r="Y952" t="s">
        <v>158</v>
      </c>
      <c r="Z952" t="s">
        <v>70</v>
      </c>
    </row>
    <row r="953" spans="1:27" ht="15" hidden="1" customHeight="1">
      <c r="A953" s="60">
        <f>ROW() - ROW(Table1[[#Headers],[s]])</f>
        <v>952</v>
      </c>
      <c r="B953" t="s">
        <v>3886</v>
      </c>
      <c r="C953" s="163">
        <v>46174</v>
      </c>
      <c r="D953" s="52" t="s">
        <v>3887</v>
      </c>
      <c r="E953" t="e" vm="275">
        <v>#VALUE!</v>
      </c>
      <c r="F953" t="e" vm="17">
        <v>#VALUE!</v>
      </c>
      <c r="G953" s="342" t="s">
        <v>1057</v>
      </c>
      <c r="H953" t="s">
        <v>152</v>
      </c>
      <c r="I953" t="s">
        <v>43</v>
      </c>
      <c r="J953" s="18" t="s">
        <v>153</v>
      </c>
      <c r="K953" t="s">
        <v>154</v>
      </c>
      <c r="L953" s="20">
        <v>46176.524305555555</v>
      </c>
      <c r="M953" s="169" t="s">
        <v>1484</v>
      </c>
      <c r="N953" s="169" t="s">
        <v>1484</v>
      </c>
      <c r="O953" s="20">
        <v>46177.416666666664</v>
      </c>
      <c r="P953" s="20">
        <v>46177.423611111109</v>
      </c>
      <c r="Q953" s="20">
        <v>46177.472222222219</v>
      </c>
      <c r="S953" s="21" t="s">
        <v>3888</v>
      </c>
      <c r="T953" s="18" t="s">
        <v>50</v>
      </c>
      <c r="V953" s="21" t="s">
        <v>3889</v>
      </c>
      <c r="Y953" t="s">
        <v>158</v>
      </c>
      <c r="Z953" t="s">
        <v>70</v>
      </c>
    </row>
    <row r="954" spans="1:27" ht="15" hidden="1" customHeight="1">
      <c r="A954" s="60">
        <f>ROW() - ROW(Table1[[#Headers],[s]])</f>
        <v>953</v>
      </c>
      <c r="B954" t="s">
        <v>3890</v>
      </c>
      <c r="C954" s="272">
        <v>46174</v>
      </c>
      <c r="D954" s="19" t="s">
        <v>3891</v>
      </c>
      <c r="E954" t="e" vm="73">
        <v>#VALUE!</v>
      </c>
      <c r="F954" t="e" vm="49">
        <v>#VALUE!</v>
      </c>
      <c r="G954" s="5" t="s">
        <v>151</v>
      </c>
      <c r="H954" t="s">
        <v>152</v>
      </c>
      <c r="J954" s="18" t="s">
        <v>153</v>
      </c>
      <c r="K954" t="s">
        <v>154</v>
      </c>
      <c r="L954" s="20">
        <v>46176.672222222223</v>
      </c>
      <c r="M954" s="18" t="s">
        <v>1255</v>
      </c>
      <c r="N954" s="18" t="s">
        <v>1255</v>
      </c>
      <c r="O954" s="3">
        <v>46177.470138888886</v>
      </c>
      <c r="P954" s="20">
        <v>46542.527777777781</v>
      </c>
      <c r="Q954" s="22">
        <v>46177.55</v>
      </c>
      <c r="S954" s="21" t="s">
        <v>3892</v>
      </c>
      <c r="T954" s="18" t="s">
        <v>478</v>
      </c>
      <c r="V954" s="21" t="s">
        <v>3893</v>
      </c>
      <c r="Y954" t="s">
        <v>158</v>
      </c>
      <c r="Z954" t="s">
        <v>70</v>
      </c>
    </row>
    <row r="955" spans="1:27" ht="15" hidden="1" customHeight="1">
      <c r="A955" s="60">
        <f>ROW() - ROW(Table1[[#Headers],[s]])</f>
        <v>954</v>
      </c>
      <c r="B955" t="s">
        <v>3894</v>
      </c>
      <c r="C955" s="272">
        <v>46174</v>
      </c>
      <c r="D955" s="19" t="s">
        <v>3895</v>
      </c>
      <c r="E955" t="e" vm="9">
        <v>#VALUE!</v>
      </c>
      <c r="F955" t="e" vm="10">
        <v>#VALUE!</v>
      </c>
      <c r="G955" s="5" t="s">
        <v>174</v>
      </c>
      <c r="H955" t="s">
        <v>152</v>
      </c>
      <c r="J955" s="18" t="s">
        <v>153</v>
      </c>
      <c r="K955" s="18" t="s">
        <v>154</v>
      </c>
      <c r="L955" s="20">
        <v>46176.62777777778</v>
      </c>
      <c r="M955" s="18" t="s">
        <v>78</v>
      </c>
      <c r="N955" s="55" t="s">
        <v>78</v>
      </c>
      <c r="O955" s="20">
        <v>46176.708333333336</v>
      </c>
      <c r="P955" s="20">
        <v>46176.729166666664</v>
      </c>
      <c r="Q955" s="20">
        <v>46176.62777777778</v>
      </c>
      <c r="S955" s="21" t="s">
        <v>3896</v>
      </c>
      <c r="T955" s="18" t="s">
        <v>3011</v>
      </c>
      <c r="V955" s="21" t="s">
        <v>183</v>
      </c>
      <c r="Y955" t="s">
        <v>158</v>
      </c>
      <c r="Z955" t="s">
        <v>70</v>
      </c>
    </row>
    <row r="956" spans="1:27" ht="15.75" hidden="1" customHeight="1">
      <c r="A956" s="60">
        <f>ROW() - ROW(Table1[[#Headers],[s]])</f>
        <v>955</v>
      </c>
      <c r="B956" s="223" t="s">
        <v>3897</v>
      </c>
      <c r="C956" s="272">
        <v>46174</v>
      </c>
      <c r="D956" s="19" t="s">
        <v>3898</v>
      </c>
      <c r="E956" t="e" vm="247">
        <v>#VALUE!</v>
      </c>
      <c r="F956" t="e" vm="21">
        <v>#VALUE!</v>
      </c>
      <c r="G956" s="5" t="s">
        <v>1057</v>
      </c>
      <c r="H956" t="s">
        <v>152</v>
      </c>
      <c r="I956" t="s">
        <v>43</v>
      </c>
      <c r="J956" s="18" t="s">
        <v>153</v>
      </c>
      <c r="K956" t="s">
        <v>154</v>
      </c>
      <c r="L956" s="20">
        <v>46176.593055555553</v>
      </c>
      <c r="M956" s="18" t="s">
        <v>39</v>
      </c>
      <c r="N956" s="18" t="s">
        <v>39</v>
      </c>
      <c r="O956" s="20">
        <v>46176.645833333336</v>
      </c>
      <c r="P956" s="20">
        <v>46176.666666666664</v>
      </c>
      <c r="Q956" s="20">
        <v>46177.574999999997</v>
      </c>
      <c r="S956" s="21" t="s">
        <v>3899</v>
      </c>
      <c r="T956" s="18" t="s">
        <v>1118</v>
      </c>
      <c r="V956" s="240" t="s">
        <v>3900</v>
      </c>
      <c r="W956" t="s">
        <v>3901</v>
      </c>
      <c r="Y956" t="s">
        <v>158</v>
      </c>
      <c r="Z956" t="s">
        <v>70</v>
      </c>
    </row>
    <row r="957" spans="1:27" s="24" customFormat="1" ht="15" hidden="1" customHeight="1">
      <c r="A957" s="87">
        <f>ROW() - ROW(Table1[[#Headers],[s]])</f>
        <v>956</v>
      </c>
      <c r="B957" s="24" t="s">
        <v>3902</v>
      </c>
      <c r="C957" s="366">
        <v>46174</v>
      </c>
      <c r="D957" s="242" t="s">
        <v>3903</v>
      </c>
      <c r="E957" s="24" t="e" vm="193">
        <v>#VALUE!</v>
      </c>
      <c r="F957" s="24" t="e" vm="19">
        <v>#VALUE!</v>
      </c>
      <c r="G957" s="256" t="s">
        <v>3904</v>
      </c>
      <c r="H957" s="24" t="s">
        <v>152</v>
      </c>
      <c r="J957" s="259" t="s">
        <v>153</v>
      </c>
      <c r="K957" s="24" t="s">
        <v>154</v>
      </c>
      <c r="L957" s="258">
        <v>46176.629861111112</v>
      </c>
      <c r="M957" s="259" t="s">
        <v>3905</v>
      </c>
      <c r="N957" s="259" t="s">
        <v>3905</v>
      </c>
      <c r="O957" s="258">
        <v>46177.5</v>
      </c>
      <c r="P957" s="258">
        <v>46177.520833333336</v>
      </c>
      <c r="Q957" s="346">
        <v>46178.541666666664</v>
      </c>
      <c r="S957" s="345" t="s">
        <v>3906</v>
      </c>
      <c r="T957" s="323" t="s">
        <v>334</v>
      </c>
      <c r="V957" s="345" t="s">
        <v>3907</v>
      </c>
      <c r="Y957" s="24" t="s">
        <v>158</v>
      </c>
      <c r="Z957" s="24" t="s">
        <v>70</v>
      </c>
    </row>
    <row r="958" spans="1:27" ht="15.75" hidden="1" customHeight="1">
      <c r="A958" s="60">
        <f>ROW() - ROW(Table1[[#Headers],[s]])</f>
        <v>957</v>
      </c>
      <c r="B958" s="223" t="s">
        <v>3908</v>
      </c>
      <c r="C958" s="272">
        <v>46174</v>
      </c>
      <c r="D958" s="242" t="s">
        <v>3909</v>
      </c>
      <c r="E958" t="e" vm="179">
        <v>#VALUE!</v>
      </c>
      <c r="F958" t="e" vm="1">
        <v>#VALUE!</v>
      </c>
      <c r="G958" s="5" t="s">
        <v>174</v>
      </c>
      <c r="H958" t="s">
        <v>152</v>
      </c>
      <c r="J958" s="18" t="s">
        <v>153</v>
      </c>
      <c r="K958" s="18" t="s">
        <v>154</v>
      </c>
      <c r="L958" s="20">
        <v>46176.881944444445</v>
      </c>
      <c r="M958" s="55" t="s">
        <v>3853</v>
      </c>
      <c r="N958" s="55" t="s">
        <v>3853</v>
      </c>
      <c r="O958" s="20">
        <v>46176.916666666664</v>
      </c>
      <c r="P958" s="20">
        <v>46176.927083333336</v>
      </c>
      <c r="Q958" s="20">
        <v>46176.982638888891</v>
      </c>
      <c r="S958" s="21" t="s">
        <v>3910</v>
      </c>
      <c r="T958" s="18" t="s">
        <v>164</v>
      </c>
      <c r="V958" s="21" t="s">
        <v>3911</v>
      </c>
      <c r="Y958" t="s">
        <v>158</v>
      </c>
      <c r="Z958" t="s">
        <v>70</v>
      </c>
    </row>
    <row r="959" spans="1:27" ht="15" hidden="1" customHeight="1">
      <c r="A959" s="60">
        <f>ROW() - ROW(Table1[[#Headers],[s]])</f>
        <v>958</v>
      </c>
      <c r="B959" t="s">
        <v>3912</v>
      </c>
      <c r="C959" s="163">
        <v>46174</v>
      </c>
      <c r="D959" s="59" t="s">
        <v>3913</v>
      </c>
      <c r="E959" t="e" vm="104">
        <v>#VALUE!</v>
      </c>
      <c r="F959" t="e" vm="1">
        <v>#VALUE!</v>
      </c>
      <c r="G959" s="342" t="s">
        <v>151</v>
      </c>
      <c r="H959" t="s">
        <v>747</v>
      </c>
      <c r="J959" s="18" t="s">
        <v>253</v>
      </c>
      <c r="K959" t="s">
        <v>154</v>
      </c>
      <c r="L959" s="20">
        <v>46176.606249999997</v>
      </c>
      <c r="M959" s="55" t="s">
        <v>602</v>
      </c>
      <c r="N959" s="55" t="s">
        <v>3914</v>
      </c>
      <c r="O959" s="56">
        <v>46176.711111111108</v>
      </c>
      <c r="P959" s="2">
        <v>46176.785416666666</v>
      </c>
      <c r="Q959" s="58">
        <v>46177.615277777775</v>
      </c>
      <c r="S959" s="21" t="s">
        <v>861</v>
      </c>
      <c r="T959" s="55" t="s">
        <v>3915</v>
      </c>
      <c r="V959" s="53" t="s">
        <v>3916</v>
      </c>
      <c r="Y959" t="s">
        <v>70</v>
      </c>
      <c r="Z959" t="s">
        <v>158</v>
      </c>
    </row>
    <row r="960" spans="1:27" ht="15" hidden="1" customHeight="1">
      <c r="A960" s="60">
        <f>ROW() - ROW(Table1[[#Headers],[s]])</f>
        <v>959</v>
      </c>
      <c r="B960" t="s">
        <v>3917</v>
      </c>
      <c r="C960" s="163">
        <v>46174</v>
      </c>
      <c r="D960" s="52" t="s">
        <v>3918</v>
      </c>
      <c r="E960" t="e" vm="226">
        <v>#VALUE!</v>
      </c>
      <c r="F960" t="e" vm="16">
        <v>#VALUE!</v>
      </c>
      <c r="G960" s="5" t="s">
        <v>174</v>
      </c>
      <c r="H960" t="s">
        <v>747</v>
      </c>
      <c r="J960" s="18" t="s">
        <v>253</v>
      </c>
      <c r="K960" s="259" t="s">
        <v>3919</v>
      </c>
      <c r="L960" s="20">
        <v>46176.647222222222</v>
      </c>
      <c r="M960" s="55" t="s">
        <v>58</v>
      </c>
      <c r="N960" s="55" t="s">
        <v>58</v>
      </c>
      <c r="O960" s="20">
        <v>46176.6875</v>
      </c>
      <c r="P960" s="20">
        <v>46176.71875</v>
      </c>
      <c r="Q960" s="20">
        <v>46176.867361111108</v>
      </c>
      <c r="S960" s="21" t="s">
        <v>3920</v>
      </c>
      <c r="T960" s="55" t="s">
        <v>164</v>
      </c>
      <c r="V960" s="53" t="s">
        <v>404</v>
      </c>
      <c r="Y960" t="s">
        <v>158</v>
      </c>
      <c r="Z960" t="s">
        <v>70</v>
      </c>
    </row>
    <row r="961" spans="1:26" ht="15" hidden="1" customHeight="1">
      <c r="A961" s="60">
        <f>ROW() - ROW(Table1[[#Headers],[s]])</f>
        <v>960</v>
      </c>
      <c r="B961" t="s">
        <v>3921</v>
      </c>
      <c r="C961" s="163">
        <v>46174</v>
      </c>
      <c r="D961" s="52" t="s">
        <v>3922</v>
      </c>
      <c r="E961" t="e" vm="246">
        <v>#VALUE!</v>
      </c>
      <c r="F961" t="e" vm="12">
        <v>#VALUE!</v>
      </c>
      <c r="G961" s="43" t="s">
        <v>151</v>
      </c>
      <c r="H961" t="s">
        <v>152</v>
      </c>
      <c r="I961" t="s">
        <v>43</v>
      </c>
      <c r="J961" s="18" t="s">
        <v>153</v>
      </c>
      <c r="K961" s="55" t="s">
        <v>154</v>
      </c>
      <c r="L961" s="44">
        <v>46177.426388888889</v>
      </c>
      <c r="M961" s="55" t="s">
        <v>72</v>
      </c>
      <c r="N961" s="55" t="s">
        <v>72</v>
      </c>
      <c r="O961" s="56">
        <v>46177.52847222222</v>
      </c>
      <c r="P961" s="20">
        <v>46177.57916666667</v>
      </c>
      <c r="Q961" s="58">
        <v>46177.591666666667</v>
      </c>
      <c r="S961" s="21" t="s">
        <v>1048</v>
      </c>
      <c r="T961" s="55" t="s">
        <v>164</v>
      </c>
      <c r="V961" s="53" t="s">
        <v>183</v>
      </c>
      <c r="Y961" t="s">
        <v>158</v>
      </c>
      <c r="Z961" t="s">
        <v>70</v>
      </c>
    </row>
    <row r="962" spans="1:26" ht="15" hidden="1" customHeight="1">
      <c r="A962" s="60">
        <f>ROW() - ROW(Table1[[#Headers],[s]])</f>
        <v>961</v>
      </c>
      <c r="B962" t="s">
        <v>3923</v>
      </c>
      <c r="C962" s="272">
        <v>46174</v>
      </c>
      <c r="D962" s="19" t="s">
        <v>3924</v>
      </c>
      <c r="E962" t="e" vm="91">
        <v>#VALUE!</v>
      </c>
      <c r="F962" t="e" vm="25">
        <v>#VALUE!</v>
      </c>
      <c r="G962" s="5" t="s">
        <v>151</v>
      </c>
      <c r="H962" t="s">
        <v>152</v>
      </c>
      <c r="I962" t="s">
        <v>43</v>
      </c>
      <c r="J962" s="18" t="s">
        <v>153</v>
      </c>
      <c r="K962" s="18" t="s">
        <v>154</v>
      </c>
      <c r="L962" s="20">
        <v>46177.429166666669</v>
      </c>
      <c r="M962" s="18" t="s">
        <v>72</v>
      </c>
      <c r="N962" s="18" t="s">
        <v>72</v>
      </c>
      <c r="O962" s="3">
        <v>46177.662499999999</v>
      </c>
      <c r="P962" s="20">
        <v>46177.667361111111</v>
      </c>
      <c r="Q962" s="22">
        <v>46177.686111111114</v>
      </c>
      <c r="S962" s="21" t="s">
        <v>3925</v>
      </c>
      <c r="T962" s="18" t="s">
        <v>164</v>
      </c>
      <c r="V962" s="21" t="s">
        <v>3926</v>
      </c>
      <c r="Y962" t="s">
        <v>158</v>
      </c>
      <c r="Z962" t="s">
        <v>70</v>
      </c>
    </row>
    <row r="963" spans="1:26" ht="15" hidden="1" customHeight="1">
      <c r="A963" s="60">
        <f>ROW() - ROW(Table1[[#Headers],[s]])</f>
        <v>962</v>
      </c>
      <c r="B963" t="s">
        <v>3927</v>
      </c>
      <c r="C963" s="272">
        <v>46174</v>
      </c>
      <c r="D963" s="19" t="s">
        <v>3928</v>
      </c>
      <c r="E963" t="e" vm="9">
        <v>#VALUE!</v>
      </c>
      <c r="F963" t="e" vm="10">
        <v>#VALUE!</v>
      </c>
      <c r="G963" s="5" t="s">
        <v>151</v>
      </c>
      <c r="H963" t="s">
        <v>152</v>
      </c>
      <c r="I963" t="s">
        <v>43</v>
      </c>
      <c r="J963" s="18" t="s">
        <v>153</v>
      </c>
      <c r="K963" s="18" t="s">
        <v>154</v>
      </c>
      <c r="L963" s="20">
        <v>46177.435416666667</v>
      </c>
      <c r="M963" s="18" t="s">
        <v>78</v>
      </c>
      <c r="N963" s="55" t="s">
        <v>78</v>
      </c>
      <c r="O963" s="3">
        <v>46177.711111111108</v>
      </c>
      <c r="P963" s="20">
        <v>46177.711111111108</v>
      </c>
      <c r="Q963" s="22">
        <v>46177.726388888892</v>
      </c>
      <c r="S963" s="21" t="s">
        <v>3929</v>
      </c>
      <c r="T963" s="18" t="s">
        <v>164</v>
      </c>
      <c r="V963" s="21" t="s">
        <v>3929</v>
      </c>
      <c r="Y963" t="s">
        <v>158</v>
      </c>
      <c r="Z963" t="s">
        <v>70</v>
      </c>
    </row>
    <row r="964" spans="1:26" ht="15" hidden="1" customHeight="1">
      <c r="A964" s="60">
        <f>ROW() - ROW(Table1[[#Headers],[s]])</f>
        <v>963</v>
      </c>
      <c r="B964" t="s">
        <v>3930</v>
      </c>
      <c r="C964" s="272">
        <v>46174</v>
      </c>
      <c r="D964" s="19" t="s">
        <v>3931</v>
      </c>
      <c r="E964" t="e" vm="225">
        <v>#VALUE!</v>
      </c>
      <c r="F964" t="e" vm="21">
        <v>#VALUE!</v>
      </c>
      <c r="G964" s="5" t="s">
        <v>200</v>
      </c>
      <c r="H964" t="s">
        <v>747</v>
      </c>
      <c r="I964" t="s">
        <v>43</v>
      </c>
      <c r="J964" s="18" t="s">
        <v>253</v>
      </c>
      <c r="K964" s="18" t="s">
        <v>154</v>
      </c>
      <c r="L964" s="20">
        <v>46177.618750000001</v>
      </c>
      <c r="M964" s="18" t="s">
        <v>39</v>
      </c>
      <c r="N964" s="18" t="s">
        <v>39</v>
      </c>
      <c r="O964" s="3">
        <v>46177.731944444444</v>
      </c>
      <c r="P964" s="20">
        <v>46177.744444444441</v>
      </c>
      <c r="Q964" s="22">
        <v>46178.484722222223</v>
      </c>
      <c r="S964" s="21" t="s">
        <v>3932</v>
      </c>
      <c r="T964" s="18" t="s">
        <v>3933</v>
      </c>
      <c r="V964" s="21" t="s">
        <v>3934</v>
      </c>
      <c r="Y964" t="s">
        <v>70</v>
      </c>
      <c r="Z964" t="s">
        <v>158</v>
      </c>
    </row>
    <row r="965" spans="1:26" ht="15" hidden="1" customHeight="1">
      <c r="A965" s="60">
        <f>ROW() - ROW(Table1[[#Headers],[s]])</f>
        <v>964</v>
      </c>
      <c r="B965" t="s">
        <v>3935</v>
      </c>
      <c r="C965" s="272">
        <v>46174</v>
      </c>
      <c r="D965" s="19" t="s">
        <v>3936</v>
      </c>
      <c r="E965" t="e" vm="106">
        <v>#VALUE!</v>
      </c>
      <c r="F965" t="e" vm="5">
        <v>#VALUE!</v>
      </c>
      <c r="G965" s="5" t="s">
        <v>1057</v>
      </c>
      <c r="H965" t="s">
        <v>152</v>
      </c>
      <c r="I965" t="s">
        <v>43</v>
      </c>
      <c r="J965" s="18" t="s">
        <v>153</v>
      </c>
      <c r="K965" s="18" t="s">
        <v>154</v>
      </c>
      <c r="L965" s="20">
        <v>46177.637499999997</v>
      </c>
      <c r="M965" s="18" t="s">
        <v>55</v>
      </c>
      <c r="N965" s="18" t="s">
        <v>55</v>
      </c>
      <c r="O965" s="20">
        <v>46177.791666666664</v>
      </c>
      <c r="P965" s="20">
        <v>46177.819444444445</v>
      </c>
      <c r="Q965" s="20">
        <v>46177.833333333336</v>
      </c>
      <c r="S965" s="240" t="s">
        <v>3937</v>
      </c>
      <c r="T965" s="18" t="s">
        <v>50</v>
      </c>
      <c r="V965" s="21" t="s">
        <v>3938</v>
      </c>
      <c r="Y965" t="s">
        <v>158</v>
      </c>
      <c r="Z965" t="s">
        <v>70</v>
      </c>
    </row>
    <row r="966" spans="1:26" ht="15" hidden="1" customHeight="1">
      <c r="A966" s="60">
        <f>ROW() - ROW(Table1[[#Headers],[s]])</f>
        <v>965</v>
      </c>
      <c r="B966" t="s">
        <v>3939</v>
      </c>
      <c r="C966" s="272">
        <v>46174</v>
      </c>
      <c r="D966" s="19" t="s">
        <v>3940</v>
      </c>
      <c r="E966" t="e" vm="244">
        <v>#VALUE!</v>
      </c>
      <c r="F966" t="e" vm="21">
        <v>#VALUE!</v>
      </c>
      <c r="G966" s="5" t="s">
        <v>151</v>
      </c>
      <c r="H966" t="s">
        <v>152</v>
      </c>
      <c r="I966" t="s">
        <v>43</v>
      </c>
      <c r="J966" s="18" t="s">
        <v>153</v>
      </c>
      <c r="K966" s="18" t="s">
        <v>154</v>
      </c>
      <c r="L966" s="20">
        <v>46177.644444444442</v>
      </c>
      <c r="M966" s="18" t="s">
        <v>39</v>
      </c>
      <c r="N966" s="18" t="s">
        <v>39</v>
      </c>
      <c r="O966" s="3">
        <v>46177.719444444447</v>
      </c>
      <c r="P966" s="20">
        <v>46177.722916666666</v>
      </c>
      <c r="Q966" s="22">
        <v>46177.748611111114</v>
      </c>
      <c r="S966" s="21" t="s">
        <v>3941</v>
      </c>
      <c r="T966" s="18" t="s">
        <v>3011</v>
      </c>
      <c r="V966" s="21" t="s">
        <v>183</v>
      </c>
      <c r="Y966" t="s">
        <v>158</v>
      </c>
      <c r="Z966" t="s">
        <v>70</v>
      </c>
    </row>
    <row r="967" spans="1:26" ht="15" hidden="1" customHeight="1">
      <c r="A967" s="60">
        <f>ROW() - ROW(Table1[[#Headers],[s]])</f>
        <v>966</v>
      </c>
      <c r="B967" t="s">
        <v>3942</v>
      </c>
      <c r="C967" s="272">
        <v>46174</v>
      </c>
      <c r="D967" s="19" t="s">
        <v>3943</v>
      </c>
      <c r="E967" t="e" vm="80">
        <v>#VALUE!</v>
      </c>
      <c r="F967" t="e" vm="10">
        <v>#VALUE!</v>
      </c>
      <c r="G967" s="5" t="s">
        <v>151</v>
      </c>
      <c r="H967" t="s">
        <v>152</v>
      </c>
      <c r="I967" t="s">
        <v>43</v>
      </c>
      <c r="J967" s="18" t="s">
        <v>153</v>
      </c>
      <c r="K967" s="18" t="s">
        <v>154</v>
      </c>
      <c r="L967" s="20">
        <v>46177.645138888889</v>
      </c>
      <c r="M967" s="18" t="s">
        <v>78</v>
      </c>
      <c r="N967" s="55" t="s">
        <v>78</v>
      </c>
      <c r="O967" s="3">
        <v>46177.734027777777</v>
      </c>
      <c r="P967" s="20">
        <v>46177.73541666667</v>
      </c>
      <c r="Q967" s="22">
        <v>46177.750694444447</v>
      </c>
      <c r="S967" s="21" t="s">
        <v>3944</v>
      </c>
      <c r="T967" s="18" t="s">
        <v>164</v>
      </c>
      <c r="V967" s="21" t="s">
        <v>3944</v>
      </c>
      <c r="Y967" t="s">
        <v>158</v>
      </c>
      <c r="Z967" t="s">
        <v>70</v>
      </c>
    </row>
    <row r="968" spans="1:26" ht="15" hidden="1" customHeight="1">
      <c r="A968" s="60">
        <f>ROW() - ROW(Table1[[#Headers],[s]])</f>
        <v>967</v>
      </c>
      <c r="B968" t="s">
        <v>3945</v>
      </c>
      <c r="C968" s="163">
        <v>46174</v>
      </c>
      <c r="D968" s="52" t="s">
        <v>3946</v>
      </c>
      <c r="E968" t="e" vm="75">
        <v>#VALUE!</v>
      </c>
      <c r="F968" t="e" vm="21">
        <v>#VALUE!</v>
      </c>
      <c r="G968" s="43" t="s">
        <v>200</v>
      </c>
      <c r="H968" t="s">
        <v>152</v>
      </c>
      <c r="I968" t="s">
        <v>43</v>
      </c>
      <c r="J968" s="18" t="s">
        <v>153</v>
      </c>
      <c r="K968" s="18" t="s">
        <v>154</v>
      </c>
      <c r="L968" s="20">
        <v>46178.567361111112</v>
      </c>
      <c r="M968" s="18" t="s">
        <v>39</v>
      </c>
      <c r="N968" s="18" t="s">
        <v>39</v>
      </c>
      <c r="O968" s="20">
        <v>46178.625</v>
      </c>
      <c r="P968" s="20">
        <v>46178.655555555553</v>
      </c>
      <c r="Q968" s="20">
        <v>46178.744444444441</v>
      </c>
      <c r="S968" s="21" t="s">
        <v>3947</v>
      </c>
      <c r="T968" s="18" t="s">
        <v>164</v>
      </c>
      <c r="V968" s="53" t="s">
        <v>3948</v>
      </c>
      <c r="Y968" t="s">
        <v>158</v>
      </c>
      <c r="Z968" t="s">
        <v>158</v>
      </c>
    </row>
    <row r="969" spans="1:26" ht="15" customHeight="1">
      <c r="A969" s="60">
        <f>ROW() - ROW(Table1[[#Headers],[s]])</f>
        <v>968</v>
      </c>
      <c r="B969" t="s">
        <v>3949</v>
      </c>
      <c r="C969" s="23" t="s">
        <v>60</v>
      </c>
      <c r="D969" s="19" t="s">
        <v>3950</v>
      </c>
      <c r="E969" t="e" vm="85">
        <v>#VALUE!</v>
      </c>
      <c r="F969" t="e" vm="5">
        <v>#VALUE!</v>
      </c>
      <c r="G969" s="5" t="s">
        <v>186</v>
      </c>
      <c r="H969" t="s">
        <v>152</v>
      </c>
      <c r="I969" s="18" t="s">
        <v>3951</v>
      </c>
      <c r="J969" s="18" t="s">
        <v>153</v>
      </c>
      <c r="K969" s="42" t="s">
        <v>154</v>
      </c>
      <c r="L969" s="20">
        <v>46178.447916666664</v>
      </c>
      <c r="M969" s="18" t="s">
        <v>55</v>
      </c>
      <c r="N969" s="18"/>
      <c r="O969" s="3"/>
      <c r="P969" s="20"/>
      <c r="S969" s="21" t="s">
        <v>3951</v>
      </c>
      <c r="T969" s="18" t="s">
        <v>50</v>
      </c>
      <c r="Y969" t="s">
        <v>179</v>
      </c>
      <c r="Z969" t="s">
        <v>179</v>
      </c>
    </row>
    <row r="970" spans="1:26" ht="15" hidden="1" customHeight="1">
      <c r="A970" s="60">
        <f>ROW() - ROW(Table1[[#Headers],[s]])</f>
        <v>969</v>
      </c>
      <c r="B970" t="s">
        <v>3952</v>
      </c>
      <c r="C970" s="163">
        <v>46174</v>
      </c>
      <c r="D970" s="52" t="s">
        <v>3953</v>
      </c>
      <c r="E970" t="s">
        <v>3954</v>
      </c>
      <c r="F970" t="e" vm="2">
        <v>#VALUE!</v>
      </c>
      <c r="G970" s="43" t="s">
        <v>200</v>
      </c>
      <c r="H970" t="s">
        <v>245</v>
      </c>
      <c r="I970" t="s">
        <v>43</v>
      </c>
      <c r="J970" s="18" t="s">
        <v>253</v>
      </c>
      <c r="K970" s="55" t="s">
        <v>154</v>
      </c>
      <c r="L970" s="44">
        <v>46178.580555555556</v>
      </c>
      <c r="M970" s="55" t="s">
        <v>162</v>
      </c>
      <c r="N970" s="55" t="s">
        <v>162</v>
      </c>
      <c r="O970" s="56">
        <v>46178.666666666664</v>
      </c>
      <c r="P970" s="20">
        <v>46178.6875</v>
      </c>
      <c r="Q970" s="58">
        <v>46178.791666666664</v>
      </c>
      <c r="S970" s="21" t="s">
        <v>3955</v>
      </c>
      <c r="T970" s="55" t="s">
        <v>516</v>
      </c>
      <c r="V970" s="53" t="s">
        <v>3956</v>
      </c>
      <c r="Y970" t="s">
        <v>203</v>
      </c>
      <c r="Z970" t="s">
        <v>158</v>
      </c>
    </row>
    <row r="971" spans="1:26" ht="15" hidden="1" customHeight="1">
      <c r="A971" s="60">
        <f>ROW() - ROW(Table1[[#Headers],[s]])</f>
        <v>970</v>
      </c>
      <c r="B971" t="s">
        <v>3957</v>
      </c>
      <c r="C971" s="163">
        <v>46174</v>
      </c>
      <c r="D971" s="52" t="s">
        <v>3958</v>
      </c>
      <c r="E971" t="e" vm="226">
        <v>#VALUE!</v>
      </c>
      <c r="F971" t="e" vm="16">
        <v>#VALUE!</v>
      </c>
      <c r="G971" s="43" t="s">
        <v>200</v>
      </c>
      <c r="H971" t="s">
        <v>747</v>
      </c>
      <c r="I971" t="s">
        <v>43</v>
      </c>
      <c r="J971" s="18" t="s">
        <v>253</v>
      </c>
      <c r="K971" s="55" t="s">
        <v>3959</v>
      </c>
      <c r="L971" s="44">
        <v>46178.994444444441</v>
      </c>
      <c r="M971" s="55" t="s">
        <v>3853</v>
      </c>
      <c r="N971" s="55" t="s">
        <v>3853</v>
      </c>
      <c r="O971" s="56">
        <v>46178.6875</v>
      </c>
      <c r="P971" s="20">
        <v>46178.708333333336</v>
      </c>
      <c r="Q971" s="58"/>
      <c r="S971" s="21" t="s">
        <v>2273</v>
      </c>
      <c r="T971" s="55" t="s">
        <v>3960</v>
      </c>
      <c r="V971" s="53" t="s">
        <v>3961</v>
      </c>
      <c r="Y971" t="s">
        <v>52</v>
      </c>
      <c r="Z971" t="s">
        <v>158</v>
      </c>
    </row>
    <row r="972" spans="1:26" ht="15" hidden="1" customHeight="1">
      <c r="A972" s="60">
        <f>ROW() - ROW(Table1[[#Headers],[s]])</f>
        <v>971</v>
      </c>
      <c r="B972" t="s">
        <v>3962</v>
      </c>
      <c r="C972" s="163">
        <v>46174</v>
      </c>
      <c r="D972" s="52" t="s">
        <v>3963</v>
      </c>
      <c r="E972" t="e" vm="276">
        <v>#VALUE!</v>
      </c>
      <c r="F972" t="e" vm="25">
        <v>#VALUE!</v>
      </c>
      <c r="G972" s="43" t="s">
        <v>200</v>
      </c>
      <c r="H972" t="s">
        <v>152</v>
      </c>
      <c r="I972" t="s">
        <v>43</v>
      </c>
      <c r="J972" s="18" t="s">
        <v>153</v>
      </c>
      <c r="K972" s="55" t="s">
        <v>154</v>
      </c>
      <c r="L972" s="44">
        <v>46178.712500000001</v>
      </c>
      <c r="M972" s="55" t="s">
        <v>72</v>
      </c>
      <c r="N972" s="55" t="s">
        <v>72</v>
      </c>
      <c r="O972" s="56">
        <v>46178.833333333336</v>
      </c>
      <c r="P972" s="20">
        <v>46178.854166666664</v>
      </c>
      <c r="Q972" s="58">
        <v>46178.875</v>
      </c>
      <c r="S972" s="21" t="s">
        <v>3964</v>
      </c>
      <c r="T972" s="55" t="s">
        <v>179</v>
      </c>
      <c r="V972" s="53" t="s">
        <v>3965</v>
      </c>
      <c r="Y972" t="s">
        <v>203</v>
      </c>
      <c r="Z972" t="s">
        <v>70</v>
      </c>
    </row>
    <row r="973" spans="1:26" ht="15" hidden="1" customHeight="1">
      <c r="A973" s="60">
        <f>ROW() - ROW(Table1[[#Headers],[s]])</f>
        <v>972</v>
      </c>
      <c r="B973" t="s">
        <v>3966</v>
      </c>
      <c r="C973" s="163">
        <v>46174</v>
      </c>
      <c r="D973" s="52" t="s">
        <v>3967</v>
      </c>
      <c r="E973" t="e" vm="58">
        <v>#VALUE!</v>
      </c>
      <c r="F973" t="e" vm="25">
        <v>#VALUE!</v>
      </c>
      <c r="G973" s="43" t="s">
        <v>200</v>
      </c>
      <c r="H973" t="s">
        <v>152</v>
      </c>
      <c r="I973" t="s">
        <v>43</v>
      </c>
      <c r="J973" s="18" t="s">
        <v>153</v>
      </c>
      <c r="K973" s="55" t="s">
        <v>154</v>
      </c>
      <c r="L973" s="44">
        <v>46178.666666666664</v>
      </c>
      <c r="M973" s="55" t="s">
        <v>72</v>
      </c>
      <c r="N973" s="55" t="s">
        <v>72</v>
      </c>
      <c r="O973" s="56">
        <v>46178.75</v>
      </c>
      <c r="P973" s="20">
        <v>46178.770833333336</v>
      </c>
      <c r="Q973" s="58">
        <v>46178.791666666664</v>
      </c>
      <c r="S973" s="21" t="s">
        <v>3968</v>
      </c>
      <c r="T973" s="55" t="s">
        <v>179</v>
      </c>
      <c r="V973" s="53" t="s">
        <v>374</v>
      </c>
      <c r="Y973" t="s">
        <v>203</v>
      </c>
      <c r="Z973" t="s">
        <v>70</v>
      </c>
    </row>
    <row r="974" spans="1:26" ht="15" hidden="1" customHeight="1">
      <c r="A974" s="60">
        <f>ROW() - ROW(Table1[[#Headers],[s]])</f>
        <v>973</v>
      </c>
      <c r="B974" t="s">
        <v>3969</v>
      </c>
      <c r="C974" s="163">
        <v>46174</v>
      </c>
      <c r="D974" s="52" t="s">
        <v>3970</v>
      </c>
      <c r="E974" t="e" vm="58">
        <v>#VALUE!</v>
      </c>
      <c r="F974" t="e" vm="25">
        <v>#VALUE!</v>
      </c>
      <c r="G974" s="43" t="s">
        <v>3971</v>
      </c>
      <c r="H974" t="s">
        <v>152</v>
      </c>
      <c r="I974" t="s">
        <v>43</v>
      </c>
      <c r="J974" s="18" t="s">
        <v>153</v>
      </c>
      <c r="K974" s="55" t="s">
        <v>154</v>
      </c>
      <c r="L974" s="44">
        <v>46178.649305555555</v>
      </c>
      <c r="M974" s="55" t="s">
        <v>72</v>
      </c>
      <c r="N974" s="55" t="s">
        <v>72</v>
      </c>
      <c r="O974" s="56">
        <v>46178.75</v>
      </c>
      <c r="P974" s="56">
        <v>46178.770833333336</v>
      </c>
      <c r="Q974" s="56">
        <v>46181.461111111108</v>
      </c>
      <c r="S974" s="21" t="s">
        <v>3972</v>
      </c>
      <c r="T974" s="55" t="s">
        <v>179</v>
      </c>
      <c r="V974" s="53" t="s">
        <v>3973</v>
      </c>
      <c r="Y974" t="s">
        <v>203</v>
      </c>
      <c r="Z974" t="s">
        <v>70</v>
      </c>
    </row>
    <row r="975" spans="1:26" ht="15" hidden="1" customHeight="1">
      <c r="A975" s="60">
        <f>ROW() - ROW(Table1[[#Headers],[s]])</f>
        <v>974</v>
      </c>
      <c r="B975" t="s">
        <v>3974</v>
      </c>
      <c r="C975" s="163">
        <v>46174</v>
      </c>
      <c r="D975" s="52" t="s">
        <v>3975</v>
      </c>
      <c r="E975" t="e" vm="20">
        <v>#VALUE!</v>
      </c>
      <c r="F975" t="e" vm="21">
        <v>#VALUE!</v>
      </c>
      <c r="G975" s="43" t="s">
        <v>200</v>
      </c>
      <c r="H975" t="s">
        <v>152</v>
      </c>
      <c r="I975" t="s">
        <v>43</v>
      </c>
      <c r="J975" s="18" t="s">
        <v>153</v>
      </c>
      <c r="K975" s="55" t="s">
        <v>154</v>
      </c>
      <c r="L975" s="44">
        <v>46178.613194444442</v>
      </c>
      <c r="M975" s="55" t="s">
        <v>3976</v>
      </c>
      <c r="N975" s="55" t="s">
        <v>3976</v>
      </c>
      <c r="O975" s="56">
        <v>46178.833333333336</v>
      </c>
      <c r="P975" s="20">
        <v>46178.833333333336</v>
      </c>
      <c r="Q975" s="58">
        <v>46178.875</v>
      </c>
      <c r="S975" s="21" t="s">
        <v>3977</v>
      </c>
      <c r="T975" s="55" t="s">
        <v>3960</v>
      </c>
      <c r="V975" s="53" t="s">
        <v>3977</v>
      </c>
      <c r="Y975" t="s">
        <v>158</v>
      </c>
      <c r="Z975" t="s">
        <v>70</v>
      </c>
    </row>
    <row r="976" spans="1:26" ht="15" hidden="1" customHeight="1">
      <c r="A976" s="60">
        <f>ROW() - ROW(Table1[[#Headers],[s]])</f>
        <v>975</v>
      </c>
      <c r="B976" t="s">
        <v>3978</v>
      </c>
      <c r="C976" s="163">
        <v>46174</v>
      </c>
      <c r="D976" s="52" t="s">
        <v>3979</v>
      </c>
      <c r="E976" t="e" vm="86">
        <v>#VALUE!</v>
      </c>
      <c r="F976" t="e" vm="35">
        <v>#VALUE!</v>
      </c>
      <c r="G976" s="43" t="s">
        <v>200</v>
      </c>
      <c r="H976" t="s">
        <v>152</v>
      </c>
      <c r="I976" t="s">
        <v>43</v>
      </c>
      <c r="J976" s="18" t="s">
        <v>153</v>
      </c>
      <c r="K976" s="55" t="s">
        <v>154</v>
      </c>
      <c r="L976" s="44">
        <v>46178.462500000001</v>
      </c>
      <c r="M976" s="55" t="s">
        <v>2185</v>
      </c>
      <c r="N976" s="55" t="s">
        <v>2185</v>
      </c>
      <c r="O976" s="56">
        <v>46178.583333333336</v>
      </c>
      <c r="P976" s="20">
        <v>46178.604166666664</v>
      </c>
      <c r="Q976" s="58">
        <v>46178.625</v>
      </c>
      <c r="S976" s="21" t="s">
        <v>3980</v>
      </c>
      <c r="T976" s="55" t="s">
        <v>179</v>
      </c>
      <c r="V976" s="53" t="s">
        <v>3668</v>
      </c>
      <c r="Y976" t="s">
        <v>203</v>
      </c>
      <c r="Z976" t="s">
        <v>70</v>
      </c>
    </row>
    <row r="977" spans="1:27" ht="15" customHeight="1">
      <c r="A977" s="60">
        <f>ROW() - ROW(Table1[[#Headers],[s]])</f>
        <v>976</v>
      </c>
      <c r="B977" t="s">
        <v>3981</v>
      </c>
      <c r="C977" s="272">
        <v>46174</v>
      </c>
      <c r="D977" s="19" t="s">
        <v>3982</v>
      </c>
      <c r="E977" t="e" vm="210">
        <v>#VALUE!</v>
      </c>
      <c r="F977" t="e" vm="2">
        <v>#VALUE!</v>
      </c>
      <c r="G977" s="5" t="s">
        <v>186</v>
      </c>
      <c r="H977" t="s">
        <v>152</v>
      </c>
      <c r="I977" t="s">
        <v>43</v>
      </c>
      <c r="J977" s="18" t="s">
        <v>153</v>
      </c>
      <c r="K977" s="18" t="s">
        <v>154</v>
      </c>
      <c r="L977" s="20">
        <v>46178.625</v>
      </c>
      <c r="M977" s="18" t="s">
        <v>162</v>
      </c>
      <c r="N977" s="18" t="s">
        <v>162</v>
      </c>
      <c r="O977" s="3">
        <v>46179.5</v>
      </c>
      <c r="P977" s="20">
        <v>46179.506944444445</v>
      </c>
      <c r="Q977" s="22">
        <v>46179.536111111112</v>
      </c>
      <c r="S977" s="21" t="s">
        <v>3983</v>
      </c>
      <c r="T977" s="18" t="s">
        <v>3984</v>
      </c>
      <c r="V977" s="21" t="s">
        <v>3985</v>
      </c>
      <c r="Y977" t="s">
        <v>158</v>
      </c>
      <c r="Z977" t="s">
        <v>158</v>
      </c>
    </row>
    <row r="978" spans="1:27" ht="15" customHeight="1">
      <c r="A978" s="60">
        <f>ROW() - ROW(Table1[[#Headers],[s]])</f>
        <v>977</v>
      </c>
      <c r="B978" t="s">
        <v>3986</v>
      </c>
      <c r="C978" s="272">
        <v>46174</v>
      </c>
      <c r="D978" s="19" t="s">
        <v>3987</v>
      </c>
      <c r="E978" t="e" vm="85">
        <v>#VALUE!</v>
      </c>
      <c r="F978" t="e" vm="5">
        <v>#VALUE!</v>
      </c>
      <c r="G978" s="5" t="s">
        <v>186</v>
      </c>
      <c r="H978" t="s">
        <v>245</v>
      </c>
      <c r="I978" t="s">
        <v>43</v>
      </c>
      <c r="J978" s="18" t="s">
        <v>253</v>
      </c>
      <c r="K978" s="18" t="s">
        <v>3988</v>
      </c>
      <c r="L978" s="20">
        <v>46178.470138888886</v>
      </c>
      <c r="M978" s="18" t="s">
        <v>55</v>
      </c>
      <c r="N978" s="18" t="s">
        <v>55</v>
      </c>
      <c r="O978" s="3">
        <v>46179.333333333336</v>
      </c>
      <c r="P978" s="20">
        <v>46179.416666666664</v>
      </c>
      <c r="Q978" s="22">
        <v>46179.868055555555</v>
      </c>
      <c r="S978" s="21" t="s">
        <v>3989</v>
      </c>
      <c r="T978" s="18" t="s">
        <v>3990</v>
      </c>
      <c r="V978" s="21" t="s">
        <v>3991</v>
      </c>
      <c r="X978" t="s">
        <v>3992</v>
      </c>
      <c r="Y978" t="s">
        <v>70</v>
      </c>
      <c r="Z978" t="s">
        <v>158</v>
      </c>
      <c r="AA978" t="s">
        <v>3993</v>
      </c>
    </row>
    <row r="979" spans="1:27" ht="15" customHeight="1">
      <c r="A979" s="60">
        <f>ROW() - ROW(Table1[[#Headers],[s]])</f>
        <v>978</v>
      </c>
      <c r="B979" t="s">
        <v>3994</v>
      </c>
      <c r="C979" s="272">
        <v>46174</v>
      </c>
      <c r="D979" s="19" t="s">
        <v>3995</v>
      </c>
      <c r="E979" t="e" vm="274">
        <v>#VALUE!</v>
      </c>
      <c r="F979" t="e" vm="2">
        <v>#VALUE!</v>
      </c>
      <c r="G979" s="5" t="s">
        <v>186</v>
      </c>
      <c r="H979" t="s">
        <v>152</v>
      </c>
      <c r="I979" t="s">
        <v>43</v>
      </c>
      <c r="J979" s="18" t="s">
        <v>153</v>
      </c>
      <c r="K979" s="18" t="s">
        <v>154</v>
      </c>
      <c r="L979" s="20">
        <v>46179.470833333333</v>
      </c>
      <c r="M979" s="18" t="s">
        <v>162</v>
      </c>
      <c r="N979" s="18" t="s">
        <v>162</v>
      </c>
      <c r="O979" s="3">
        <v>46179.625</v>
      </c>
      <c r="P979" s="20">
        <v>46179.631944444445</v>
      </c>
      <c r="Q979" s="22">
        <v>46179.740972222222</v>
      </c>
      <c r="S979" s="21" t="s">
        <v>3996</v>
      </c>
      <c r="T979" s="18" t="s">
        <v>3011</v>
      </c>
      <c r="V979" s="21" t="s">
        <v>3997</v>
      </c>
      <c r="Y979" t="s">
        <v>158</v>
      </c>
      <c r="Z979" t="s">
        <v>70</v>
      </c>
    </row>
    <row r="980" spans="1:27" ht="15" customHeight="1">
      <c r="A980" s="60">
        <f>ROW() - ROW(Table1[[#Headers],[s]])</f>
        <v>979</v>
      </c>
      <c r="B980" t="s">
        <v>3998</v>
      </c>
      <c r="C980" s="272">
        <v>46174</v>
      </c>
      <c r="D980" s="19" t="s">
        <v>3999</v>
      </c>
      <c r="E980" t="e" vm="274">
        <v>#VALUE!</v>
      </c>
      <c r="F980" t="e" vm="2">
        <v>#VALUE!</v>
      </c>
      <c r="G980" s="5" t="s">
        <v>186</v>
      </c>
      <c r="H980" t="s">
        <v>152</v>
      </c>
      <c r="I980" t="s">
        <v>43</v>
      </c>
      <c r="J980" s="18" t="s">
        <v>153</v>
      </c>
      <c r="K980" s="18" t="s">
        <v>154</v>
      </c>
      <c r="L980" s="20">
        <v>46179.683333333334</v>
      </c>
      <c r="M980" s="18" t="s">
        <v>162</v>
      </c>
      <c r="N980" s="18" t="s">
        <v>162</v>
      </c>
      <c r="O980" s="3">
        <v>46179.75</v>
      </c>
      <c r="P980" s="20">
        <v>46179.756944444445</v>
      </c>
      <c r="Q980" s="22">
        <v>46179.791666666664</v>
      </c>
      <c r="S980" s="21" t="s">
        <v>4000</v>
      </c>
      <c r="T980" s="18" t="s">
        <v>478</v>
      </c>
      <c r="V980" s="21" t="s">
        <v>4001</v>
      </c>
      <c r="Y980" t="s">
        <v>158</v>
      </c>
      <c r="Z980" t="s">
        <v>70</v>
      </c>
    </row>
    <row r="981" spans="1:27" ht="15" customHeight="1">
      <c r="A981" s="60">
        <f>ROW() - ROW(Table1[[#Headers],[s]])</f>
        <v>980</v>
      </c>
      <c r="B981" t="s">
        <v>4002</v>
      </c>
      <c r="C981" s="272">
        <v>46174</v>
      </c>
      <c r="D981" s="19" t="s">
        <v>4003</v>
      </c>
      <c r="E981" t="e" vm="83">
        <v>#VALUE!</v>
      </c>
      <c r="F981" t="e" vm="37">
        <v>#VALUE!</v>
      </c>
      <c r="G981" s="5" t="s">
        <v>186</v>
      </c>
      <c r="H981" t="s">
        <v>152</v>
      </c>
      <c r="I981" t="s">
        <v>43</v>
      </c>
      <c r="J981" s="18" t="s">
        <v>153</v>
      </c>
      <c r="K981" s="18" t="s">
        <v>154</v>
      </c>
      <c r="L981" s="20">
        <v>46179.683333333334</v>
      </c>
      <c r="M981" s="18" t="s">
        <v>800</v>
      </c>
      <c r="N981" s="18" t="s">
        <v>800</v>
      </c>
      <c r="O981" s="3">
        <v>46179.75</v>
      </c>
      <c r="P981" s="20">
        <v>46179.756944444445</v>
      </c>
      <c r="Q981" s="22">
        <v>46179.916666666664</v>
      </c>
      <c r="S981" s="21" t="s">
        <v>801</v>
      </c>
      <c r="T981" s="18" t="s">
        <v>478</v>
      </c>
      <c r="V981" s="21" t="s">
        <v>4004</v>
      </c>
      <c r="Y981" t="s">
        <v>158</v>
      </c>
      <c r="Z981" t="s">
        <v>70</v>
      </c>
    </row>
    <row r="982" spans="1:27" ht="15" customHeight="1">
      <c r="A982" s="60">
        <f>ROW() - ROW(Table1[[#Headers],[s]])</f>
        <v>981</v>
      </c>
      <c r="B982" t="s">
        <v>4005</v>
      </c>
      <c r="C982" s="272">
        <v>46174</v>
      </c>
      <c r="D982" s="19" t="s">
        <v>4006</v>
      </c>
      <c r="E982" t="e" vm="86">
        <v>#VALUE!</v>
      </c>
      <c r="F982" t="e" vm="35">
        <v>#VALUE!</v>
      </c>
      <c r="G982" s="5" t="s">
        <v>186</v>
      </c>
      <c r="H982" t="s">
        <v>245</v>
      </c>
      <c r="I982" t="s">
        <v>43</v>
      </c>
      <c r="J982" s="18" t="s">
        <v>253</v>
      </c>
      <c r="K982" s="18" t="s">
        <v>154</v>
      </c>
      <c r="L982" s="20">
        <v>46179.99722222222</v>
      </c>
      <c r="M982" s="169" t="s">
        <v>1484</v>
      </c>
      <c r="N982" s="169" t="s">
        <v>1484</v>
      </c>
      <c r="O982" s="3">
        <v>46180.333333333336</v>
      </c>
      <c r="P982" s="20">
        <v>46180.375</v>
      </c>
      <c r="Q982" s="22">
        <v>46179.459722222222</v>
      </c>
      <c r="S982" s="21" t="s">
        <v>4007</v>
      </c>
      <c r="T982" s="18" t="s">
        <v>478</v>
      </c>
      <c r="V982" s="21" t="s">
        <v>4008</v>
      </c>
      <c r="Y982" t="s">
        <v>70</v>
      </c>
      <c r="Z982" t="s">
        <v>70</v>
      </c>
    </row>
    <row r="983" spans="1:27" ht="15" customHeight="1">
      <c r="A983" s="60">
        <f>ROW() - ROW(Table1[[#Headers],[s]])</f>
        <v>982</v>
      </c>
      <c r="B983" t="s">
        <v>4009</v>
      </c>
      <c r="C983" s="272">
        <v>46174</v>
      </c>
      <c r="D983" s="19" t="s">
        <v>4010</v>
      </c>
      <c r="E983" t="e" vm="120">
        <v>#VALUE!</v>
      </c>
      <c r="F983" t="e" vm="12">
        <v>#VALUE!</v>
      </c>
      <c r="G983" s="5" t="s">
        <v>186</v>
      </c>
      <c r="H983" t="s">
        <v>152</v>
      </c>
      <c r="I983" t="s">
        <v>43</v>
      </c>
      <c r="J983" s="18" t="s">
        <v>153</v>
      </c>
      <c r="K983" s="18" t="s">
        <v>154</v>
      </c>
      <c r="L983" s="20">
        <v>46180.472916666666</v>
      </c>
      <c r="M983" s="18" t="s">
        <v>55</v>
      </c>
      <c r="N983" s="18" t="s">
        <v>55</v>
      </c>
      <c r="O983" s="3">
        <v>46180.708333333336</v>
      </c>
      <c r="P983" s="20">
        <v>46180.715277777781</v>
      </c>
      <c r="Q983" s="22">
        <v>46180.801388888889</v>
      </c>
      <c r="S983" s="21" t="s">
        <v>3010</v>
      </c>
      <c r="T983" s="18" t="s">
        <v>3011</v>
      </c>
      <c r="V983" s="21" t="s">
        <v>4011</v>
      </c>
      <c r="Y983" t="s">
        <v>158</v>
      </c>
      <c r="Z983" t="s">
        <v>70</v>
      </c>
    </row>
    <row r="984" spans="1:27" ht="15" customHeight="1">
      <c r="A984" s="60">
        <f>ROW() - ROW(Table1[[#Headers],[s]])</f>
        <v>983</v>
      </c>
      <c r="B984" t="s">
        <v>4012</v>
      </c>
      <c r="C984" s="272">
        <v>46174</v>
      </c>
      <c r="D984" s="19" t="s">
        <v>4013</v>
      </c>
      <c r="E984" t="e" vm="247">
        <v>#VALUE!</v>
      </c>
      <c r="F984" t="e" vm="21">
        <v>#VALUE!</v>
      </c>
      <c r="G984" s="5" t="s">
        <v>186</v>
      </c>
      <c r="H984" t="s">
        <v>152</v>
      </c>
      <c r="I984" t="s">
        <v>43</v>
      </c>
      <c r="J984" s="18" t="s">
        <v>153</v>
      </c>
      <c r="K984" s="18" t="s">
        <v>154</v>
      </c>
      <c r="L984" s="20">
        <v>46180.585416666669</v>
      </c>
      <c r="M984" s="18" t="s">
        <v>39</v>
      </c>
      <c r="N984" s="18" t="s">
        <v>39</v>
      </c>
      <c r="O984" s="3">
        <v>46180.75</v>
      </c>
      <c r="P984" s="20">
        <v>46180.756944444445</v>
      </c>
      <c r="Q984" s="22">
        <v>46180.806944444441</v>
      </c>
      <c r="S984" s="21" t="s">
        <v>4014</v>
      </c>
      <c r="T984" s="18" t="s">
        <v>478</v>
      </c>
      <c r="V984" s="21" t="s">
        <v>4015</v>
      </c>
      <c r="Y984" t="s">
        <v>158</v>
      </c>
      <c r="Z984" t="s">
        <v>70</v>
      </c>
    </row>
    <row r="985" spans="1:27" ht="15" customHeight="1">
      <c r="A985" s="60">
        <f>ROW() - ROW(Table1[[#Headers],[s]])</f>
        <v>984</v>
      </c>
      <c r="B985" t="s">
        <v>4016</v>
      </c>
      <c r="C985" s="272" t="s">
        <v>60</v>
      </c>
      <c r="D985" s="19" t="s">
        <v>4017</v>
      </c>
      <c r="E985" t="e" vm="58">
        <v>#VALUE!</v>
      </c>
      <c r="F985" t="e" vm="25">
        <v>#VALUE!</v>
      </c>
      <c r="G985" s="5" t="s">
        <v>186</v>
      </c>
      <c r="H985" t="s">
        <v>152</v>
      </c>
      <c r="I985" t="s">
        <v>43</v>
      </c>
      <c r="J985" s="18" t="s">
        <v>153</v>
      </c>
      <c r="K985" s="18" t="s">
        <v>154</v>
      </c>
      <c r="L985" s="20">
        <v>46180.584722222222</v>
      </c>
      <c r="M985" s="18" t="s">
        <v>566</v>
      </c>
      <c r="N985" s="18" t="s">
        <v>566</v>
      </c>
      <c r="O985" s="3">
        <v>46180.708333333336</v>
      </c>
      <c r="P985" s="20">
        <v>46180.715277777781</v>
      </c>
      <c r="Q985" s="22">
        <v>46180.761805555558</v>
      </c>
      <c r="S985" s="21" t="s">
        <v>4018</v>
      </c>
      <c r="T985" s="18" t="s">
        <v>478</v>
      </c>
      <c r="V985" s="21" t="s">
        <v>4019</v>
      </c>
      <c r="Y985" t="s">
        <v>158</v>
      </c>
      <c r="Z985" t="s">
        <v>70</v>
      </c>
    </row>
    <row r="986" spans="1:27" ht="15" customHeight="1">
      <c r="A986" s="60">
        <f>ROW() - ROW(Table1[[#Headers],[s]])</f>
        <v>985</v>
      </c>
      <c r="B986" t="s">
        <v>4020</v>
      </c>
      <c r="C986" s="272">
        <v>46174</v>
      </c>
      <c r="D986" s="19" t="s">
        <v>4021</v>
      </c>
      <c r="E986" t="e" vm="58">
        <v>#VALUE!</v>
      </c>
      <c r="F986" t="e" vm="25">
        <v>#VALUE!</v>
      </c>
      <c r="G986" s="5" t="s">
        <v>186</v>
      </c>
      <c r="H986" t="s">
        <v>152</v>
      </c>
      <c r="I986" t="s">
        <v>43</v>
      </c>
      <c r="J986" s="18" t="s">
        <v>153</v>
      </c>
      <c r="K986" s="18" t="s">
        <v>154</v>
      </c>
      <c r="L986" s="20">
        <v>46180.705555555556</v>
      </c>
      <c r="M986" s="18" t="s">
        <v>566</v>
      </c>
      <c r="N986" s="18" t="s">
        <v>566</v>
      </c>
      <c r="O986" s="3">
        <v>46180.791666666664</v>
      </c>
      <c r="P986" s="20">
        <v>46180.798611111109</v>
      </c>
      <c r="Q986" s="22">
        <v>46180.875</v>
      </c>
      <c r="S986" s="21" t="s">
        <v>4022</v>
      </c>
      <c r="T986" s="18" t="s">
        <v>478</v>
      </c>
      <c r="V986" s="21" t="s">
        <v>4023</v>
      </c>
      <c r="Y986" t="s">
        <v>203</v>
      </c>
      <c r="Z986" t="s">
        <v>70</v>
      </c>
    </row>
    <row r="987" spans="1:27" ht="15" customHeight="1">
      <c r="A987" s="60">
        <f>ROW() - ROW(Table1[[#Headers],[s]])</f>
        <v>986</v>
      </c>
      <c r="B987" t="s">
        <v>4024</v>
      </c>
      <c r="C987" s="272">
        <v>46174</v>
      </c>
      <c r="D987" s="19" t="s">
        <v>4025</v>
      </c>
      <c r="E987" t="e" vm="266">
        <v>#VALUE!</v>
      </c>
      <c r="F987" t="e" vm="17">
        <v>#VALUE!</v>
      </c>
      <c r="G987" s="5" t="s">
        <v>186</v>
      </c>
      <c r="H987" t="s">
        <v>152</v>
      </c>
      <c r="I987" t="s">
        <v>43</v>
      </c>
      <c r="J987" s="18" t="s">
        <v>153</v>
      </c>
      <c r="K987" s="18" t="s">
        <v>154</v>
      </c>
      <c r="L987" s="20">
        <v>46180.705555555556</v>
      </c>
      <c r="M987" s="169" t="s">
        <v>1484</v>
      </c>
      <c r="N987" s="169" t="s">
        <v>1484</v>
      </c>
      <c r="O987" s="20">
        <v>46181.375</v>
      </c>
      <c r="P987" s="20">
        <v>46181.388888888891</v>
      </c>
      <c r="Q987" s="20">
        <v>46181.490277777775</v>
      </c>
      <c r="R987">
        <v>24</v>
      </c>
      <c r="S987" s="240" t="s">
        <v>4026</v>
      </c>
      <c r="T987" s="55" t="s">
        <v>179</v>
      </c>
      <c r="V987" s="240" t="s">
        <v>4027</v>
      </c>
      <c r="W987" t="s">
        <v>4028</v>
      </c>
      <c r="Y987" t="s">
        <v>158</v>
      </c>
      <c r="Z987" t="s">
        <v>70</v>
      </c>
    </row>
    <row r="988" spans="1:27" ht="15" hidden="1" customHeight="1">
      <c r="A988" s="60">
        <f>ROW() - ROW(Table1[[#Headers],[s]])</f>
        <v>987</v>
      </c>
      <c r="B988" t="s">
        <v>4029</v>
      </c>
      <c r="C988" s="272">
        <v>46174</v>
      </c>
      <c r="D988" s="19" t="s">
        <v>4030</v>
      </c>
      <c r="E988" t="e" vm="277">
        <v>#VALUE!</v>
      </c>
      <c r="F988" t="e" vm="2">
        <v>#VALUE!</v>
      </c>
      <c r="G988" s="5" t="s">
        <v>1057</v>
      </c>
      <c r="H988" t="s">
        <v>747</v>
      </c>
      <c r="I988" t="s">
        <v>43</v>
      </c>
      <c r="J988" s="18" t="s">
        <v>253</v>
      </c>
      <c r="K988" s="18" t="s">
        <v>154</v>
      </c>
      <c r="L988" s="20">
        <v>46181.053472222222</v>
      </c>
      <c r="M988" s="18" t="s">
        <v>162</v>
      </c>
      <c r="N988" s="18" t="s">
        <v>162</v>
      </c>
      <c r="O988" s="20">
        <v>46181.395833333336</v>
      </c>
      <c r="P988" s="20">
        <v>46181.454861111109</v>
      </c>
      <c r="Q988" s="20">
        <v>46181.513194444444</v>
      </c>
      <c r="R988">
        <v>24</v>
      </c>
      <c r="S988" s="21" t="s">
        <v>4031</v>
      </c>
      <c r="T988" s="18" t="s">
        <v>4032</v>
      </c>
      <c r="V988" s="21" t="s">
        <v>4033</v>
      </c>
      <c r="W988" t="s">
        <v>4034</v>
      </c>
      <c r="Y988" t="s">
        <v>70</v>
      </c>
      <c r="Z988" t="s">
        <v>158</v>
      </c>
    </row>
    <row r="989" spans="1:27" ht="15" hidden="1" customHeight="1">
      <c r="A989" s="60">
        <f>ROW() - ROW(Table1[[#Headers],[s]])</f>
        <v>988</v>
      </c>
      <c r="B989" t="s">
        <v>4035</v>
      </c>
      <c r="C989" s="272">
        <v>46174</v>
      </c>
      <c r="D989" s="19" t="s">
        <v>4036</v>
      </c>
      <c r="E989" t="e" vm="80">
        <v>#VALUE!</v>
      </c>
      <c r="F989" t="e" vm="10">
        <v>#VALUE!</v>
      </c>
      <c r="G989" s="5" t="s">
        <v>1057</v>
      </c>
      <c r="H989" t="s">
        <v>152</v>
      </c>
      <c r="I989" t="s">
        <v>43</v>
      </c>
      <c r="J989" s="18" t="s">
        <v>153</v>
      </c>
      <c r="K989" s="18" t="s">
        <v>154</v>
      </c>
      <c r="L989" s="20">
        <v>46181.386111111111</v>
      </c>
      <c r="M989" s="18" t="s">
        <v>78</v>
      </c>
      <c r="N989" s="55" t="s">
        <v>78</v>
      </c>
      <c r="O989" s="20">
        <v>46181.666666666664</v>
      </c>
      <c r="P989" s="20">
        <v>46181.704861111109</v>
      </c>
      <c r="Q989" s="20">
        <v>46181.760416666664</v>
      </c>
      <c r="R989">
        <v>24</v>
      </c>
      <c r="S989" s="21" t="s">
        <v>4037</v>
      </c>
      <c r="T989" s="18" t="s">
        <v>478</v>
      </c>
      <c r="V989" s="21" t="s">
        <v>4038</v>
      </c>
      <c r="W989" t="s">
        <v>4039</v>
      </c>
      <c r="Y989" t="s">
        <v>158</v>
      </c>
      <c r="Z989" t="s">
        <v>70</v>
      </c>
    </row>
    <row r="990" spans="1:27" ht="15" hidden="1" customHeight="1">
      <c r="A990" s="60">
        <f>ROW() - ROW(Table1[[#Headers],[s]])</f>
        <v>989</v>
      </c>
      <c r="B990" t="s">
        <v>4040</v>
      </c>
      <c r="C990" s="272">
        <v>46174</v>
      </c>
      <c r="D990" s="19" t="s">
        <v>4041</v>
      </c>
      <c r="E990" t="e" vm="278">
        <v>#VALUE!</v>
      </c>
      <c r="F990" t="e" vm="37">
        <v>#VALUE!</v>
      </c>
      <c r="G990" s="5" t="s">
        <v>1057</v>
      </c>
      <c r="H990" t="s">
        <v>152</v>
      </c>
      <c r="I990" t="s">
        <v>43</v>
      </c>
      <c r="J990" s="18" t="s">
        <v>153</v>
      </c>
      <c r="K990" s="18" t="s">
        <v>154</v>
      </c>
      <c r="L990" s="20">
        <v>46181.418749999997</v>
      </c>
      <c r="M990" s="18" t="s">
        <v>4042</v>
      </c>
      <c r="N990" s="18" t="s">
        <v>4042</v>
      </c>
      <c r="O990" s="20">
        <v>46181.5625</v>
      </c>
      <c r="P990" s="20">
        <v>46181.570138888892</v>
      </c>
      <c r="Q990" s="20">
        <v>46181.583333333336</v>
      </c>
      <c r="R990">
        <v>12</v>
      </c>
      <c r="S990" s="21" t="s">
        <v>4043</v>
      </c>
      <c r="T990" s="55" t="s">
        <v>179</v>
      </c>
      <c r="V990" s="21" t="s">
        <v>4044</v>
      </c>
      <c r="Y990" t="s">
        <v>158</v>
      </c>
      <c r="Z990" t="s">
        <v>70</v>
      </c>
    </row>
    <row r="991" spans="1:27" ht="15" hidden="1" customHeight="1">
      <c r="A991" s="60">
        <f>ROW() - ROW(Table1[[#Headers],[s]])</f>
        <v>990</v>
      </c>
      <c r="B991" t="s">
        <v>4045</v>
      </c>
      <c r="C991" s="23" t="s">
        <v>60</v>
      </c>
      <c r="D991" s="52" t="s">
        <v>4046</v>
      </c>
      <c r="E991" t="e" vm="80">
        <v>#VALUE!</v>
      </c>
      <c r="F991" t="e" vm="10">
        <v>#VALUE!</v>
      </c>
      <c r="G991" s="5" t="s">
        <v>1057</v>
      </c>
      <c r="H991" t="s">
        <v>152</v>
      </c>
      <c r="I991" t="s">
        <v>4047</v>
      </c>
      <c r="J991" s="18" t="s">
        <v>153</v>
      </c>
      <c r="K991" s="42" t="s">
        <v>154</v>
      </c>
      <c r="L991" s="20">
        <v>46181.465277777781</v>
      </c>
      <c r="M991" s="18" t="s">
        <v>78</v>
      </c>
      <c r="N991" s="55" t="s">
        <v>78</v>
      </c>
      <c r="O991" s="20">
        <v>46181.666666666664</v>
      </c>
      <c r="P991" s="20">
        <v>46181.704861111109</v>
      </c>
      <c r="Q991" s="20">
        <v>46181.760416666664</v>
      </c>
      <c r="R991">
        <v>24</v>
      </c>
      <c r="S991" s="21" t="s">
        <v>4047</v>
      </c>
      <c r="T991" s="55" t="s">
        <v>179</v>
      </c>
      <c r="V991" s="53"/>
      <c r="Y991" t="s">
        <v>179</v>
      </c>
      <c r="Z991" t="s">
        <v>179</v>
      </c>
    </row>
    <row r="992" spans="1:27" ht="15" hidden="1" customHeight="1">
      <c r="A992" s="60">
        <f>ROW() - ROW(Table1[[#Headers],[s]])</f>
        <v>991</v>
      </c>
      <c r="B992" t="s">
        <v>4048</v>
      </c>
      <c r="C992" s="272">
        <v>46174</v>
      </c>
      <c r="D992" s="19" t="s">
        <v>4049</v>
      </c>
      <c r="E992" t="e" vm="279">
        <v>#VALUE!</v>
      </c>
      <c r="F992" t="e" vm="16">
        <v>#VALUE!</v>
      </c>
      <c r="G992" s="5" t="s">
        <v>1057</v>
      </c>
      <c r="H992" t="s">
        <v>747</v>
      </c>
      <c r="I992" t="s">
        <v>43</v>
      </c>
      <c r="J992" s="18" t="s">
        <v>253</v>
      </c>
      <c r="K992" s="18" t="s">
        <v>154</v>
      </c>
      <c r="L992" s="20">
        <v>46181.631944444445</v>
      </c>
      <c r="M992" s="55" t="s">
        <v>4050</v>
      </c>
      <c r="N992" s="55" t="s">
        <v>4050</v>
      </c>
      <c r="O992" s="20">
        <v>46181.677083333336</v>
      </c>
      <c r="P992" s="20">
        <v>46181.688888888886</v>
      </c>
      <c r="Q992" s="20">
        <v>46181.739583333336</v>
      </c>
      <c r="R992">
        <v>24</v>
      </c>
      <c r="S992" s="21" t="s">
        <v>4051</v>
      </c>
      <c r="T992" s="55" t="s">
        <v>179</v>
      </c>
      <c r="V992" s="21" t="s">
        <v>4052</v>
      </c>
      <c r="W992" t="s">
        <v>4053</v>
      </c>
      <c r="Y992" t="s">
        <v>158</v>
      </c>
      <c r="Z992" t="s">
        <v>70</v>
      </c>
    </row>
    <row r="993" spans="1:26" ht="15" hidden="1" customHeight="1">
      <c r="A993" s="60">
        <f>ROW() - ROW(Table1[[#Headers],[s]])</f>
        <v>992</v>
      </c>
      <c r="B993" t="s">
        <v>4054</v>
      </c>
      <c r="C993" s="23" t="s">
        <v>60</v>
      </c>
      <c r="D993" s="19" t="s">
        <v>4055</v>
      </c>
      <c r="E993" t="e" vm="80">
        <v>#VALUE!</v>
      </c>
      <c r="F993" t="e" vm="10">
        <v>#VALUE!</v>
      </c>
      <c r="G993" s="5" t="s">
        <v>1057</v>
      </c>
      <c r="H993" t="s">
        <v>152</v>
      </c>
      <c r="I993" t="s">
        <v>4047</v>
      </c>
      <c r="J993" s="18" t="s">
        <v>153</v>
      </c>
      <c r="K993" s="42" t="s">
        <v>154</v>
      </c>
      <c r="L993" s="20">
        <v>46181.662499999999</v>
      </c>
      <c r="M993" s="18" t="s">
        <v>78</v>
      </c>
      <c r="N993" s="55" t="s">
        <v>78</v>
      </c>
      <c r="O993" s="20">
        <v>46181.666666666664</v>
      </c>
      <c r="P993" s="20">
        <v>46181.704861111109</v>
      </c>
      <c r="Q993" s="20">
        <v>46181.760416666664</v>
      </c>
      <c r="R993">
        <v>24</v>
      </c>
      <c r="S993" s="21" t="s">
        <v>4047</v>
      </c>
      <c r="T993" s="55" t="s">
        <v>179</v>
      </c>
      <c r="Y993" t="s">
        <v>179</v>
      </c>
      <c r="Z993" t="s">
        <v>179</v>
      </c>
    </row>
    <row r="994" spans="1:26" ht="15" hidden="1" customHeight="1">
      <c r="A994" s="60">
        <f>ROW() - ROW(Table1[[#Headers],[s]])</f>
        <v>993</v>
      </c>
      <c r="B994" t="s">
        <v>4056</v>
      </c>
      <c r="C994" s="272">
        <v>46174</v>
      </c>
      <c r="D994" s="19" t="s">
        <v>4057</v>
      </c>
      <c r="E994" t="e" vm="9">
        <v>#VALUE!</v>
      </c>
      <c r="F994" t="e" vm="10">
        <v>#VALUE!</v>
      </c>
      <c r="G994" s="5" t="s">
        <v>1057</v>
      </c>
      <c r="H994" t="s">
        <v>152</v>
      </c>
      <c r="I994" t="s">
        <v>43</v>
      </c>
      <c r="J994" s="18" t="s">
        <v>153</v>
      </c>
      <c r="K994" s="18" t="s">
        <v>154</v>
      </c>
      <c r="L994" s="20">
        <v>46181.675000000003</v>
      </c>
      <c r="M994" s="18" t="s">
        <v>78</v>
      </c>
      <c r="N994" s="55" t="s">
        <v>78</v>
      </c>
      <c r="O994" s="20">
        <v>46181.78125</v>
      </c>
      <c r="P994" s="20">
        <v>46181.789583333331</v>
      </c>
      <c r="Q994" s="20">
        <v>46181.791666666664</v>
      </c>
      <c r="R994">
        <v>12</v>
      </c>
      <c r="S994" s="21" t="s">
        <v>4058</v>
      </c>
      <c r="T994" s="55" t="s">
        <v>179</v>
      </c>
      <c r="V994" s="21" t="s">
        <v>4059</v>
      </c>
      <c r="Y994" t="s">
        <v>158</v>
      </c>
      <c r="Z994" t="s">
        <v>70</v>
      </c>
    </row>
    <row r="995" spans="1:26" ht="15" hidden="1" customHeight="1">
      <c r="A995" s="60">
        <f>ROW() - ROW(Table1[[#Headers],[s]])</f>
        <v>994</v>
      </c>
      <c r="B995" t="s">
        <v>4060</v>
      </c>
      <c r="C995" s="272">
        <v>46174</v>
      </c>
      <c r="D995" s="19" t="s">
        <v>4061</v>
      </c>
      <c r="E995" t="e" vm="274">
        <v>#VALUE!</v>
      </c>
      <c r="F995" t="e" vm="2">
        <v>#VALUE!</v>
      </c>
      <c r="G995" s="5" t="s">
        <v>1057</v>
      </c>
      <c r="H995" t="s">
        <v>152</v>
      </c>
      <c r="I995" t="s">
        <v>43</v>
      </c>
      <c r="J995" s="18" t="s">
        <v>153</v>
      </c>
      <c r="K995" s="18" t="s">
        <v>154</v>
      </c>
      <c r="L995" s="20">
        <v>46181.678472222222</v>
      </c>
      <c r="M995" s="18" t="s">
        <v>162</v>
      </c>
      <c r="N995" s="18" t="s">
        <v>162</v>
      </c>
      <c r="O995" s="20">
        <v>46181.833333333336</v>
      </c>
      <c r="P995" s="20">
        <v>46182.340277777781</v>
      </c>
      <c r="Q995" s="20">
        <v>46182.354166666664</v>
      </c>
      <c r="R995">
        <v>12</v>
      </c>
      <c r="S995" s="21" t="s">
        <v>4062</v>
      </c>
      <c r="T995" s="18" t="s">
        <v>478</v>
      </c>
      <c r="V995" s="21" t="s">
        <v>4063</v>
      </c>
      <c r="Y995" t="s">
        <v>158</v>
      </c>
      <c r="Z995" t="s">
        <v>70</v>
      </c>
    </row>
    <row r="996" spans="1:26" s="24" customFormat="1" ht="15" hidden="1" customHeight="1">
      <c r="A996" s="87">
        <f>ROW() - ROW(Table1[[#Headers],[s]])</f>
        <v>995</v>
      </c>
      <c r="B996" s="24" t="s">
        <v>4064</v>
      </c>
      <c r="C996" s="366">
        <v>46174</v>
      </c>
      <c r="D996" s="242" t="s">
        <v>4065</v>
      </c>
      <c r="E996" s="24" t="e" vm="268">
        <v>#VALUE!</v>
      </c>
      <c r="F996" s="24" t="e" vm="49">
        <v>#VALUE!</v>
      </c>
      <c r="G996" s="256" t="s">
        <v>174</v>
      </c>
      <c r="H996" s="24" t="s">
        <v>152</v>
      </c>
      <c r="J996" s="259" t="s">
        <v>253</v>
      </c>
      <c r="K996" s="259" t="s">
        <v>4066</v>
      </c>
      <c r="L996" s="258">
        <v>46181.758333333331</v>
      </c>
      <c r="M996" s="259" t="s">
        <v>227</v>
      </c>
      <c r="N996" s="259" t="s">
        <v>44</v>
      </c>
      <c r="O996" s="258">
        <v>46181.90625</v>
      </c>
      <c r="P996" s="258"/>
      <c r="Q996" s="346">
        <v>46182.932638888888</v>
      </c>
      <c r="R996" s="24">
        <v>24</v>
      </c>
      <c r="S996" s="345" t="s">
        <v>4067</v>
      </c>
      <c r="T996" s="259" t="s">
        <v>4068</v>
      </c>
      <c r="V996" s="345" t="s">
        <v>4069</v>
      </c>
      <c r="Y996" s="24" t="s">
        <v>70</v>
      </c>
      <c r="Z996" s="24" t="s">
        <v>158</v>
      </c>
    </row>
    <row r="997" spans="1:26" ht="15" hidden="1" customHeight="1">
      <c r="A997" s="60">
        <f>ROW() - ROW(Table1[[#Headers],[s]])</f>
        <v>996</v>
      </c>
      <c r="B997" t="s">
        <v>4070</v>
      </c>
      <c r="C997" s="23" t="s">
        <v>60</v>
      </c>
      <c r="D997" s="19" t="s">
        <v>4071</v>
      </c>
      <c r="E997" t="e" vm="22">
        <v>#VALUE!</v>
      </c>
      <c r="F997" s="42" t="e" vm="22">
        <v>#VALUE!</v>
      </c>
      <c r="G997" s="5" t="s">
        <v>1057</v>
      </c>
      <c r="H997" t="s">
        <v>747</v>
      </c>
      <c r="I997" s="5" t="s">
        <v>60</v>
      </c>
      <c r="J997" s="18" t="s">
        <v>253</v>
      </c>
      <c r="K997" s="18" t="s">
        <v>4072</v>
      </c>
      <c r="L997" s="20">
        <v>46181.93472222222</v>
      </c>
      <c r="N997" s="18"/>
      <c r="O997" s="3"/>
      <c r="P997" s="20"/>
      <c r="S997" s="21" t="s">
        <v>4072</v>
      </c>
      <c r="T997" s="55" t="s">
        <v>179</v>
      </c>
      <c r="Y997" t="s">
        <v>179</v>
      </c>
      <c r="Z997" t="s">
        <v>179</v>
      </c>
    </row>
    <row r="998" spans="1:26" ht="15" hidden="1" customHeight="1">
      <c r="A998" s="60">
        <f>ROW() - ROW(Table1[[#Headers],[s]])</f>
        <v>997</v>
      </c>
      <c r="B998" t="s">
        <v>4073</v>
      </c>
      <c r="C998" s="272">
        <v>46174</v>
      </c>
      <c r="D998" s="19" t="s">
        <v>4074</v>
      </c>
      <c r="E998" t="e" vm="201">
        <v>#VALUE!</v>
      </c>
      <c r="F998" t="e" vm="16">
        <v>#VALUE!</v>
      </c>
      <c r="G998" s="5" t="s">
        <v>174</v>
      </c>
      <c r="H998" t="s">
        <v>152</v>
      </c>
      <c r="K998" s="18" t="s">
        <v>154</v>
      </c>
      <c r="L998" s="20">
        <v>46182.427777777775</v>
      </c>
      <c r="M998" s="18" t="s">
        <v>58</v>
      </c>
      <c r="N998" s="18" t="s">
        <v>58</v>
      </c>
      <c r="O998" s="20">
        <v>46182.5</v>
      </c>
      <c r="P998" s="20">
        <v>46182.53125</v>
      </c>
      <c r="Q998" s="20">
        <v>46182.569444444445</v>
      </c>
      <c r="S998" s="21" t="s">
        <v>477</v>
      </c>
      <c r="T998" s="18" t="s">
        <v>478</v>
      </c>
      <c r="V998" s="21" t="s">
        <v>4075</v>
      </c>
      <c r="Y998" t="s">
        <v>158</v>
      </c>
      <c r="Z998" t="s">
        <v>70</v>
      </c>
    </row>
    <row r="999" spans="1:26" ht="15" hidden="1" customHeight="1">
      <c r="A999" s="60">
        <f>ROW() - ROW(Table1[[#Headers],[s]])</f>
        <v>998</v>
      </c>
      <c r="B999" t="s">
        <v>4076</v>
      </c>
      <c r="C999" s="272">
        <v>46174</v>
      </c>
      <c r="D999" s="19" t="s">
        <v>4077</v>
      </c>
      <c r="E999" t="e" vm="280">
        <v>#VALUE!</v>
      </c>
      <c r="F999" t="e" vm="49">
        <v>#VALUE!</v>
      </c>
      <c r="G999" s="5" t="s">
        <v>36</v>
      </c>
      <c r="H999" t="s">
        <v>747</v>
      </c>
      <c r="I999" t="s">
        <v>43</v>
      </c>
      <c r="J999" s="18" t="s">
        <v>253</v>
      </c>
      <c r="K999" s="18" t="s">
        <v>154</v>
      </c>
      <c r="L999" s="20">
        <v>46182.45416666667</v>
      </c>
      <c r="M999" s="169" t="s">
        <v>1484</v>
      </c>
      <c r="N999" s="169" t="s">
        <v>1484</v>
      </c>
      <c r="O999" s="3"/>
      <c r="P999" s="20"/>
      <c r="Q999" s="22">
        <v>46183.726388888892</v>
      </c>
      <c r="S999" s="21" t="s">
        <v>4078</v>
      </c>
      <c r="T999" s="18" t="s">
        <v>4079</v>
      </c>
      <c r="V999" s="21" t="s">
        <v>4080</v>
      </c>
      <c r="Y999" t="s">
        <v>70</v>
      </c>
      <c r="Z999" t="s">
        <v>158</v>
      </c>
    </row>
    <row r="1000" spans="1:26" ht="15" hidden="1" customHeight="1">
      <c r="A1000" s="60">
        <f>ROW() - ROW(Table1[[#Headers],[s]])</f>
        <v>999</v>
      </c>
      <c r="B1000" t="s">
        <v>4081</v>
      </c>
      <c r="C1000" s="272">
        <v>46174</v>
      </c>
      <c r="D1000" s="19" t="s">
        <v>4082</v>
      </c>
      <c r="E1000" t="e" vm="238">
        <v>#VALUE!</v>
      </c>
      <c r="F1000" t="e" vm="10">
        <v>#VALUE!</v>
      </c>
      <c r="G1000" s="5" t="s">
        <v>174</v>
      </c>
      <c r="H1000" t="s">
        <v>152</v>
      </c>
      <c r="K1000" s="18" t="s">
        <v>154</v>
      </c>
      <c r="L1000" s="20">
        <v>46182.518750000003</v>
      </c>
      <c r="M1000" s="18" t="s">
        <v>2043</v>
      </c>
      <c r="N1000" s="55" t="s">
        <v>78</v>
      </c>
      <c r="O1000" s="20">
        <v>46182.576388888891</v>
      </c>
      <c r="P1000" s="20">
        <v>46182.59375</v>
      </c>
      <c r="Q1000" s="20">
        <v>46182.645833333336</v>
      </c>
      <c r="S1000" s="21" t="s">
        <v>4083</v>
      </c>
      <c r="T1000" s="18" t="s">
        <v>478</v>
      </c>
      <c r="V1000" s="21" t="s">
        <v>4084</v>
      </c>
      <c r="Y1000" t="s">
        <v>158</v>
      </c>
      <c r="Z1000" t="s">
        <v>70</v>
      </c>
    </row>
    <row r="1001" spans="1:26" ht="15" hidden="1" customHeight="1">
      <c r="A1001" s="60">
        <f>ROW() - ROW(Table1[[#Headers],[s]])</f>
        <v>1000</v>
      </c>
      <c r="B1001" t="s">
        <v>4085</v>
      </c>
      <c r="C1001" s="272">
        <v>46174</v>
      </c>
      <c r="D1001" s="19" t="s">
        <v>4086</v>
      </c>
      <c r="E1001" t="e" vm="112">
        <v>#VALUE!</v>
      </c>
      <c r="F1001" t="e" vm="39">
        <v>#VALUE!</v>
      </c>
      <c r="G1001" s="5" t="s">
        <v>174</v>
      </c>
      <c r="H1001" t="s">
        <v>245</v>
      </c>
      <c r="J1001" s="18" t="s">
        <v>253</v>
      </c>
      <c r="K1001" s="18" t="s">
        <v>4087</v>
      </c>
      <c r="L1001" s="20">
        <v>46182.559027777781</v>
      </c>
      <c r="M1001" s="18" t="s">
        <v>3190</v>
      </c>
      <c r="N1001" s="18" t="s">
        <v>3190</v>
      </c>
      <c r="O1001" s="20">
        <v>46182.642361111109</v>
      </c>
      <c r="P1001" s="20">
        <v>46182.684027777781</v>
      </c>
      <c r="Q1001" s="20">
        <v>46182.976388888892</v>
      </c>
      <c r="S1001" s="21" t="s">
        <v>4088</v>
      </c>
      <c r="T1001" s="55" t="s">
        <v>179</v>
      </c>
      <c r="V1001" s="21" t="s">
        <v>4089</v>
      </c>
      <c r="X1001" t="s">
        <v>4090</v>
      </c>
      <c r="Y1001" t="s">
        <v>158</v>
      </c>
      <c r="Z1001" t="s">
        <v>70</v>
      </c>
    </row>
    <row r="1002" spans="1:26" ht="15" hidden="1" customHeight="1">
      <c r="A1002" s="60">
        <f>ROW() - ROW(Table1[[#Headers],[s]])</f>
        <v>1001</v>
      </c>
      <c r="B1002" t="s">
        <v>4091</v>
      </c>
      <c r="C1002" s="272">
        <v>46174</v>
      </c>
      <c r="D1002" s="19" t="s">
        <v>4092</v>
      </c>
      <c r="E1002" t="e" vm="68">
        <v>#VALUE!</v>
      </c>
      <c r="F1002" t="e" vm="26">
        <v>#VALUE!</v>
      </c>
      <c r="G1002" s="5" t="s">
        <v>36</v>
      </c>
      <c r="H1002" t="s">
        <v>152</v>
      </c>
      <c r="I1002" t="s">
        <v>43</v>
      </c>
      <c r="J1002" s="18" t="s">
        <v>153</v>
      </c>
      <c r="K1002" s="18" t="s">
        <v>154</v>
      </c>
      <c r="L1002" s="20">
        <v>46182.587500000001</v>
      </c>
      <c r="M1002" s="18" t="s">
        <v>3633</v>
      </c>
      <c r="N1002" s="18" t="s">
        <v>3633</v>
      </c>
      <c r="O1002" s="3"/>
      <c r="P1002" s="20"/>
      <c r="Q1002" s="22">
        <v>46183.541666666664</v>
      </c>
      <c r="S1002" s="21" t="s">
        <v>4093</v>
      </c>
      <c r="T1002" s="18" t="s">
        <v>164</v>
      </c>
      <c r="V1002" s="21" t="s">
        <v>4094</v>
      </c>
      <c r="Y1002" t="s">
        <v>158</v>
      </c>
      <c r="Z1002" t="s">
        <v>70</v>
      </c>
    </row>
    <row r="1003" spans="1:26" ht="15" hidden="1" customHeight="1">
      <c r="A1003" s="60">
        <f>ROW() - ROW(Table1[[#Headers],[s]])</f>
        <v>1002</v>
      </c>
      <c r="B1003" t="s">
        <v>4095</v>
      </c>
      <c r="C1003" s="272">
        <v>46174</v>
      </c>
      <c r="D1003" s="19" t="s">
        <v>4096</v>
      </c>
      <c r="E1003" t="e" vm="125">
        <v>#VALUE!</v>
      </c>
      <c r="F1003" t="e" vm="25">
        <v>#VALUE!</v>
      </c>
      <c r="G1003" s="5" t="s">
        <v>174</v>
      </c>
      <c r="H1003" t="s">
        <v>152</v>
      </c>
      <c r="K1003" s="18" t="s">
        <v>154</v>
      </c>
      <c r="L1003" s="20">
        <v>46182.598611111112</v>
      </c>
      <c r="M1003" s="18" t="s">
        <v>72</v>
      </c>
      <c r="N1003" s="18" t="s">
        <v>72</v>
      </c>
      <c r="O1003" s="20">
        <v>46182.642361111109</v>
      </c>
      <c r="P1003" s="20">
        <v>46182.666666666664</v>
      </c>
      <c r="Q1003" s="20">
        <v>46182.6875</v>
      </c>
      <c r="S1003" s="21" t="s">
        <v>4097</v>
      </c>
      <c r="T1003" s="18" t="s">
        <v>478</v>
      </c>
      <c r="V1003" s="21" t="s">
        <v>4098</v>
      </c>
      <c r="Y1003" t="s">
        <v>158</v>
      </c>
      <c r="Z1003" t="s">
        <v>70</v>
      </c>
    </row>
    <row r="1004" spans="1:26" ht="15" hidden="1" customHeight="1">
      <c r="A1004" s="60">
        <f>ROW() - ROW(Table1[[#Headers],[s]])</f>
        <v>1003</v>
      </c>
      <c r="B1004" t="s">
        <v>4099</v>
      </c>
      <c r="C1004" s="272">
        <v>46174</v>
      </c>
      <c r="D1004" s="19" t="s">
        <v>4100</v>
      </c>
      <c r="E1004" t="e" vm="9">
        <v>#VALUE!</v>
      </c>
      <c r="F1004" t="e" vm="10">
        <v>#VALUE!</v>
      </c>
      <c r="G1004" s="5" t="s">
        <v>174</v>
      </c>
      <c r="H1004" t="s">
        <v>152</v>
      </c>
      <c r="K1004" s="18" t="s">
        <v>154</v>
      </c>
      <c r="L1004" s="20">
        <v>46182.602083333331</v>
      </c>
      <c r="M1004" s="18" t="s">
        <v>2043</v>
      </c>
      <c r="N1004" s="55" t="s">
        <v>78</v>
      </c>
      <c r="O1004" s="20">
        <v>46182.677083333336</v>
      </c>
      <c r="P1004" s="20">
        <v>46182.729166666664</v>
      </c>
      <c r="Q1004" s="20">
        <v>46182.760416666664</v>
      </c>
      <c r="S1004" s="21" t="s">
        <v>4101</v>
      </c>
      <c r="T1004" s="18" t="s">
        <v>478</v>
      </c>
      <c r="V1004" s="21" t="s">
        <v>4102</v>
      </c>
      <c r="Y1004" t="s">
        <v>158</v>
      </c>
      <c r="Z1004" t="s">
        <v>70</v>
      </c>
    </row>
    <row r="1005" spans="1:26" ht="15" hidden="1" customHeight="1">
      <c r="A1005" s="60">
        <f>ROW() - ROW(Table1[[#Headers],[s]])</f>
        <v>1004</v>
      </c>
      <c r="B1005" t="s">
        <v>4103</v>
      </c>
      <c r="C1005" s="163">
        <v>46174</v>
      </c>
      <c r="D1005" s="52" t="s">
        <v>4104</v>
      </c>
      <c r="E1005" t="e" vm="93">
        <v>#VALUE!</v>
      </c>
      <c r="F1005" t="e" vm="12">
        <v>#VALUE!</v>
      </c>
      <c r="G1005" s="5" t="s">
        <v>174</v>
      </c>
      <c r="H1005" t="s">
        <v>152</v>
      </c>
      <c r="K1005" s="18" t="s">
        <v>154</v>
      </c>
      <c r="L1005" s="20">
        <v>46182.630555555559</v>
      </c>
      <c r="M1005" s="55" t="s">
        <v>46</v>
      </c>
      <c r="N1005" s="55" t="s">
        <v>46</v>
      </c>
      <c r="O1005" s="20">
        <v>46182.708333333336</v>
      </c>
      <c r="P1005" s="20">
        <v>46182.729166666664</v>
      </c>
      <c r="Q1005" s="20">
        <v>46182.760416666664</v>
      </c>
      <c r="S1005" s="21" t="s">
        <v>4105</v>
      </c>
      <c r="T1005" s="18" t="s">
        <v>478</v>
      </c>
      <c r="V1005" s="53" t="s">
        <v>4106</v>
      </c>
      <c r="Y1005" t="s">
        <v>158</v>
      </c>
      <c r="Z1005" t="s">
        <v>70</v>
      </c>
    </row>
    <row r="1006" spans="1:26" ht="15" hidden="1" customHeight="1">
      <c r="A1006" s="60">
        <f>ROW() - ROW(Table1[[#Headers],[s]])</f>
        <v>1005</v>
      </c>
      <c r="B1006" t="s">
        <v>4107</v>
      </c>
      <c r="C1006" s="272">
        <v>46174</v>
      </c>
      <c r="D1006" s="19" t="s">
        <v>4108</v>
      </c>
      <c r="E1006" t="e" vm="73">
        <v>#VALUE!</v>
      </c>
      <c r="F1006" t="e" vm="49">
        <v>#VALUE!</v>
      </c>
      <c r="G1006" s="5" t="s">
        <v>36</v>
      </c>
      <c r="H1006" t="s">
        <v>152</v>
      </c>
      <c r="I1006" t="s">
        <v>43</v>
      </c>
      <c r="J1006" s="18" t="s">
        <v>153</v>
      </c>
      <c r="K1006" s="18" t="s">
        <v>154</v>
      </c>
      <c r="L1006" s="20">
        <v>46182.921527777777</v>
      </c>
      <c r="M1006" s="18" t="s">
        <v>227</v>
      </c>
      <c r="N1006" s="18" t="s">
        <v>227</v>
      </c>
      <c r="O1006" s="3"/>
      <c r="P1006" s="20"/>
      <c r="Q1006" s="22">
        <v>46183.458333333336</v>
      </c>
      <c r="S1006" s="21" t="s">
        <v>259</v>
      </c>
      <c r="T1006" s="18" t="s">
        <v>164</v>
      </c>
      <c r="V1006" s="21" t="s">
        <v>4109</v>
      </c>
      <c r="Y1006" t="s">
        <v>158</v>
      </c>
      <c r="Z1006" t="s">
        <v>70</v>
      </c>
    </row>
    <row r="1007" spans="1:26" ht="15" hidden="1" customHeight="1">
      <c r="A1007" s="60">
        <f>ROW() - ROW(Table1[[#Headers],[s]])</f>
        <v>1006</v>
      </c>
      <c r="B1007" t="s">
        <v>4110</v>
      </c>
      <c r="C1007" s="272">
        <v>46174</v>
      </c>
      <c r="D1007" s="19" t="s">
        <v>4111</v>
      </c>
      <c r="E1007" t="e" vm="9">
        <v>#VALUE!</v>
      </c>
      <c r="F1007" t="e" vm="10">
        <v>#VALUE!</v>
      </c>
      <c r="G1007" s="5" t="s">
        <v>36</v>
      </c>
      <c r="H1007" t="s">
        <v>152</v>
      </c>
      <c r="I1007" t="s">
        <v>43</v>
      </c>
      <c r="J1007" s="18" t="s">
        <v>153</v>
      </c>
      <c r="K1007" s="18" t="s">
        <v>154</v>
      </c>
      <c r="L1007" s="20">
        <v>46183.428472222222</v>
      </c>
      <c r="M1007" s="18" t="s">
        <v>78</v>
      </c>
      <c r="N1007" s="55" t="s">
        <v>78</v>
      </c>
      <c r="O1007" s="3"/>
      <c r="P1007" s="20"/>
      <c r="Q1007" s="22">
        <v>46183.708333333336</v>
      </c>
      <c r="S1007" s="21" t="s">
        <v>4112</v>
      </c>
      <c r="T1007" s="18" t="s">
        <v>2765</v>
      </c>
      <c r="V1007" s="21" t="s">
        <v>858</v>
      </c>
      <c r="Y1007" t="s">
        <v>158</v>
      </c>
      <c r="Z1007" t="s">
        <v>70</v>
      </c>
    </row>
    <row r="1008" spans="1:26" ht="15" hidden="1" customHeight="1">
      <c r="A1008" s="60">
        <f>ROW() - ROW(Table1[[#Headers],[s]])</f>
        <v>1007</v>
      </c>
      <c r="B1008" t="s">
        <v>4113</v>
      </c>
      <c r="C1008" s="272">
        <v>46174</v>
      </c>
      <c r="D1008" s="19" t="s">
        <v>4114</v>
      </c>
      <c r="E1008" t="e" vm="246">
        <v>#VALUE!</v>
      </c>
      <c r="F1008" t="e" vm="12">
        <v>#VALUE!</v>
      </c>
      <c r="G1008" s="5" t="s">
        <v>36</v>
      </c>
      <c r="H1008" t="s">
        <v>152</v>
      </c>
      <c r="I1008" t="s">
        <v>43</v>
      </c>
      <c r="J1008" s="18" t="s">
        <v>153</v>
      </c>
      <c r="K1008" s="18" t="s">
        <v>154</v>
      </c>
      <c r="L1008" s="20">
        <v>46183.453472222223</v>
      </c>
      <c r="M1008" s="18" t="s">
        <v>72</v>
      </c>
      <c r="N1008" s="18" t="s">
        <v>72</v>
      </c>
      <c r="O1008" s="3"/>
      <c r="P1008" s="20"/>
      <c r="Q1008" s="22">
        <v>46183.583333333336</v>
      </c>
      <c r="S1008" s="21" t="s">
        <v>4115</v>
      </c>
      <c r="T1008" s="18" t="s">
        <v>164</v>
      </c>
      <c r="V1008" s="21" t="s">
        <v>4116</v>
      </c>
      <c r="Y1008" t="s">
        <v>158</v>
      </c>
      <c r="Z1008" t="s">
        <v>70</v>
      </c>
    </row>
    <row r="1009" spans="1:26" ht="15" hidden="1" customHeight="1">
      <c r="A1009" s="60">
        <f>ROW() - ROW(Table1[[#Headers],[s]])</f>
        <v>1008</v>
      </c>
      <c r="B1009" t="s">
        <v>4117</v>
      </c>
      <c r="C1009" s="272">
        <v>46174</v>
      </c>
      <c r="D1009" s="19" t="s">
        <v>4118</v>
      </c>
      <c r="E1009" t="e" vm="70">
        <v>#VALUE!</v>
      </c>
      <c r="F1009" t="e" vm="37">
        <v>#VALUE!</v>
      </c>
      <c r="G1009" s="5" t="s">
        <v>151</v>
      </c>
      <c r="H1009" t="s">
        <v>152</v>
      </c>
      <c r="J1009" s="18" t="s">
        <v>153</v>
      </c>
      <c r="K1009" s="18" t="s">
        <v>154</v>
      </c>
      <c r="L1009" s="20">
        <v>46183.512499999997</v>
      </c>
      <c r="M1009" s="18" t="s">
        <v>81</v>
      </c>
      <c r="N1009" s="18" t="s">
        <v>1023</v>
      </c>
      <c r="O1009" s="3">
        <v>46184.729166666664</v>
      </c>
      <c r="P1009" s="20">
        <v>46184.75</v>
      </c>
      <c r="Q1009" s="22">
        <v>46184.836111111108</v>
      </c>
      <c r="S1009" s="21" t="s">
        <v>4119</v>
      </c>
      <c r="T1009" s="18" t="s">
        <v>164</v>
      </c>
      <c r="V1009" s="21" t="s">
        <v>4119</v>
      </c>
      <c r="Y1009" t="s">
        <v>158</v>
      </c>
      <c r="Z1009" t="s">
        <v>70</v>
      </c>
    </row>
    <row r="1010" spans="1:26" ht="15" hidden="1" customHeight="1">
      <c r="A1010" s="60">
        <f>ROW() - ROW(Table1[[#Headers],[s]])</f>
        <v>1009</v>
      </c>
      <c r="B1010" t="s">
        <v>4120</v>
      </c>
      <c r="C1010" s="272">
        <v>46174</v>
      </c>
      <c r="D1010" s="19" t="s">
        <v>4121</v>
      </c>
      <c r="E1010" t="e" vm="238">
        <v>#VALUE!</v>
      </c>
      <c r="F1010" t="e" vm="10">
        <v>#VALUE!</v>
      </c>
      <c r="G1010" s="5" t="s">
        <v>36</v>
      </c>
      <c r="H1010" t="s">
        <v>152</v>
      </c>
      <c r="I1010" t="s">
        <v>43</v>
      </c>
      <c r="J1010" s="18" t="s">
        <v>153</v>
      </c>
      <c r="K1010" s="18" t="s">
        <v>154</v>
      </c>
      <c r="L1010" s="20">
        <v>46183.55</v>
      </c>
      <c r="M1010" s="18" t="s">
        <v>78</v>
      </c>
      <c r="N1010" s="55" t="s">
        <v>78</v>
      </c>
      <c r="O1010" s="3"/>
      <c r="P1010" s="20"/>
      <c r="Q1010" s="22">
        <v>46183.756944444445</v>
      </c>
      <c r="S1010" s="21" t="s">
        <v>4122</v>
      </c>
      <c r="T1010" s="18" t="s">
        <v>2765</v>
      </c>
      <c r="V1010" s="21" t="s">
        <v>4123</v>
      </c>
      <c r="Y1010" t="s">
        <v>158</v>
      </c>
      <c r="Z1010" t="s">
        <v>70</v>
      </c>
    </row>
    <row r="1011" spans="1:26" ht="15" hidden="1" customHeight="1">
      <c r="A1011" s="60">
        <f>ROW() - ROW(Table1[[#Headers],[s]])</f>
        <v>1010</v>
      </c>
      <c r="B1011" t="s">
        <v>4124</v>
      </c>
      <c r="C1011" s="163">
        <v>46174</v>
      </c>
      <c r="D1011" s="52" t="s">
        <v>4125</v>
      </c>
      <c r="E1011" t="e" vm="52">
        <v>#VALUE!</v>
      </c>
      <c r="F1011" t="e" vm="25">
        <v>#VALUE!</v>
      </c>
      <c r="G1011" s="43" t="s">
        <v>36</v>
      </c>
      <c r="H1011" t="s">
        <v>152</v>
      </c>
      <c r="I1011" t="s">
        <v>43</v>
      </c>
      <c r="J1011" s="18" t="s">
        <v>153</v>
      </c>
      <c r="K1011" s="42" t="s">
        <v>154</v>
      </c>
      <c r="L1011" s="44">
        <v>46183.665277777778</v>
      </c>
      <c r="M1011" s="55" t="s">
        <v>57</v>
      </c>
      <c r="N1011" s="55" t="s">
        <v>57</v>
      </c>
      <c r="O1011" s="56"/>
      <c r="Q1011" s="58">
        <v>46183.78125</v>
      </c>
      <c r="S1011" s="345" t="s">
        <v>4126</v>
      </c>
      <c r="T1011" s="55" t="s">
        <v>164</v>
      </c>
      <c r="V1011" s="53" t="s">
        <v>3051</v>
      </c>
      <c r="Y1011" t="s">
        <v>158</v>
      </c>
      <c r="Z1011" t="s">
        <v>70</v>
      </c>
    </row>
    <row r="1012" spans="1:26" ht="15" hidden="1" customHeight="1">
      <c r="A1012" s="60">
        <f>ROW() - ROW(Table1[[#Headers],[s]])</f>
        <v>1011</v>
      </c>
      <c r="B1012" s="240" t="s">
        <v>4127</v>
      </c>
      <c r="C1012" s="163">
        <v>46174</v>
      </c>
      <c r="D1012" s="52" t="s">
        <v>4128</v>
      </c>
      <c r="E1012" t="e" vm="62">
        <v>#VALUE!</v>
      </c>
      <c r="F1012" t="e" vm="26">
        <v>#VALUE!</v>
      </c>
      <c r="G1012" s="43" t="s">
        <v>36</v>
      </c>
      <c r="H1012" t="s">
        <v>152</v>
      </c>
      <c r="I1012" s="19" t="s">
        <v>43</v>
      </c>
      <c r="J1012" s="18" t="s">
        <v>153</v>
      </c>
      <c r="K1012" s="42" t="s">
        <v>154</v>
      </c>
      <c r="L1012" s="44">
        <v>46183.738888888889</v>
      </c>
      <c r="M1012" s="55" t="s">
        <v>1662</v>
      </c>
      <c r="N1012" s="55" t="s">
        <v>1662</v>
      </c>
      <c r="O1012" s="56"/>
      <c r="Q1012" s="58">
        <v>46183.979166666664</v>
      </c>
      <c r="S1012" s="21" t="s">
        <v>4129</v>
      </c>
      <c r="T1012" s="55" t="s">
        <v>164</v>
      </c>
      <c r="V1012" s="53" t="s">
        <v>4130</v>
      </c>
      <c r="Y1012" t="s">
        <v>158</v>
      </c>
      <c r="Z1012" t="s">
        <v>158</v>
      </c>
    </row>
    <row r="1013" spans="1:26" ht="15" hidden="1" customHeight="1">
      <c r="A1013" s="60">
        <f>ROW() - ROW(Table1[[#Headers],[s]])</f>
        <v>1012</v>
      </c>
      <c r="B1013" t="s">
        <v>4131</v>
      </c>
      <c r="C1013" s="163">
        <v>46174</v>
      </c>
      <c r="D1013" s="52" t="s">
        <v>4132</v>
      </c>
      <c r="E1013" t="e" vm="58">
        <v>#VALUE!</v>
      </c>
      <c r="F1013" t="e" vm="25">
        <v>#VALUE!</v>
      </c>
      <c r="G1013" s="43" t="s">
        <v>36</v>
      </c>
      <c r="H1013" t="s">
        <v>152</v>
      </c>
      <c r="I1013" t="s">
        <v>43</v>
      </c>
      <c r="J1013" s="18" t="s">
        <v>153</v>
      </c>
      <c r="K1013" s="42" t="s">
        <v>154</v>
      </c>
      <c r="L1013" s="44">
        <v>46183.740277777775</v>
      </c>
      <c r="M1013" s="55" t="s">
        <v>72</v>
      </c>
      <c r="N1013" s="55" t="s">
        <v>72</v>
      </c>
      <c r="O1013" s="56"/>
      <c r="Q1013" s="58">
        <v>46183.875</v>
      </c>
      <c r="S1013" s="21" t="s">
        <v>4133</v>
      </c>
      <c r="T1013" s="55" t="s">
        <v>164</v>
      </c>
      <c r="V1013" s="53" t="s">
        <v>4134</v>
      </c>
      <c r="Y1013" t="s">
        <v>158</v>
      </c>
      <c r="Z1013" t="s">
        <v>70</v>
      </c>
    </row>
    <row r="1014" spans="1:26" ht="15" hidden="1" customHeight="1">
      <c r="A1014" s="60">
        <f>ROW() - ROW(Table1[[#Headers],[s]])</f>
        <v>1013</v>
      </c>
      <c r="B1014" t="s">
        <v>4135</v>
      </c>
      <c r="C1014" s="163">
        <v>46174</v>
      </c>
      <c r="D1014" s="52" t="s">
        <v>4136</v>
      </c>
      <c r="E1014" t="e" vm="110">
        <v>#VALUE!</v>
      </c>
      <c r="F1014" t="e" vm="49">
        <v>#VALUE!</v>
      </c>
      <c r="G1014" s="43" t="s">
        <v>36</v>
      </c>
      <c r="H1014" t="s">
        <v>747</v>
      </c>
      <c r="I1014" t="s">
        <v>43</v>
      </c>
      <c r="J1014" s="18" t="s">
        <v>253</v>
      </c>
      <c r="K1014" s="42" t="s">
        <v>154</v>
      </c>
      <c r="L1014" s="44">
        <v>46183.831250000003</v>
      </c>
      <c r="M1014" s="55" t="s">
        <v>4137</v>
      </c>
      <c r="N1014" s="55" t="s">
        <v>4137</v>
      </c>
      <c r="O1014" s="56"/>
      <c r="Q1014" s="58">
        <v>46184.00277777778</v>
      </c>
      <c r="S1014" s="21" t="s">
        <v>4138</v>
      </c>
      <c r="T1014" s="55" t="s">
        <v>164</v>
      </c>
      <c r="V1014" s="53" t="s">
        <v>4139</v>
      </c>
      <c r="Y1014" t="s">
        <v>158</v>
      </c>
      <c r="Z1014" t="s">
        <v>158</v>
      </c>
    </row>
    <row r="1015" spans="1:26" ht="15" hidden="1" customHeight="1">
      <c r="A1015" s="60">
        <f>ROW() - ROW(Table1[[#Headers],[s]])</f>
        <v>1014</v>
      </c>
      <c r="B1015" t="s">
        <v>4140</v>
      </c>
      <c r="C1015" s="163">
        <v>46174</v>
      </c>
      <c r="D1015" s="52" t="s">
        <v>4141</v>
      </c>
      <c r="E1015" t="e" vm="281">
        <v>#VALUE!</v>
      </c>
      <c r="F1015" t="e" vm="10">
        <v>#VALUE!</v>
      </c>
      <c r="G1015" s="43" t="s">
        <v>151</v>
      </c>
      <c r="H1015" t="s">
        <v>747</v>
      </c>
      <c r="J1015" s="18" t="s">
        <v>253</v>
      </c>
      <c r="K1015" s="42" t="s">
        <v>154</v>
      </c>
      <c r="L1015" s="44">
        <v>46184.267361111109</v>
      </c>
      <c r="M1015" s="55" t="s">
        <v>78</v>
      </c>
      <c r="N1015" s="55" t="s">
        <v>78</v>
      </c>
      <c r="O1015" s="56">
        <v>46184.482638888891</v>
      </c>
      <c r="P1015" s="2">
        <v>46184.484027777777</v>
      </c>
      <c r="Q1015" s="58">
        <v>46184.493055555555</v>
      </c>
      <c r="S1015" s="21" t="s">
        <v>4142</v>
      </c>
      <c r="T1015" s="55" t="s">
        <v>164</v>
      </c>
      <c r="V1015" s="53" t="s">
        <v>4143</v>
      </c>
      <c r="Y1015" t="s">
        <v>158</v>
      </c>
      <c r="Z1015" t="s">
        <v>70</v>
      </c>
    </row>
    <row r="1016" spans="1:26" ht="15" hidden="1" customHeight="1">
      <c r="A1016" s="60">
        <f>ROW() - ROW(Table1[[#Headers],[s]])</f>
        <v>1015</v>
      </c>
      <c r="B1016" t="s">
        <v>4144</v>
      </c>
      <c r="C1016" s="163">
        <v>46174</v>
      </c>
      <c r="D1016" s="52" t="s">
        <v>4145</v>
      </c>
      <c r="E1016" t="e" vm="245">
        <v>#VALUE!</v>
      </c>
      <c r="F1016" t="e" vm="25">
        <v>#VALUE!</v>
      </c>
      <c r="G1016" s="43" t="s">
        <v>151</v>
      </c>
      <c r="H1016" t="s">
        <v>747</v>
      </c>
      <c r="J1016" s="18" t="s">
        <v>253</v>
      </c>
      <c r="K1016" s="42" t="s">
        <v>154</v>
      </c>
      <c r="L1016" s="44">
        <v>46184.397916666669</v>
      </c>
      <c r="M1016" s="55" t="s">
        <v>72</v>
      </c>
      <c r="N1016" s="55" t="s">
        <v>72</v>
      </c>
      <c r="O1016" s="56">
        <v>46184.454861111109</v>
      </c>
      <c r="P1016" s="2">
        <v>46184.461111111108</v>
      </c>
      <c r="Q1016" s="58">
        <v>46184.849305555559</v>
      </c>
      <c r="S1016" s="21" t="s">
        <v>4146</v>
      </c>
      <c r="T1016" s="55" t="s">
        <v>164</v>
      </c>
      <c r="V1016" s="53" t="s">
        <v>4147</v>
      </c>
      <c r="Y1016" t="s">
        <v>70</v>
      </c>
      <c r="Z1016" t="s">
        <v>158</v>
      </c>
    </row>
    <row r="1017" spans="1:26" ht="15" hidden="1" customHeight="1">
      <c r="A1017" s="60">
        <f>ROW() - ROW(Table1[[#Headers],[s]])</f>
        <v>1016</v>
      </c>
      <c r="B1017" t="s">
        <v>4148</v>
      </c>
      <c r="C1017" s="272">
        <v>46174</v>
      </c>
      <c r="D1017" s="19" t="s">
        <v>4149</v>
      </c>
      <c r="E1017" t="e" vm="57">
        <v>#VALUE!</v>
      </c>
      <c r="F1017" t="e" vm="25">
        <v>#VALUE!</v>
      </c>
      <c r="G1017" s="5" t="s">
        <v>151</v>
      </c>
      <c r="H1017" t="s">
        <v>152</v>
      </c>
      <c r="J1017" s="18" t="s">
        <v>153</v>
      </c>
      <c r="K1017" t="s">
        <v>154</v>
      </c>
      <c r="L1017" s="20">
        <v>46184.489583333336</v>
      </c>
      <c r="M1017" s="18" t="s">
        <v>53</v>
      </c>
      <c r="N1017" s="18" t="s">
        <v>53</v>
      </c>
      <c r="O1017" s="3">
        <v>46184.550694444442</v>
      </c>
      <c r="P1017" s="2">
        <v>46184.554861111108</v>
      </c>
      <c r="Q1017" s="22">
        <v>46184.585416666669</v>
      </c>
      <c r="S1017" s="21" t="s">
        <v>4150</v>
      </c>
      <c r="T1017" s="18" t="s">
        <v>164</v>
      </c>
      <c r="V1017" s="21" t="s">
        <v>4150</v>
      </c>
      <c r="Y1017" t="s">
        <v>158</v>
      </c>
      <c r="Z1017" t="s">
        <v>70</v>
      </c>
    </row>
    <row r="1018" spans="1:26" ht="15" hidden="1" customHeight="1">
      <c r="A1018" s="60">
        <f>ROW() - ROW(Table1[[#Headers],[s]])</f>
        <v>1017</v>
      </c>
      <c r="B1018" t="s">
        <v>4151</v>
      </c>
      <c r="C1018" s="272">
        <v>46174</v>
      </c>
      <c r="D1018" s="19" t="s">
        <v>4152</v>
      </c>
      <c r="E1018" t="e" vm="225">
        <v>#VALUE!</v>
      </c>
      <c r="F1018" t="e" vm="21">
        <v>#VALUE!</v>
      </c>
      <c r="G1018" s="5" t="s">
        <v>151</v>
      </c>
      <c r="H1018" t="s">
        <v>747</v>
      </c>
      <c r="J1018" s="18" t="s">
        <v>253</v>
      </c>
      <c r="K1018" t="s">
        <v>154</v>
      </c>
      <c r="L1018" s="20">
        <v>46184.519444444442</v>
      </c>
      <c r="M1018" s="18" t="s">
        <v>4153</v>
      </c>
      <c r="N1018" s="18" t="s">
        <v>39</v>
      </c>
      <c r="O1018" s="3">
        <v>46184.626388888886</v>
      </c>
      <c r="P1018" s="2">
        <v>46184.626388888886</v>
      </c>
      <c r="Q1018" s="22">
        <v>46184.692361111112</v>
      </c>
      <c r="S1018" s="21" t="s">
        <v>4154</v>
      </c>
      <c r="V1018" s="21" t="s">
        <v>4155</v>
      </c>
      <c r="Y1018" t="s">
        <v>158</v>
      </c>
      <c r="Z1018" t="s">
        <v>158</v>
      </c>
    </row>
    <row r="1019" spans="1:26" ht="15" customHeight="1">
      <c r="A1019" s="60">
        <f>ROW() - ROW(Table1[[#Headers],[s]])</f>
        <v>1018</v>
      </c>
      <c r="B1019" t="s">
        <v>4156</v>
      </c>
      <c r="C1019" s="272">
        <v>46174</v>
      </c>
      <c r="D1019" s="19" t="s">
        <v>4157</v>
      </c>
      <c r="E1019" t="e" vm="240">
        <v>#VALUE!</v>
      </c>
      <c r="F1019" t="e" vm="7">
        <v>#VALUE!</v>
      </c>
      <c r="G1019" s="5" t="s">
        <v>186</v>
      </c>
      <c r="H1019" t="s">
        <v>747</v>
      </c>
      <c r="I1019" t="s">
        <v>43</v>
      </c>
      <c r="J1019" s="18" t="s">
        <v>253</v>
      </c>
      <c r="K1019" t="s">
        <v>154</v>
      </c>
      <c r="L1019" s="20">
        <v>46184.538194444445</v>
      </c>
      <c r="M1019" s="18" t="s">
        <v>1062</v>
      </c>
      <c r="N1019" s="18" t="s">
        <v>4158</v>
      </c>
      <c r="O1019" s="3">
        <v>46184.679861111108</v>
      </c>
      <c r="P1019" s="2">
        <v>46184.695138888892</v>
      </c>
      <c r="Q1019" s="22">
        <v>46185.645833333336</v>
      </c>
      <c r="S1019" s="21" t="s">
        <v>4159</v>
      </c>
      <c r="T1019" s="18" t="s">
        <v>4160</v>
      </c>
      <c r="V1019" s="21" t="s">
        <v>4161</v>
      </c>
      <c r="Y1019" t="s">
        <v>70</v>
      </c>
      <c r="Z1019" t="s">
        <v>158</v>
      </c>
    </row>
    <row r="1020" spans="1:26" ht="15" hidden="1" customHeight="1">
      <c r="A1020" s="60">
        <f>ROW() - ROW(Table1[[#Headers],[s]])</f>
        <v>1019</v>
      </c>
      <c r="B1020" t="s">
        <v>4162</v>
      </c>
      <c r="C1020" s="23" t="s">
        <v>60</v>
      </c>
      <c r="D1020" s="308" t="s">
        <v>4163</v>
      </c>
      <c r="E1020" s="232" t="e" vm="240">
        <v>#VALUE!</v>
      </c>
      <c r="F1020" s="232" t="e" vm="7">
        <v>#VALUE!</v>
      </c>
      <c r="G1020" s="5" t="s">
        <v>151</v>
      </c>
      <c r="H1020" t="s">
        <v>152</v>
      </c>
      <c r="J1020" s="18" t="s">
        <v>153</v>
      </c>
      <c r="K1020" s="42" t="s">
        <v>154</v>
      </c>
      <c r="L1020" s="20">
        <v>46184.541666666664</v>
      </c>
      <c r="N1020" s="18"/>
      <c r="O1020" s="3"/>
      <c r="S1020" s="21" t="s">
        <v>4164</v>
      </c>
      <c r="T1020" s="18" t="s">
        <v>179</v>
      </c>
      <c r="V1020" s="21" t="s">
        <v>4164</v>
      </c>
    </row>
    <row r="1021" spans="1:26" ht="15" hidden="1" customHeight="1">
      <c r="A1021" s="60">
        <f>ROW() - ROW(Table1[[#Headers],[s]])</f>
        <v>1020</v>
      </c>
      <c r="B1021" t="s">
        <v>4165</v>
      </c>
      <c r="C1021" s="23" t="s">
        <v>60</v>
      </c>
      <c r="D1021" s="19" t="s">
        <v>4166</v>
      </c>
      <c r="E1021" t="e" vm="183">
        <v>#VALUE!</v>
      </c>
      <c r="F1021" t="e" vm="19">
        <v>#VALUE!</v>
      </c>
      <c r="G1021" s="5" t="s">
        <v>151</v>
      </c>
      <c r="H1021" t="s">
        <v>152</v>
      </c>
      <c r="J1021" s="18" t="s">
        <v>153</v>
      </c>
      <c r="K1021" t="s">
        <v>154</v>
      </c>
      <c r="L1021" s="20">
        <v>46184.54583333333</v>
      </c>
      <c r="M1021" s="18" t="s">
        <v>466</v>
      </c>
      <c r="N1021" s="18" t="s">
        <v>466</v>
      </c>
      <c r="O1021" s="3"/>
      <c r="S1021" s="21" t="s">
        <v>4167</v>
      </c>
      <c r="T1021" s="18" t="s">
        <v>179</v>
      </c>
      <c r="V1021" s="21" t="s">
        <v>4167</v>
      </c>
      <c r="Y1021" t="s">
        <v>179</v>
      </c>
      <c r="Z1021" t="s">
        <v>179</v>
      </c>
    </row>
    <row r="1022" spans="1:26" ht="15" hidden="1" customHeight="1">
      <c r="A1022" s="60">
        <f>ROW() - ROW(Table1[[#Headers],[s]])</f>
        <v>1021</v>
      </c>
      <c r="B1022" t="s">
        <v>4168</v>
      </c>
      <c r="C1022" s="272">
        <v>46174</v>
      </c>
      <c r="D1022" s="19" t="s">
        <v>4169</v>
      </c>
      <c r="E1022" t="e" vm="282">
        <v>#VALUE!</v>
      </c>
      <c r="F1022" t="e" vm="21">
        <v>#VALUE!</v>
      </c>
      <c r="G1022" s="5" t="s">
        <v>151</v>
      </c>
      <c r="H1022" t="s">
        <v>747</v>
      </c>
      <c r="J1022" s="18" t="s">
        <v>253</v>
      </c>
      <c r="K1022" t="s">
        <v>154</v>
      </c>
      <c r="L1022" s="20">
        <v>46184.558333333334</v>
      </c>
      <c r="M1022" s="18" t="s">
        <v>39</v>
      </c>
      <c r="N1022" s="18" t="s">
        <v>39</v>
      </c>
      <c r="O1022" s="3">
        <v>46184.644444444442</v>
      </c>
      <c r="P1022" s="2">
        <v>46184.657638888886</v>
      </c>
      <c r="Q1022" s="22">
        <v>46184.723611111112</v>
      </c>
      <c r="S1022" s="21" t="s">
        <v>4170</v>
      </c>
      <c r="T1022" s="18" t="s">
        <v>164</v>
      </c>
      <c r="V1022" s="21" t="s">
        <v>4171</v>
      </c>
      <c r="Y1022" t="s">
        <v>158</v>
      </c>
      <c r="Z1022" t="s">
        <v>70</v>
      </c>
    </row>
    <row r="1023" spans="1:26" ht="15" hidden="1" customHeight="1">
      <c r="A1023" s="60">
        <f>ROW() - ROW(Table1[[#Headers],[s]])</f>
        <v>1022</v>
      </c>
      <c r="B1023" t="s">
        <v>4172</v>
      </c>
      <c r="C1023" s="272">
        <v>46174</v>
      </c>
      <c r="D1023" s="19" t="s">
        <v>4173</v>
      </c>
      <c r="E1023" t="e" vm="116">
        <v>#VALUE!</v>
      </c>
      <c r="F1023" t="e" vm="42">
        <v>#VALUE!</v>
      </c>
      <c r="G1023" s="5" t="s">
        <v>151</v>
      </c>
      <c r="H1023" t="s">
        <v>152</v>
      </c>
      <c r="J1023" s="18" t="s">
        <v>153</v>
      </c>
      <c r="K1023" t="s">
        <v>154</v>
      </c>
      <c r="L1023" s="20">
        <v>46184.655555555553</v>
      </c>
      <c r="M1023" s="18" t="s">
        <v>3868</v>
      </c>
      <c r="N1023" s="18" t="s">
        <v>3868</v>
      </c>
      <c r="O1023" s="3">
        <v>46184.720833333333</v>
      </c>
      <c r="P1023" s="2">
        <v>46184.722222222219</v>
      </c>
      <c r="Q1023" s="22">
        <v>46184.749305555553</v>
      </c>
      <c r="S1023" s="21" t="s">
        <v>4174</v>
      </c>
      <c r="T1023" s="18" t="s">
        <v>164</v>
      </c>
      <c r="V1023" s="21" t="s">
        <v>4175</v>
      </c>
      <c r="Y1023" t="s">
        <v>158</v>
      </c>
      <c r="Z1023" t="s">
        <v>70</v>
      </c>
    </row>
    <row r="1024" spans="1:26" ht="15" hidden="1" customHeight="1">
      <c r="A1024" s="60">
        <f>ROW() - ROW(Table1[[#Headers],[s]])</f>
        <v>1023</v>
      </c>
      <c r="B1024" t="s">
        <v>4176</v>
      </c>
      <c r="C1024" s="272">
        <v>46174</v>
      </c>
      <c r="D1024" s="19" t="s">
        <v>4177</v>
      </c>
      <c r="E1024" t="e" vm="283">
        <v>#VALUE!</v>
      </c>
      <c r="F1024" t="e" vm="2">
        <v>#VALUE!</v>
      </c>
      <c r="G1024" s="5" t="s">
        <v>151</v>
      </c>
      <c r="H1024" t="s">
        <v>152</v>
      </c>
      <c r="J1024" s="18" t="s">
        <v>153</v>
      </c>
      <c r="K1024" t="s">
        <v>154</v>
      </c>
      <c r="L1024" s="20">
        <v>46184.655555555553</v>
      </c>
      <c r="M1024" s="18" t="s">
        <v>162</v>
      </c>
      <c r="N1024" s="18" t="s">
        <v>162</v>
      </c>
      <c r="O1024" s="3">
        <v>46184.803472222222</v>
      </c>
      <c r="P1024" s="2">
        <v>46184.805555555555</v>
      </c>
      <c r="Q1024" s="22">
        <v>46184.821527777778</v>
      </c>
      <c r="S1024" s="21" t="s">
        <v>4178</v>
      </c>
      <c r="T1024" s="18" t="s">
        <v>164</v>
      </c>
      <c r="V1024" s="21" t="s">
        <v>4178</v>
      </c>
      <c r="Y1024" t="s">
        <v>158</v>
      </c>
      <c r="Z1024" t="s">
        <v>70</v>
      </c>
    </row>
    <row r="1025" spans="1:26" ht="15" customHeight="1">
      <c r="A1025" s="60">
        <f>ROW() - ROW(Table1[[#Headers],[s]])</f>
        <v>1024</v>
      </c>
      <c r="B1025" t="s">
        <v>4179</v>
      </c>
      <c r="C1025" s="272">
        <v>46174</v>
      </c>
      <c r="D1025" s="19" t="s">
        <v>4180</v>
      </c>
      <c r="E1025" t="e" vm="159">
        <v>#VALUE!</v>
      </c>
      <c r="F1025" t="e" vm="49">
        <v>#VALUE!</v>
      </c>
      <c r="G1025" s="5" t="s">
        <v>186</v>
      </c>
      <c r="H1025" t="s">
        <v>152</v>
      </c>
      <c r="I1025" t="s">
        <v>43</v>
      </c>
      <c r="J1025" s="18" t="s">
        <v>153</v>
      </c>
      <c r="K1025" t="s">
        <v>154</v>
      </c>
      <c r="L1025" s="20">
        <v>46184.664583333331</v>
      </c>
      <c r="M1025" s="18" t="s">
        <v>1255</v>
      </c>
      <c r="N1025" s="18" t="s">
        <v>1255</v>
      </c>
      <c r="O1025" s="3">
        <v>46185.458333333336</v>
      </c>
      <c r="P1025" s="2">
        <v>46185.465277777781</v>
      </c>
      <c r="Q1025" s="22">
        <v>46185.513194444444</v>
      </c>
      <c r="S1025" s="21" t="s">
        <v>4181</v>
      </c>
      <c r="T1025" s="18" t="s">
        <v>164</v>
      </c>
      <c r="V1025" s="21" t="s">
        <v>4182</v>
      </c>
      <c r="Y1025" t="s">
        <v>158</v>
      </c>
      <c r="Z1025" t="s">
        <v>70</v>
      </c>
    </row>
    <row r="1026" spans="1:26" ht="15" customHeight="1">
      <c r="A1026" s="60">
        <f>ROW() - ROW(Table1[[#Headers],[s]])</f>
        <v>1025</v>
      </c>
      <c r="B1026" t="s">
        <v>4183</v>
      </c>
      <c r="C1026" s="272">
        <v>46174</v>
      </c>
      <c r="D1026" s="19" t="s">
        <v>4184</v>
      </c>
      <c r="E1026" t="s">
        <v>4185</v>
      </c>
      <c r="F1026" t="e" vm="2">
        <v>#VALUE!</v>
      </c>
      <c r="G1026" s="5" t="s">
        <v>83</v>
      </c>
      <c r="H1026" t="s">
        <v>152</v>
      </c>
      <c r="I1026" t="s">
        <v>43</v>
      </c>
      <c r="J1026" s="18" t="s">
        <v>153</v>
      </c>
      <c r="K1026" t="s">
        <v>154</v>
      </c>
      <c r="L1026" s="20">
        <v>46184.893750000003</v>
      </c>
      <c r="M1026" s="18" t="s">
        <v>162</v>
      </c>
      <c r="N1026" s="18" t="s">
        <v>162</v>
      </c>
      <c r="O1026" s="3">
        <v>46185.291666666664</v>
      </c>
      <c r="P1026" s="2">
        <v>46185.298611111109</v>
      </c>
      <c r="Q1026" s="22">
        <v>46185.336111111108</v>
      </c>
      <c r="S1026" s="21" t="s">
        <v>801</v>
      </c>
      <c r="T1026" s="18" t="s">
        <v>164</v>
      </c>
      <c r="V1026" s="21" t="s">
        <v>4186</v>
      </c>
      <c r="Y1026" t="s">
        <v>158</v>
      </c>
      <c r="Z1026" t="s">
        <v>70</v>
      </c>
    </row>
    <row r="1027" spans="1:26" ht="15" customHeight="1">
      <c r="A1027" s="60">
        <f>ROW() - ROW(Table1[[#Headers],[s]])</f>
        <v>1026</v>
      </c>
      <c r="B1027" t="s">
        <v>4187</v>
      </c>
      <c r="C1027" s="163">
        <v>46174</v>
      </c>
      <c r="D1027" s="19" t="s">
        <v>4188</v>
      </c>
      <c r="E1027" t="e" vm="138">
        <v>#VALUE!</v>
      </c>
      <c r="F1027" t="e" vm="5">
        <v>#VALUE!</v>
      </c>
      <c r="G1027" s="43" t="s">
        <v>186</v>
      </c>
      <c r="H1027" t="s">
        <v>747</v>
      </c>
      <c r="I1027" t="s">
        <v>43</v>
      </c>
      <c r="J1027" s="18" t="s">
        <v>253</v>
      </c>
      <c r="K1027" t="s">
        <v>154</v>
      </c>
      <c r="L1027" s="44">
        <v>46185.45208333333</v>
      </c>
      <c r="M1027" s="55" t="s">
        <v>1997</v>
      </c>
      <c r="N1027" s="55" t="s">
        <v>1997</v>
      </c>
      <c r="O1027" s="56">
        <v>46185.541666666664</v>
      </c>
      <c r="P1027" s="2">
        <v>46185.548611111109</v>
      </c>
      <c r="Q1027" s="58">
        <v>46185.600694444445</v>
      </c>
      <c r="S1027" s="21" t="s">
        <v>4189</v>
      </c>
      <c r="T1027" s="18" t="s">
        <v>164</v>
      </c>
      <c r="V1027" s="53" t="s">
        <v>3452</v>
      </c>
      <c r="Y1027" t="s">
        <v>158</v>
      </c>
      <c r="Z1027" t="s">
        <v>70</v>
      </c>
    </row>
    <row r="1028" spans="1:26" ht="15" customHeight="1">
      <c r="A1028" s="60">
        <f>ROW() - ROW(Table1[[#Headers],[s]])</f>
        <v>1027</v>
      </c>
      <c r="B1028" t="s">
        <v>4190</v>
      </c>
      <c r="C1028" s="272">
        <v>46174</v>
      </c>
      <c r="D1028" s="19" t="s">
        <v>4191</v>
      </c>
      <c r="E1028" t="e" vm="112">
        <v>#VALUE!</v>
      </c>
      <c r="F1028" t="e" vm="39">
        <v>#VALUE!</v>
      </c>
      <c r="G1028" s="5" t="s">
        <v>186</v>
      </c>
      <c r="H1028" t="s">
        <v>152</v>
      </c>
      <c r="I1028" t="s">
        <v>43</v>
      </c>
      <c r="J1028" s="18" t="s">
        <v>153</v>
      </c>
      <c r="K1028" t="s">
        <v>154</v>
      </c>
      <c r="L1028" s="20">
        <v>46185.537499999999</v>
      </c>
      <c r="M1028" s="55" t="s">
        <v>59</v>
      </c>
      <c r="N1028" s="55" t="s">
        <v>59</v>
      </c>
      <c r="O1028" s="3">
        <v>46185.666666666664</v>
      </c>
      <c r="P1028" s="2">
        <v>46185.673611111109</v>
      </c>
      <c r="Q1028" s="22">
        <v>46185.729861111111</v>
      </c>
      <c r="S1028" s="21" t="s">
        <v>373</v>
      </c>
      <c r="T1028" s="18" t="s">
        <v>164</v>
      </c>
      <c r="V1028" s="21" t="s">
        <v>802</v>
      </c>
      <c r="Y1028" t="s">
        <v>158</v>
      </c>
      <c r="Z1028" t="s">
        <v>70</v>
      </c>
    </row>
    <row r="1029" spans="1:26" ht="15" hidden="1" customHeight="1">
      <c r="A1029" s="60">
        <f>ROW() - ROW(Table1[[#Headers],[s]])</f>
        <v>1028</v>
      </c>
      <c r="B1029" t="s">
        <v>4192</v>
      </c>
      <c r="C1029" s="272">
        <v>46174</v>
      </c>
      <c r="D1029" s="19" t="s">
        <v>4193</v>
      </c>
      <c r="E1029" t="e" vm="260">
        <v>#VALUE!</v>
      </c>
      <c r="F1029" t="e" vm="26">
        <v>#VALUE!</v>
      </c>
      <c r="G1029" s="5" t="s">
        <v>36</v>
      </c>
      <c r="H1029" t="s">
        <v>747</v>
      </c>
      <c r="I1029" t="s">
        <v>43</v>
      </c>
      <c r="J1029" s="18" t="s">
        <v>253</v>
      </c>
      <c r="K1029" t="s">
        <v>154</v>
      </c>
      <c r="L1029" s="20">
        <v>46185.412499999999</v>
      </c>
      <c r="M1029" s="18" t="s">
        <v>4194</v>
      </c>
      <c r="N1029" s="18" t="s">
        <v>4194</v>
      </c>
      <c r="O1029" s="3"/>
      <c r="Q1029" s="22">
        <v>46185.54791666667</v>
      </c>
      <c r="S1029" s="21" t="s">
        <v>4195</v>
      </c>
      <c r="T1029" s="18" t="s">
        <v>164</v>
      </c>
      <c r="V1029" s="21" t="s">
        <v>4196</v>
      </c>
      <c r="Y1029" t="s">
        <v>158</v>
      </c>
      <c r="Z1029" t="s">
        <v>158</v>
      </c>
    </row>
    <row r="1030" spans="1:26" ht="15" customHeight="1">
      <c r="A1030" s="60">
        <f>ROW() - ROW(Table1[[#Headers],[s]])</f>
        <v>1029</v>
      </c>
      <c r="B1030" s="240" t="s">
        <v>4197</v>
      </c>
      <c r="C1030" s="23" t="s">
        <v>60</v>
      </c>
      <c r="D1030" s="19" t="s">
        <v>4198</v>
      </c>
      <c r="E1030" t="e" vm="240">
        <v>#VALUE!</v>
      </c>
      <c r="F1030" t="e" vm="7">
        <v>#VALUE!</v>
      </c>
      <c r="G1030" s="5" t="s">
        <v>186</v>
      </c>
      <c r="H1030" t="s">
        <v>152</v>
      </c>
      <c r="I1030" t="s">
        <v>4164</v>
      </c>
      <c r="J1030" s="18" t="s">
        <v>153</v>
      </c>
      <c r="K1030" s="42" t="s">
        <v>154</v>
      </c>
      <c r="N1030" s="18"/>
      <c r="O1030" s="3"/>
      <c r="S1030" s="21" t="s">
        <v>4164</v>
      </c>
      <c r="T1030" s="18" t="s">
        <v>3743</v>
      </c>
      <c r="Y1030" t="s">
        <v>179</v>
      </c>
      <c r="Z1030" t="s">
        <v>179</v>
      </c>
    </row>
    <row r="1031" spans="1:26" ht="15" customHeight="1">
      <c r="A1031" s="60">
        <f>ROW() - ROW(Table1[[#Headers],[s]])</f>
        <v>1030</v>
      </c>
      <c r="B1031" t="s">
        <v>4199</v>
      </c>
      <c r="C1031" s="272">
        <v>46174</v>
      </c>
      <c r="D1031" s="19" t="s">
        <v>4200</v>
      </c>
      <c r="E1031" t="e" vm="9">
        <v>#VALUE!</v>
      </c>
      <c r="F1031" t="e" vm="10">
        <v>#VALUE!</v>
      </c>
      <c r="G1031" s="5" t="s">
        <v>83</v>
      </c>
      <c r="H1031" t="s">
        <v>747</v>
      </c>
      <c r="I1031" t="s">
        <v>43</v>
      </c>
      <c r="J1031" s="18" t="s">
        <v>253</v>
      </c>
      <c r="K1031" t="s">
        <v>154</v>
      </c>
      <c r="L1031" s="20">
        <v>46185.56527777778</v>
      </c>
      <c r="M1031" s="18" t="s">
        <v>78</v>
      </c>
      <c r="N1031" s="55" t="s">
        <v>78</v>
      </c>
      <c r="O1031" s="3">
        <v>46185.666666666664</v>
      </c>
      <c r="P1031" s="2">
        <v>46185.673611111109</v>
      </c>
      <c r="Q1031" s="22">
        <v>46185.777083333334</v>
      </c>
      <c r="S1031" s="21" t="s">
        <v>373</v>
      </c>
      <c r="T1031" s="18" t="s">
        <v>164</v>
      </c>
      <c r="V1031" s="21" t="s">
        <v>581</v>
      </c>
      <c r="Y1031" t="s">
        <v>158</v>
      </c>
      <c r="Z1031" t="s">
        <v>70</v>
      </c>
    </row>
    <row r="1032" spans="1:26" ht="15" customHeight="1">
      <c r="A1032" s="60">
        <f>ROW() - ROW(Table1[[#Headers],[s]])</f>
        <v>1031</v>
      </c>
      <c r="B1032" t="s">
        <v>4201</v>
      </c>
      <c r="C1032" s="272">
        <v>46174</v>
      </c>
      <c r="D1032" s="19" t="s">
        <v>4202</v>
      </c>
      <c r="E1032" t="e" vm="216">
        <v>#VALUE!</v>
      </c>
      <c r="F1032" t="e" vm="25">
        <v>#VALUE!</v>
      </c>
      <c r="G1032" s="5" t="s">
        <v>83</v>
      </c>
      <c r="H1032" t="s">
        <v>152</v>
      </c>
      <c r="I1032" t="s">
        <v>43</v>
      </c>
      <c r="J1032" s="18" t="s">
        <v>153</v>
      </c>
      <c r="K1032" t="s">
        <v>154</v>
      </c>
      <c r="L1032" s="20">
        <v>46185.673611111109</v>
      </c>
      <c r="M1032" s="55" t="s">
        <v>72</v>
      </c>
      <c r="N1032" s="55" t="s">
        <v>72</v>
      </c>
      <c r="O1032" s="3">
        <v>46185.708333333336</v>
      </c>
      <c r="P1032" s="2">
        <v>46185.715277777781</v>
      </c>
      <c r="Q1032" s="22">
        <v>46185.865277777775</v>
      </c>
      <c r="S1032" s="21" t="s">
        <v>4203</v>
      </c>
      <c r="T1032" s="18" t="s">
        <v>164</v>
      </c>
      <c r="V1032" s="21" t="s">
        <v>4204</v>
      </c>
      <c r="Y1032" t="s">
        <v>158</v>
      </c>
      <c r="Z1032" t="s">
        <v>70</v>
      </c>
    </row>
    <row r="1033" spans="1:26" ht="15" hidden="1" customHeight="1">
      <c r="A1033" s="60">
        <f>ROW() - ROW(Table1[[#Headers],[s]])</f>
        <v>1032</v>
      </c>
      <c r="B1033" t="s">
        <v>4205</v>
      </c>
      <c r="C1033" s="272">
        <v>46174</v>
      </c>
      <c r="D1033" s="19" t="s">
        <v>4206</v>
      </c>
      <c r="E1033" t="e" vm="57">
        <v>#VALUE!</v>
      </c>
      <c r="F1033" t="e" vm="25">
        <v>#VALUE!</v>
      </c>
      <c r="G1033" s="5" t="s">
        <v>36</v>
      </c>
      <c r="H1033" t="s">
        <v>152</v>
      </c>
      <c r="I1033" s="5" t="s">
        <v>43</v>
      </c>
      <c r="J1033" s="18" t="s">
        <v>153</v>
      </c>
      <c r="K1033" t="s">
        <v>154</v>
      </c>
      <c r="L1033" s="20">
        <v>46185.678472222222</v>
      </c>
      <c r="M1033" s="55" t="s">
        <v>72</v>
      </c>
      <c r="N1033" s="55" t="s">
        <v>72</v>
      </c>
      <c r="O1033" s="3"/>
      <c r="Q1033" s="58">
        <v>46188.583333333336</v>
      </c>
      <c r="S1033" s="21" t="s">
        <v>4207</v>
      </c>
      <c r="T1033" s="18" t="s">
        <v>164</v>
      </c>
      <c r="V1033" s="53" t="s">
        <v>4208</v>
      </c>
      <c r="Y1033" t="s">
        <v>158</v>
      </c>
      <c r="Z1033" t="s">
        <v>70</v>
      </c>
    </row>
    <row r="1034" spans="1:26" ht="15.75" customHeight="1">
      <c r="A1034" s="60">
        <f>ROW() - ROW(Table1[[#Headers],[s]])</f>
        <v>1033</v>
      </c>
      <c r="B1034" t="s">
        <v>4209</v>
      </c>
      <c r="C1034" s="272">
        <v>46174</v>
      </c>
      <c r="D1034" s="19" t="s">
        <v>4210</v>
      </c>
      <c r="E1034" t="e" vm="138">
        <v>#VALUE!</v>
      </c>
      <c r="F1034" t="e" vm="5">
        <v>#VALUE!</v>
      </c>
      <c r="G1034" s="5" t="s">
        <v>83</v>
      </c>
      <c r="H1034" t="s">
        <v>747</v>
      </c>
      <c r="I1034" t="s">
        <v>43</v>
      </c>
      <c r="J1034" s="18" t="s">
        <v>253</v>
      </c>
      <c r="K1034" t="s">
        <v>154</v>
      </c>
      <c r="L1034" s="20">
        <v>46185.628472222219</v>
      </c>
      <c r="M1034" s="55" t="s">
        <v>46</v>
      </c>
      <c r="N1034" s="55" t="s">
        <v>46</v>
      </c>
      <c r="O1034" s="3">
        <v>46185.791666666664</v>
      </c>
      <c r="P1034" s="2">
        <v>46185.833333333336</v>
      </c>
      <c r="Q1034" s="22">
        <v>46185.927083333336</v>
      </c>
      <c r="S1034" s="21" t="s">
        <v>1802</v>
      </c>
      <c r="T1034" s="18" t="s">
        <v>164</v>
      </c>
      <c r="V1034" s="389" t="s">
        <v>4211</v>
      </c>
      <c r="Y1034" t="s">
        <v>158</v>
      </c>
      <c r="Z1034" t="s">
        <v>70</v>
      </c>
    </row>
    <row r="1035" spans="1:26" ht="15" customHeight="1">
      <c r="A1035" s="60">
        <f>ROW() - ROW(Table1[[#Headers],[s]])</f>
        <v>1034</v>
      </c>
      <c r="B1035" t="s">
        <v>4212</v>
      </c>
      <c r="C1035" s="272">
        <v>46174</v>
      </c>
      <c r="D1035" s="19" t="s">
        <v>4213</v>
      </c>
      <c r="E1035" t="e" vm="200">
        <v>#VALUE!</v>
      </c>
      <c r="F1035" t="e" vm="17">
        <v>#VALUE!</v>
      </c>
      <c r="G1035" s="5" t="s">
        <v>83</v>
      </c>
      <c r="H1035" t="s">
        <v>245</v>
      </c>
      <c r="I1035" t="s">
        <v>43</v>
      </c>
      <c r="J1035" s="18" t="s">
        <v>253</v>
      </c>
      <c r="K1035" t="s">
        <v>154</v>
      </c>
      <c r="L1035" s="20">
        <v>46185.592361111114</v>
      </c>
      <c r="M1035" s="18" t="s">
        <v>454</v>
      </c>
      <c r="N1035" s="18" t="s">
        <v>454</v>
      </c>
      <c r="O1035" s="3">
        <v>46185.833333333336</v>
      </c>
      <c r="P1035" s="2">
        <v>46185.875</v>
      </c>
      <c r="Q1035" s="22">
        <v>46185.978472222225</v>
      </c>
      <c r="S1035" s="21" t="s">
        <v>4214</v>
      </c>
      <c r="T1035" s="18" t="s">
        <v>164</v>
      </c>
      <c r="V1035" s="21" t="s">
        <v>4214</v>
      </c>
      <c r="Y1035" t="s">
        <v>179</v>
      </c>
      <c r="Z1035" t="s">
        <v>179</v>
      </c>
    </row>
    <row r="1036" spans="1:26" ht="15" customHeight="1">
      <c r="A1036" s="60">
        <f>ROW() - ROW(Table1[[#Headers],[s]])</f>
        <v>1035</v>
      </c>
      <c r="B1036" t="s">
        <v>4215</v>
      </c>
      <c r="C1036" s="272">
        <v>46174</v>
      </c>
      <c r="D1036" s="19" t="s">
        <v>4216</v>
      </c>
      <c r="E1036" t="e" vm="108">
        <v>#VALUE!</v>
      </c>
      <c r="F1036" t="e" vm="22">
        <v>#VALUE!</v>
      </c>
      <c r="G1036" s="5" t="s">
        <v>83</v>
      </c>
      <c r="H1036" t="s">
        <v>747</v>
      </c>
      <c r="I1036" t="s">
        <v>43</v>
      </c>
      <c r="J1036" s="18" t="s">
        <v>253</v>
      </c>
      <c r="K1036" t="s">
        <v>154</v>
      </c>
      <c r="L1036" s="20">
        <v>46185.711111111108</v>
      </c>
      <c r="M1036" s="18" t="s">
        <v>4217</v>
      </c>
      <c r="N1036" s="18" t="s">
        <v>4217</v>
      </c>
      <c r="O1036" s="3">
        <v>46185.82916666667</v>
      </c>
      <c r="P1036" s="2">
        <v>46185.924305555556</v>
      </c>
      <c r="Q1036" s="22">
        <v>46185.774305555555</v>
      </c>
      <c r="S1036" s="21" t="s">
        <v>424</v>
      </c>
      <c r="T1036" s="18" t="s">
        <v>164</v>
      </c>
      <c r="V1036" s="21" t="s">
        <v>4218</v>
      </c>
      <c r="Y1036" t="s">
        <v>179</v>
      </c>
      <c r="Z1036" t="s">
        <v>179</v>
      </c>
    </row>
    <row r="1037" spans="1:26" ht="15" hidden="1" customHeight="1">
      <c r="A1037" s="60">
        <f>ROW() - ROW(Table1[[#Headers],[s]])</f>
        <v>1036</v>
      </c>
      <c r="B1037" t="s">
        <v>4219</v>
      </c>
      <c r="C1037" s="272">
        <v>46174</v>
      </c>
      <c r="D1037" s="19" t="s">
        <v>4220</v>
      </c>
      <c r="E1037" t="e" vm="9">
        <v>#VALUE!</v>
      </c>
      <c r="F1037" t="e" vm="10">
        <v>#VALUE!</v>
      </c>
      <c r="G1037" s="5" t="s">
        <v>174</v>
      </c>
      <c r="H1037" t="s">
        <v>152</v>
      </c>
      <c r="J1037" s="18" t="s">
        <v>153</v>
      </c>
      <c r="K1037" t="s">
        <v>154</v>
      </c>
      <c r="L1037" s="20">
        <v>46185.661111111112</v>
      </c>
      <c r="M1037" s="18" t="s">
        <v>78</v>
      </c>
      <c r="N1037" s="55" t="s">
        <v>78</v>
      </c>
      <c r="O1037" s="3">
        <v>46186.333333333336</v>
      </c>
      <c r="P1037" s="3">
        <v>46186.354166666664</v>
      </c>
      <c r="Q1037" s="3">
        <v>46186.375</v>
      </c>
      <c r="S1037" s="21" t="s">
        <v>4221</v>
      </c>
      <c r="T1037" s="18" t="s">
        <v>478</v>
      </c>
      <c r="V1037" s="21" t="s">
        <v>930</v>
      </c>
      <c r="Y1037" t="s">
        <v>158</v>
      </c>
      <c r="Z1037" t="s">
        <v>70</v>
      </c>
    </row>
    <row r="1038" spans="1:26" ht="15.75" hidden="1" customHeight="1">
      <c r="A1038" s="60">
        <f>ROW() - ROW(Table1[[#Headers],[s]])</f>
        <v>1037</v>
      </c>
      <c r="B1038" s="223" t="s">
        <v>4222</v>
      </c>
      <c r="C1038" s="272">
        <v>46174</v>
      </c>
      <c r="D1038" s="19" t="s">
        <v>4223</v>
      </c>
      <c r="E1038" t="e" vm="141">
        <v>#VALUE!</v>
      </c>
      <c r="F1038" t="e" vm="25">
        <v>#VALUE!</v>
      </c>
      <c r="G1038" s="5" t="s">
        <v>174</v>
      </c>
      <c r="H1038" t="s">
        <v>152</v>
      </c>
      <c r="J1038" s="18" t="s">
        <v>153</v>
      </c>
      <c r="K1038" t="s">
        <v>154</v>
      </c>
      <c r="L1038" s="20">
        <v>46186.541666666664</v>
      </c>
      <c r="M1038" s="18" t="s">
        <v>53</v>
      </c>
      <c r="N1038" s="18" t="s">
        <v>53</v>
      </c>
      <c r="O1038" s="20">
        <v>46186.645833333336</v>
      </c>
      <c r="P1038" s="20">
        <v>46186.690972222219</v>
      </c>
      <c r="Q1038" s="20">
        <v>46186.774305555555</v>
      </c>
      <c r="S1038" s="21" t="s">
        <v>4224</v>
      </c>
      <c r="T1038" s="18" t="s">
        <v>2765</v>
      </c>
      <c r="V1038" s="21" t="s">
        <v>4225</v>
      </c>
      <c r="Y1038" t="s">
        <v>158</v>
      </c>
      <c r="Z1038" t="s">
        <v>70</v>
      </c>
    </row>
    <row r="1039" spans="1:26" ht="15" hidden="1" customHeight="1">
      <c r="A1039" s="60">
        <f>ROW() - ROW(Table1[[#Headers],[s]])</f>
        <v>1038</v>
      </c>
      <c r="B1039" t="s">
        <v>4226</v>
      </c>
      <c r="C1039" s="23" t="s">
        <v>60</v>
      </c>
      <c r="D1039" s="19" t="s">
        <v>4227</v>
      </c>
      <c r="E1039" t="e" vm="284">
        <v>#VALUE!</v>
      </c>
      <c r="F1039" t="e" vm="49">
        <v>#VALUE!</v>
      </c>
      <c r="G1039" s="5" t="s">
        <v>174</v>
      </c>
      <c r="H1039" t="s">
        <v>747</v>
      </c>
      <c r="J1039" s="18" t="s">
        <v>253</v>
      </c>
      <c r="K1039" t="s">
        <v>548</v>
      </c>
      <c r="L1039" s="20">
        <v>46186.577777777777</v>
      </c>
      <c r="M1039" s="18" t="s">
        <v>227</v>
      </c>
      <c r="N1039" s="18" t="s">
        <v>227</v>
      </c>
      <c r="O1039" s="3"/>
      <c r="S1039" s="21" t="s">
        <v>4228</v>
      </c>
      <c r="T1039" s="18" t="s">
        <v>4229</v>
      </c>
      <c r="V1039" s="21" t="s">
        <v>4228</v>
      </c>
      <c r="Y1039" t="s">
        <v>179</v>
      </c>
      <c r="Z1039" t="s">
        <v>179</v>
      </c>
    </row>
    <row r="1040" spans="1:26" ht="15.75" hidden="1" customHeight="1">
      <c r="A1040" s="60">
        <f>ROW() - ROW(Table1[[#Headers],[s]])</f>
        <v>1039</v>
      </c>
      <c r="B1040" s="223" t="s">
        <v>4230</v>
      </c>
      <c r="C1040" s="163">
        <v>46174</v>
      </c>
      <c r="D1040" s="52" t="s">
        <v>4231</v>
      </c>
      <c r="E1040" t="e" vm="193">
        <v>#VALUE!</v>
      </c>
      <c r="F1040" t="e" vm="19">
        <v>#VALUE!</v>
      </c>
      <c r="G1040" s="5" t="s">
        <v>36</v>
      </c>
      <c r="H1040" t="s">
        <v>152</v>
      </c>
      <c r="I1040" t="s">
        <v>43</v>
      </c>
      <c r="J1040" s="18" t="s">
        <v>153</v>
      </c>
      <c r="K1040" s="42" t="s">
        <v>154</v>
      </c>
      <c r="L1040" s="44">
        <v>46187.481944444444</v>
      </c>
      <c r="M1040" s="55" t="s">
        <v>3633</v>
      </c>
      <c r="N1040" s="55" t="s">
        <v>3633</v>
      </c>
      <c r="O1040" s="56"/>
      <c r="Q1040" s="58">
        <v>46188.416666666664</v>
      </c>
      <c r="S1040" s="21" t="s">
        <v>3810</v>
      </c>
      <c r="T1040" s="18" t="s">
        <v>478</v>
      </c>
      <c r="V1040" s="392" t="s">
        <v>4094</v>
      </c>
      <c r="Y1040" t="s">
        <v>158</v>
      </c>
      <c r="Z1040" t="s">
        <v>70</v>
      </c>
    </row>
    <row r="1041" spans="1:26" ht="15.75" hidden="1" customHeight="1">
      <c r="A1041" s="60">
        <f>ROW() - ROW(Table1[[#Headers],[s]])</f>
        <v>1040</v>
      </c>
      <c r="B1041" s="223" t="s">
        <v>4232</v>
      </c>
      <c r="C1041" s="163">
        <v>46174</v>
      </c>
      <c r="D1041" s="52" t="s">
        <v>4233</v>
      </c>
      <c r="E1041" t="e" vm="285">
        <v>#VALUE!</v>
      </c>
      <c r="F1041" t="e" vm="17">
        <v>#VALUE!</v>
      </c>
      <c r="G1041" s="5" t="s">
        <v>174</v>
      </c>
      <c r="H1041" t="s">
        <v>152</v>
      </c>
      <c r="J1041" s="18" t="s">
        <v>153</v>
      </c>
      <c r="K1041" s="55" t="s">
        <v>154</v>
      </c>
      <c r="L1041" s="44">
        <v>46187.484027777777</v>
      </c>
      <c r="M1041" s="18" t="s">
        <v>227</v>
      </c>
      <c r="N1041" s="18" t="s">
        <v>227</v>
      </c>
      <c r="O1041" s="56"/>
      <c r="Q1041" s="58">
        <v>46188.486111111109</v>
      </c>
      <c r="S1041" s="21" t="s">
        <v>4234</v>
      </c>
      <c r="T1041" s="55" t="s">
        <v>4235</v>
      </c>
      <c r="V1041" s="53" t="s">
        <v>4236</v>
      </c>
      <c r="Y1041" t="s">
        <v>158</v>
      </c>
      <c r="Z1041" t="s">
        <v>70</v>
      </c>
    </row>
    <row r="1042" spans="1:26" ht="15.75" hidden="1" customHeight="1">
      <c r="A1042" s="60">
        <f>ROW() - ROW(Table1[[#Headers],[s]])</f>
        <v>1041</v>
      </c>
      <c r="B1042" s="223" t="s">
        <v>4237</v>
      </c>
      <c r="C1042" s="163">
        <v>46174</v>
      </c>
      <c r="D1042" s="52" t="s">
        <v>4238</v>
      </c>
      <c r="E1042" t="e" vm="20">
        <v>#VALUE!</v>
      </c>
      <c r="F1042" t="e" vm="21">
        <v>#VALUE!</v>
      </c>
      <c r="G1042" s="5" t="s">
        <v>36</v>
      </c>
      <c r="H1042" t="s">
        <v>152</v>
      </c>
      <c r="I1042" t="s">
        <v>43</v>
      </c>
      <c r="J1042" s="18" t="s">
        <v>153</v>
      </c>
      <c r="K1042" s="42" t="s">
        <v>154</v>
      </c>
      <c r="L1042" s="44">
        <v>46187.486805555556</v>
      </c>
      <c r="M1042" s="55" t="s">
        <v>39</v>
      </c>
      <c r="N1042" s="55" t="s">
        <v>39</v>
      </c>
      <c r="O1042" s="56"/>
      <c r="Q1042" s="58">
        <v>46188.458333333336</v>
      </c>
      <c r="S1042" s="21" t="s">
        <v>4239</v>
      </c>
      <c r="T1042" s="55" t="s">
        <v>478</v>
      </c>
      <c r="V1042" s="53" t="s">
        <v>4240</v>
      </c>
      <c r="Y1042" t="s">
        <v>158</v>
      </c>
      <c r="Z1042" t="s">
        <v>70</v>
      </c>
    </row>
    <row r="1043" spans="1:26" ht="15.75" hidden="1" customHeight="1">
      <c r="A1043" s="60">
        <f>ROW() - ROW(Table1[[#Headers],[s]])</f>
        <v>1042</v>
      </c>
      <c r="B1043" s="350" t="s">
        <v>4241</v>
      </c>
      <c r="C1043" s="163">
        <v>46174</v>
      </c>
      <c r="D1043" s="52" t="s">
        <v>4242</v>
      </c>
      <c r="E1043" t="e" vm="120">
        <v>#VALUE!</v>
      </c>
      <c r="F1043" t="e" vm="12">
        <v>#VALUE!</v>
      </c>
      <c r="G1043" s="43" t="s">
        <v>36</v>
      </c>
      <c r="H1043" t="s">
        <v>152</v>
      </c>
      <c r="I1043" t="s">
        <v>43</v>
      </c>
      <c r="J1043" s="18" t="s">
        <v>153</v>
      </c>
      <c r="K1043" s="55" t="s">
        <v>154</v>
      </c>
      <c r="L1043" s="44">
        <v>46188.390277777777</v>
      </c>
      <c r="M1043" s="55" t="s">
        <v>882</v>
      </c>
      <c r="N1043" s="55" t="s">
        <v>882</v>
      </c>
      <c r="O1043" s="56"/>
      <c r="Q1043" s="58">
        <v>46188.520833333336</v>
      </c>
      <c r="S1043" s="21" t="s">
        <v>4243</v>
      </c>
      <c r="T1043" s="18" t="s">
        <v>478</v>
      </c>
      <c r="V1043" s="392" t="s">
        <v>3024</v>
      </c>
      <c r="Y1043" t="s">
        <v>158</v>
      </c>
      <c r="Z1043" t="s">
        <v>70</v>
      </c>
    </row>
    <row r="1044" spans="1:26" ht="15.75" hidden="1" customHeight="1">
      <c r="A1044" s="60">
        <f>ROW() - ROW(Table1[[#Headers],[s]])</f>
        <v>1043</v>
      </c>
      <c r="B1044" s="350" t="s">
        <v>4244</v>
      </c>
      <c r="C1044" s="272">
        <v>46174</v>
      </c>
      <c r="D1044" s="19" t="s">
        <v>4245</v>
      </c>
      <c r="E1044" t="e" vm="18">
        <v>#VALUE!</v>
      </c>
      <c r="F1044" t="e" vm="19">
        <v>#VALUE!</v>
      </c>
      <c r="G1044" s="5" t="s">
        <v>36</v>
      </c>
      <c r="H1044" t="s">
        <v>152</v>
      </c>
      <c r="I1044" t="s">
        <v>43</v>
      </c>
      <c r="J1044" s="18" t="s">
        <v>153</v>
      </c>
      <c r="K1044" s="55" t="s">
        <v>154</v>
      </c>
      <c r="L1044" s="20">
        <v>46188.427777777775</v>
      </c>
      <c r="M1044" s="18" t="s">
        <v>4246</v>
      </c>
      <c r="N1044" s="18" t="s">
        <v>4246</v>
      </c>
      <c r="O1044" s="3"/>
      <c r="Q1044" s="22">
        <v>46188.724305555559</v>
      </c>
      <c r="S1044" s="21" t="s">
        <v>4247</v>
      </c>
      <c r="T1044" s="18" t="s">
        <v>478</v>
      </c>
      <c r="V1044" s="21" t="s">
        <v>4248</v>
      </c>
      <c r="Y1044" t="s">
        <v>158</v>
      </c>
      <c r="Z1044" t="s">
        <v>70</v>
      </c>
    </row>
    <row r="1045" spans="1:26" ht="15.75" hidden="1" customHeight="1">
      <c r="A1045" s="60">
        <f>ROW() - ROW(Table1[[#Headers],[s]])</f>
        <v>1044</v>
      </c>
      <c r="B1045" s="350" t="s">
        <v>4249</v>
      </c>
      <c r="C1045" s="272">
        <v>46174</v>
      </c>
      <c r="D1045" s="19" t="s">
        <v>4250</v>
      </c>
      <c r="E1045" t="e" vm="286">
        <v>#VALUE!</v>
      </c>
      <c r="F1045" t="e" vm="49">
        <v>#VALUE!</v>
      </c>
      <c r="G1045" s="5" t="s">
        <v>36</v>
      </c>
      <c r="H1045" t="s">
        <v>152</v>
      </c>
      <c r="I1045" t="s">
        <v>43</v>
      </c>
      <c r="J1045" s="18" t="s">
        <v>153</v>
      </c>
      <c r="K1045" s="55" t="s">
        <v>154</v>
      </c>
      <c r="L1045" s="20">
        <v>46188.518750000003</v>
      </c>
      <c r="M1045" s="18" t="s">
        <v>227</v>
      </c>
      <c r="N1045" s="18" t="s">
        <v>227</v>
      </c>
      <c r="O1045" s="3"/>
      <c r="Q1045" s="22">
        <v>46188.572916666664</v>
      </c>
      <c r="S1045" s="21" t="s">
        <v>4251</v>
      </c>
      <c r="T1045" s="18" t="s">
        <v>4252</v>
      </c>
      <c r="V1045" s="21" t="s">
        <v>4253</v>
      </c>
      <c r="Y1045" t="s">
        <v>158</v>
      </c>
      <c r="Z1045" t="s">
        <v>70</v>
      </c>
    </row>
    <row r="1046" spans="1:26" ht="15.75" hidden="1" customHeight="1">
      <c r="A1046" s="60">
        <f>ROW() - ROW(Table1[[#Headers],[s]])</f>
        <v>1045</v>
      </c>
      <c r="B1046" s="350" t="s">
        <v>4254</v>
      </c>
      <c r="C1046" s="272">
        <v>46174</v>
      </c>
      <c r="D1046" s="19" t="s">
        <v>4255</v>
      </c>
      <c r="E1046" t="e" vm="287">
        <v>#VALUE!</v>
      </c>
      <c r="F1046" t="e" vm="26">
        <v>#VALUE!</v>
      </c>
      <c r="G1046" s="5" t="s">
        <v>36</v>
      </c>
      <c r="H1046" t="s">
        <v>152</v>
      </c>
      <c r="I1046" t="s">
        <v>43</v>
      </c>
      <c r="J1046" s="18" t="s">
        <v>153</v>
      </c>
      <c r="K1046" t="s">
        <v>154</v>
      </c>
      <c r="L1046" s="20">
        <v>46188.586111111108</v>
      </c>
      <c r="M1046" s="18" t="s">
        <v>3633</v>
      </c>
      <c r="N1046" s="18" t="s">
        <v>3633</v>
      </c>
      <c r="O1046" s="3"/>
      <c r="Q1046" s="22">
        <v>46188.671527777777</v>
      </c>
      <c r="S1046" s="21" t="s">
        <v>4256</v>
      </c>
      <c r="T1046" s="18" t="s">
        <v>164</v>
      </c>
      <c r="V1046" s="21" t="s">
        <v>4257</v>
      </c>
      <c r="Y1046" t="s">
        <v>158</v>
      </c>
      <c r="Z1046" t="s">
        <v>70</v>
      </c>
    </row>
    <row r="1047" spans="1:26" ht="15.75" hidden="1" customHeight="1">
      <c r="A1047" s="60">
        <f>ROW() - ROW(Table1[[#Headers],[s]])</f>
        <v>1046</v>
      </c>
      <c r="B1047" s="350" t="s">
        <v>4258</v>
      </c>
      <c r="C1047" s="272">
        <v>46174</v>
      </c>
      <c r="D1047" s="19" t="s">
        <v>4259</v>
      </c>
      <c r="E1047" t="e" vm="266">
        <v>#VALUE!</v>
      </c>
      <c r="F1047" t="e" vm="17">
        <v>#VALUE!</v>
      </c>
      <c r="G1047" s="5" t="s">
        <v>36</v>
      </c>
      <c r="H1047" t="s">
        <v>152</v>
      </c>
      <c r="I1047" t="s">
        <v>43</v>
      </c>
      <c r="J1047" s="18" t="s">
        <v>153</v>
      </c>
      <c r="K1047" t="s">
        <v>154</v>
      </c>
      <c r="L1047" s="20">
        <v>46188.697222222225</v>
      </c>
      <c r="M1047" s="18" t="s">
        <v>68</v>
      </c>
      <c r="N1047" s="18" t="s">
        <v>68</v>
      </c>
      <c r="O1047" s="3"/>
      <c r="Q1047" s="22">
        <v>46188.833333333336</v>
      </c>
      <c r="S1047" s="21" t="s">
        <v>4260</v>
      </c>
      <c r="T1047" s="18" t="s">
        <v>164</v>
      </c>
      <c r="V1047" s="21" t="s">
        <v>4261</v>
      </c>
      <c r="Y1047" t="s">
        <v>158</v>
      </c>
      <c r="Z1047" t="s">
        <v>70</v>
      </c>
    </row>
    <row r="1048" spans="1:26" ht="15.75" hidden="1" customHeight="1">
      <c r="A1048" s="60">
        <f>ROW() - ROW(Table1[[#Headers],[s]])</f>
        <v>1047</v>
      </c>
      <c r="B1048" s="350" t="s">
        <v>4262</v>
      </c>
      <c r="C1048" s="272">
        <v>46174</v>
      </c>
      <c r="D1048" s="19" t="s">
        <v>4263</v>
      </c>
      <c r="E1048" t="s">
        <v>898</v>
      </c>
      <c r="F1048" t="e" vm="25">
        <v>#VALUE!</v>
      </c>
      <c r="G1048" s="5" t="s">
        <v>36</v>
      </c>
      <c r="H1048" t="s">
        <v>152</v>
      </c>
      <c r="I1048" t="s">
        <v>43</v>
      </c>
      <c r="J1048" s="18" t="s">
        <v>153</v>
      </c>
      <c r="K1048" t="s">
        <v>154</v>
      </c>
      <c r="L1048" s="20">
        <v>46188.706250000003</v>
      </c>
      <c r="M1048" s="18" t="s">
        <v>72</v>
      </c>
      <c r="N1048" s="18" t="s">
        <v>72</v>
      </c>
      <c r="O1048" s="3"/>
      <c r="Q1048" s="22">
        <v>46188.819444444445</v>
      </c>
      <c r="S1048" s="21" t="s">
        <v>4264</v>
      </c>
      <c r="T1048" s="18" t="s">
        <v>164</v>
      </c>
      <c r="V1048" s="21" t="s">
        <v>4265</v>
      </c>
      <c r="Y1048" t="s">
        <v>158</v>
      </c>
      <c r="Z1048" t="s">
        <v>70</v>
      </c>
    </row>
    <row r="1049" spans="1:26" ht="15.75" hidden="1" customHeight="1">
      <c r="A1049" s="60">
        <f>ROW() - ROW(Table1[[#Headers],[s]])</f>
        <v>1048</v>
      </c>
      <c r="B1049" s="350" t="s">
        <v>4266</v>
      </c>
      <c r="C1049" s="272">
        <v>46174</v>
      </c>
      <c r="D1049" s="19" t="s">
        <v>4267</v>
      </c>
      <c r="E1049" t="e" vm="227">
        <v>#VALUE!</v>
      </c>
      <c r="F1049" t="e" vm="42">
        <v>#VALUE!</v>
      </c>
      <c r="G1049" s="5" t="s">
        <v>174</v>
      </c>
      <c r="H1049" t="s">
        <v>747</v>
      </c>
      <c r="J1049" s="18" t="s">
        <v>253</v>
      </c>
      <c r="K1049" t="s">
        <v>154</v>
      </c>
      <c r="L1049" s="20">
        <v>46188.981944444444</v>
      </c>
      <c r="M1049" s="18" t="s">
        <v>227</v>
      </c>
      <c r="N1049" s="18" t="s">
        <v>227</v>
      </c>
      <c r="O1049" s="3">
        <v>46189.333333333336</v>
      </c>
      <c r="P1049" s="3">
        <v>46189.375</v>
      </c>
      <c r="Q1049" s="3">
        <v>46189.75</v>
      </c>
      <c r="S1049" s="21" t="s">
        <v>4268</v>
      </c>
      <c r="T1049" s="18" t="s">
        <v>179</v>
      </c>
      <c r="V1049" s="21" t="s">
        <v>4269</v>
      </c>
      <c r="Y1049" t="s">
        <v>70</v>
      </c>
      <c r="Z1049" t="s">
        <v>70</v>
      </c>
    </row>
    <row r="1050" spans="1:26" ht="15.75" hidden="1" customHeight="1">
      <c r="A1050" s="60">
        <f>ROW() - ROW(Table1[[#Headers],[s]])</f>
        <v>1049</v>
      </c>
      <c r="B1050" s="350" t="s">
        <v>4270</v>
      </c>
      <c r="C1050" s="272">
        <v>46174</v>
      </c>
      <c r="D1050" s="19" t="s">
        <v>4271</v>
      </c>
      <c r="E1050" t="s">
        <v>4272</v>
      </c>
      <c r="F1050" t="e" vm="35">
        <v>#VALUE!</v>
      </c>
      <c r="G1050" s="5" t="s">
        <v>4273</v>
      </c>
      <c r="H1050" t="s">
        <v>747</v>
      </c>
      <c r="I1050" s="314" t="s">
        <v>43</v>
      </c>
      <c r="J1050" s="18" t="s">
        <v>253</v>
      </c>
      <c r="K1050" t="s">
        <v>154</v>
      </c>
      <c r="L1050" s="20">
        <v>46189.515972222223</v>
      </c>
      <c r="M1050" s="18" t="s">
        <v>4274</v>
      </c>
      <c r="N1050" s="18" t="s">
        <v>4275</v>
      </c>
      <c r="O1050" s="20">
        <v>46189.5625</v>
      </c>
      <c r="P1050" s="20">
        <v>46189.604166666664</v>
      </c>
      <c r="Q1050" s="20">
        <v>46189.916666666664</v>
      </c>
      <c r="R1050">
        <v>24</v>
      </c>
      <c r="S1050" s="21" t="s">
        <v>4276</v>
      </c>
      <c r="T1050" s="18" t="s">
        <v>164</v>
      </c>
      <c r="V1050" s="21" t="s">
        <v>4277</v>
      </c>
      <c r="Y1050" t="s">
        <v>158</v>
      </c>
      <c r="Z1050" t="s">
        <v>70</v>
      </c>
    </row>
    <row r="1051" spans="1:26" ht="15.75" hidden="1" customHeight="1">
      <c r="A1051" s="60">
        <f>ROW() - ROW(Table1[[#Headers],[s]])</f>
        <v>1050</v>
      </c>
      <c r="B1051" s="223" t="s">
        <v>4278</v>
      </c>
      <c r="C1051" s="272">
        <v>46174</v>
      </c>
      <c r="D1051" s="19" t="s">
        <v>4279</v>
      </c>
      <c r="E1051" t="e" vm="69">
        <v>#VALUE!</v>
      </c>
      <c r="F1051" t="e" vm="2">
        <v>#VALUE!</v>
      </c>
      <c r="G1051" s="5" t="s">
        <v>174</v>
      </c>
      <c r="H1051" t="s">
        <v>152</v>
      </c>
      <c r="J1051" s="18" t="s">
        <v>153</v>
      </c>
      <c r="K1051" t="s">
        <v>154</v>
      </c>
      <c r="L1051" s="20">
        <v>46189.379166666666</v>
      </c>
      <c r="M1051" s="18" t="s">
        <v>162</v>
      </c>
      <c r="N1051" s="18" t="s">
        <v>162</v>
      </c>
      <c r="O1051" s="20">
        <v>46189.458333333336</v>
      </c>
      <c r="P1051" s="20">
        <v>46189.479166666664</v>
      </c>
      <c r="Q1051" s="20">
        <v>46189.5625</v>
      </c>
      <c r="S1051" s="21" t="s">
        <v>4280</v>
      </c>
      <c r="T1051" s="18" t="s">
        <v>4281</v>
      </c>
      <c r="V1051" s="21" t="s">
        <v>4282</v>
      </c>
      <c r="Y1051" t="s">
        <v>158</v>
      </c>
      <c r="Z1051" t="s">
        <v>70</v>
      </c>
    </row>
    <row r="1052" spans="1:26" ht="15.75" hidden="1" customHeight="1">
      <c r="A1052" s="60">
        <f>ROW() - ROW(Table1[[#Headers],[s]])</f>
        <v>1051</v>
      </c>
      <c r="B1052" s="223" t="s">
        <v>4283</v>
      </c>
      <c r="C1052" s="272">
        <v>46174</v>
      </c>
      <c r="D1052" s="19" t="s">
        <v>4284</v>
      </c>
      <c r="E1052" t="e" vm="83">
        <v>#VALUE!</v>
      </c>
      <c r="F1052" t="e" vm="37">
        <v>#VALUE!</v>
      </c>
      <c r="G1052" s="5" t="s">
        <v>174</v>
      </c>
      <c r="H1052" t="s">
        <v>152</v>
      </c>
      <c r="J1052" s="18" t="s">
        <v>153</v>
      </c>
      <c r="K1052" t="s">
        <v>154</v>
      </c>
      <c r="L1052" s="20">
        <v>46189.380555555559</v>
      </c>
      <c r="M1052" s="18" t="s">
        <v>1023</v>
      </c>
      <c r="N1052" s="18" t="s">
        <v>1023</v>
      </c>
      <c r="O1052" s="20">
        <v>46189.458333333336</v>
      </c>
      <c r="P1052" s="20">
        <v>46189.479166666664</v>
      </c>
      <c r="Q1052" s="20">
        <v>46189.5625</v>
      </c>
      <c r="S1052" s="21" t="s">
        <v>4285</v>
      </c>
      <c r="T1052" s="18" t="s">
        <v>164</v>
      </c>
      <c r="V1052" s="21" t="s">
        <v>3284</v>
      </c>
      <c r="Y1052" t="s">
        <v>158</v>
      </c>
      <c r="Z1052" t="s">
        <v>70</v>
      </c>
    </row>
    <row r="1053" spans="1:26" ht="15.75" hidden="1" customHeight="1">
      <c r="A1053" s="60">
        <f>ROW() - ROW(Table1[[#Headers],[s]])</f>
        <v>1052</v>
      </c>
      <c r="B1053" s="350" t="s">
        <v>4286</v>
      </c>
      <c r="C1053" s="272">
        <v>46174</v>
      </c>
      <c r="D1053" s="19" t="s">
        <v>4287</v>
      </c>
      <c r="E1053" t="e" vm="225">
        <v>#VALUE!</v>
      </c>
      <c r="F1053" t="e" vm="21">
        <v>#VALUE!</v>
      </c>
      <c r="G1053" s="5" t="s">
        <v>174</v>
      </c>
      <c r="H1053" t="s">
        <v>747</v>
      </c>
      <c r="J1053" s="18" t="s">
        <v>253</v>
      </c>
      <c r="K1053" t="s">
        <v>154</v>
      </c>
      <c r="L1053" s="20">
        <v>46189.520833333336</v>
      </c>
      <c r="M1053" s="18" t="s">
        <v>39</v>
      </c>
      <c r="N1053" s="18" t="s">
        <v>39</v>
      </c>
      <c r="O1053" s="20">
        <v>46189.576388888891</v>
      </c>
      <c r="P1053" s="20">
        <v>46189.604166666664</v>
      </c>
      <c r="Q1053" s="20">
        <v>46189.697916666664</v>
      </c>
      <c r="S1053" s="21" t="s">
        <v>4288</v>
      </c>
      <c r="T1053" s="18" t="s">
        <v>164</v>
      </c>
      <c r="V1053" s="21" t="s">
        <v>4289</v>
      </c>
      <c r="Y1053" t="s">
        <v>158</v>
      </c>
      <c r="Z1053" t="s">
        <v>158</v>
      </c>
    </row>
    <row r="1054" spans="1:26" ht="15.75" hidden="1" customHeight="1">
      <c r="A1054" s="60">
        <f>ROW() - ROW(Table1[[#Headers],[s]])</f>
        <v>1053</v>
      </c>
      <c r="B1054" s="350" t="s">
        <v>4290</v>
      </c>
      <c r="C1054" s="163">
        <v>46174</v>
      </c>
      <c r="D1054" s="52" t="s">
        <v>4291</v>
      </c>
      <c r="E1054" t="e" vm="72">
        <v>#VALUE!</v>
      </c>
      <c r="F1054" t="e" vm="25">
        <v>#VALUE!</v>
      </c>
      <c r="G1054" s="5" t="s">
        <v>174</v>
      </c>
      <c r="H1054" t="s">
        <v>245</v>
      </c>
      <c r="J1054" s="42" t="s">
        <v>287</v>
      </c>
      <c r="K1054" t="s">
        <v>154</v>
      </c>
      <c r="L1054" s="20">
        <v>46189.680555555555</v>
      </c>
      <c r="M1054" s="55" t="s">
        <v>72</v>
      </c>
      <c r="N1054" s="55" t="s">
        <v>72</v>
      </c>
      <c r="O1054" s="20">
        <v>46189.729166666664</v>
      </c>
      <c r="P1054" s="20">
        <v>46189.756944444445</v>
      </c>
      <c r="Q1054" s="20">
        <v>46189.931250000001</v>
      </c>
      <c r="S1054" s="21" t="s">
        <v>4292</v>
      </c>
      <c r="T1054" s="55" t="s">
        <v>4293</v>
      </c>
      <c r="V1054" s="53" t="s">
        <v>1619</v>
      </c>
      <c r="Y1054" t="s">
        <v>158</v>
      </c>
      <c r="Z1054" t="s">
        <v>158</v>
      </c>
    </row>
    <row r="1055" spans="1:26" ht="15.75" hidden="1" customHeight="1">
      <c r="A1055" s="60">
        <f>ROW() - ROW(Table1[[#Headers],[s]])</f>
        <v>1054</v>
      </c>
      <c r="B1055" s="350" t="s">
        <v>4294</v>
      </c>
      <c r="C1055" s="272" t="s">
        <v>60</v>
      </c>
      <c r="D1055" s="52" t="s">
        <v>4295</v>
      </c>
      <c r="E1055" t="e" vm="256">
        <v>#VALUE!</v>
      </c>
      <c r="F1055" t="e" vm="37">
        <v>#VALUE!</v>
      </c>
      <c r="G1055" s="5" t="s">
        <v>1057</v>
      </c>
      <c r="H1055" t="s">
        <v>747</v>
      </c>
      <c r="I1055" t="s">
        <v>43</v>
      </c>
      <c r="J1055" s="18" t="s">
        <v>253</v>
      </c>
      <c r="K1055" t="s">
        <v>154</v>
      </c>
      <c r="L1055" s="20">
        <v>46189.969444444447</v>
      </c>
      <c r="M1055" s="18" t="s">
        <v>4296</v>
      </c>
      <c r="N1055" s="18" t="s">
        <v>1023</v>
      </c>
      <c r="O1055" s="20">
        <v>46190.395833333336</v>
      </c>
      <c r="P1055" s="20">
        <v>46190.416666666664</v>
      </c>
      <c r="Q1055" s="20">
        <v>46190.555555555555</v>
      </c>
      <c r="R1055">
        <v>24</v>
      </c>
      <c r="S1055" s="21" t="s">
        <v>4297</v>
      </c>
      <c r="T1055" s="18" t="s">
        <v>164</v>
      </c>
      <c r="V1055" s="21" t="s">
        <v>4298</v>
      </c>
      <c r="W1055" t="s">
        <v>4299</v>
      </c>
      <c r="Y1055" t="s">
        <v>70</v>
      </c>
      <c r="Z1055" t="s">
        <v>70</v>
      </c>
    </row>
    <row r="1056" spans="1:26" ht="15.75" hidden="1" customHeight="1">
      <c r="A1056" s="60">
        <f>ROW() - ROW(Table1[[#Headers],[s]])</f>
        <v>1055</v>
      </c>
      <c r="B1056" s="350" t="s">
        <v>4300</v>
      </c>
      <c r="C1056" s="272">
        <v>46174</v>
      </c>
      <c r="D1056" s="19" t="s">
        <v>4301</v>
      </c>
      <c r="E1056" t="e" vm="220">
        <v>#VALUE!</v>
      </c>
      <c r="F1056" t="e" vm="10">
        <v>#VALUE!</v>
      </c>
      <c r="G1056" s="5" t="s">
        <v>1057</v>
      </c>
      <c r="H1056" t="s">
        <v>152</v>
      </c>
      <c r="I1056" t="s">
        <v>43</v>
      </c>
      <c r="J1056" s="18" t="s">
        <v>153</v>
      </c>
      <c r="K1056" t="s">
        <v>154</v>
      </c>
      <c r="L1056" s="20">
        <v>46190.395833333336</v>
      </c>
      <c r="M1056" s="18" t="s">
        <v>78</v>
      </c>
      <c r="N1056" s="55" t="s">
        <v>78</v>
      </c>
      <c r="O1056" s="20">
        <v>46190.805555555555</v>
      </c>
      <c r="P1056" s="20">
        <v>46190.875</v>
      </c>
      <c r="Q1056" s="20">
        <v>46190.881249999999</v>
      </c>
      <c r="R1056">
        <v>96</v>
      </c>
      <c r="S1056" s="21" t="s">
        <v>4302</v>
      </c>
      <c r="T1056" s="18" t="s">
        <v>179</v>
      </c>
      <c r="V1056" s="21" t="s">
        <v>4303</v>
      </c>
      <c r="W1056" t="s">
        <v>4304</v>
      </c>
      <c r="Y1056" t="s">
        <v>158</v>
      </c>
      <c r="Z1056" t="s">
        <v>70</v>
      </c>
    </row>
    <row r="1057" spans="1:26" ht="15.75" hidden="1" customHeight="1">
      <c r="A1057" s="60">
        <f>ROW() - ROW(Table1[[#Headers],[s]])</f>
        <v>1056</v>
      </c>
      <c r="B1057" s="350" t="s">
        <v>4305</v>
      </c>
      <c r="C1057" s="272">
        <v>46174</v>
      </c>
      <c r="D1057" s="19" t="s">
        <v>4306</v>
      </c>
      <c r="E1057" s="42" t="s">
        <v>1825</v>
      </c>
      <c r="F1057" s="60" t="e" vm="40">
        <v>#VALUE!</v>
      </c>
      <c r="G1057" s="5" t="s">
        <v>1057</v>
      </c>
      <c r="H1057" t="s">
        <v>747</v>
      </c>
      <c r="I1057" t="s">
        <v>43</v>
      </c>
      <c r="J1057" s="18" t="s">
        <v>253</v>
      </c>
      <c r="K1057" t="s">
        <v>154</v>
      </c>
      <c r="L1057" s="20">
        <v>46190.427777777775</v>
      </c>
      <c r="M1057" s="18" t="s">
        <v>39</v>
      </c>
      <c r="N1057" s="18" t="s">
        <v>39</v>
      </c>
      <c r="O1057" s="20">
        <v>46190.53125</v>
      </c>
      <c r="P1057" s="20">
        <v>46190.55</v>
      </c>
      <c r="Q1057" s="20">
        <v>46190.613194444442</v>
      </c>
      <c r="R1057">
        <v>24</v>
      </c>
      <c r="S1057" s="21" t="s">
        <v>4307</v>
      </c>
      <c r="T1057" s="18" t="s">
        <v>164</v>
      </c>
      <c r="V1057" s="21" t="s">
        <v>4308</v>
      </c>
      <c r="W1057" t="s">
        <v>4309</v>
      </c>
      <c r="Y1057" t="s">
        <v>158</v>
      </c>
      <c r="Z1057" t="s">
        <v>158</v>
      </c>
    </row>
    <row r="1058" spans="1:26" ht="15.75" customHeight="1">
      <c r="A1058" s="60">
        <f>ROW() - ROW(Table1[[#Headers],[s]])</f>
        <v>1057</v>
      </c>
      <c r="B1058" s="350" t="s">
        <v>4310</v>
      </c>
      <c r="C1058" s="272">
        <v>46174</v>
      </c>
      <c r="D1058" s="242" t="s">
        <v>4311</v>
      </c>
      <c r="E1058" t="e" vm="187">
        <v>#VALUE!</v>
      </c>
      <c r="F1058" t="e" vm="16">
        <v>#VALUE!</v>
      </c>
      <c r="G1058" s="5" t="s">
        <v>186</v>
      </c>
      <c r="H1058" t="s">
        <v>152</v>
      </c>
      <c r="I1058" t="s">
        <v>43</v>
      </c>
      <c r="J1058" s="18" t="s">
        <v>153</v>
      </c>
      <c r="K1058" t="s">
        <v>154</v>
      </c>
      <c r="L1058" s="20">
        <v>46190.40625</v>
      </c>
      <c r="M1058" s="18" t="s">
        <v>4312</v>
      </c>
      <c r="N1058" s="18" t="s">
        <v>4312</v>
      </c>
      <c r="O1058" s="20">
        <v>46191.5</v>
      </c>
      <c r="P1058" s="2">
        <v>46191.506944444445</v>
      </c>
      <c r="Q1058" s="22">
        <v>46191.576388888891</v>
      </c>
      <c r="R1058">
        <v>24</v>
      </c>
      <c r="S1058" s="21" t="s">
        <v>4313</v>
      </c>
      <c r="T1058" s="18" t="s">
        <v>164</v>
      </c>
      <c r="V1058" s="21" t="s">
        <v>4314</v>
      </c>
      <c r="Y1058" t="s">
        <v>158</v>
      </c>
      <c r="Z1058" t="s">
        <v>70</v>
      </c>
    </row>
    <row r="1059" spans="1:26" ht="15.75" hidden="1" customHeight="1">
      <c r="A1059" s="60">
        <f>ROW() - ROW(Table1[[#Headers],[s]])</f>
        <v>1058</v>
      </c>
      <c r="B1059" s="350" t="s">
        <v>4315</v>
      </c>
      <c r="C1059" s="272">
        <v>46174</v>
      </c>
      <c r="D1059" s="19" t="s">
        <v>4316</v>
      </c>
      <c r="E1059" t="e" vm="83">
        <v>#VALUE!</v>
      </c>
      <c r="F1059" t="e" vm="37">
        <v>#VALUE!</v>
      </c>
      <c r="G1059" s="5" t="s">
        <v>1057</v>
      </c>
      <c r="H1059" t="s">
        <v>152</v>
      </c>
      <c r="I1059" t="s">
        <v>43</v>
      </c>
      <c r="J1059" s="18" t="s">
        <v>153</v>
      </c>
      <c r="K1059" t="s">
        <v>154</v>
      </c>
      <c r="L1059" s="20">
        <v>46190.477083333331</v>
      </c>
      <c r="M1059" s="18" t="s">
        <v>4317</v>
      </c>
      <c r="N1059" s="18" t="s">
        <v>4317</v>
      </c>
      <c r="O1059" s="20">
        <v>46190.6875</v>
      </c>
      <c r="P1059" s="20">
        <v>46190.711805555555</v>
      </c>
      <c r="Q1059" s="20">
        <v>46190.732638888891</v>
      </c>
      <c r="R1059">
        <v>12</v>
      </c>
      <c r="S1059" s="21" t="s">
        <v>4318</v>
      </c>
      <c r="T1059" s="18" t="s">
        <v>179</v>
      </c>
      <c r="V1059" s="21" t="s">
        <v>4319</v>
      </c>
      <c r="W1059" t="s">
        <v>4320</v>
      </c>
      <c r="Y1059" t="s">
        <v>158</v>
      </c>
      <c r="Z1059" t="s">
        <v>70</v>
      </c>
    </row>
    <row r="1060" spans="1:26" ht="15.75" hidden="1" customHeight="1">
      <c r="A1060" s="60">
        <f>ROW() - ROW(Table1[[#Headers],[s]])</f>
        <v>1059</v>
      </c>
      <c r="B1060" s="230" t="s">
        <v>4321</v>
      </c>
      <c r="C1060" s="272">
        <v>46174</v>
      </c>
      <c r="D1060" s="52" t="s">
        <v>4322</v>
      </c>
      <c r="E1060" t="e" vm="167">
        <v>#VALUE!</v>
      </c>
      <c r="F1060" t="e" vm="7">
        <v>#VALUE!</v>
      </c>
      <c r="G1060" s="5" t="s">
        <v>1057</v>
      </c>
      <c r="H1060" t="s">
        <v>152</v>
      </c>
      <c r="I1060" t="s">
        <v>43</v>
      </c>
      <c r="J1060" s="18" t="s">
        <v>153</v>
      </c>
      <c r="K1060" t="s">
        <v>154</v>
      </c>
      <c r="L1060" s="20">
        <v>46190.480555555558</v>
      </c>
      <c r="M1060" s="55" t="s">
        <v>2185</v>
      </c>
      <c r="N1060" s="55" t="s">
        <v>2185</v>
      </c>
      <c r="O1060" s="20">
        <v>46190.729166666664</v>
      </c>
      <c r="P1060" s="20">
        <v>46190.746527777781</v>
      </c>
      <c r="Q1060" s="20">
        <v>46190.831944444442</v>
      </c>
      <c r="R1060">
        <v>96</v>
      </c>
      <c r="S1060" s="21" t="s">
        <v>4323</v>
      </c>
      <c r="T1060" s="18" t="s">
        <v>179</v>
      </c>
      <c r="V1060" s="53" t="s">
        <v>4324</v>
      </c>
      <c r="W1060" t="s">
        <v>4325</v>
      </c>
      <c r="Y1060" t="s">
        <v>158</v>
      </c>
      <c r="Z1060" t="s">
        <v>70</v>
      </c>
    </row>
    <row r="1061" spans="1:26" ht="15.75" hidden="1" customHeight="1">
      <c r="A1061" s="60">
        <f>ROW() - ROW(Table1[[#Headers],[s]])</f>
        <v>1060</v>
      </c>
      <c r="B1061" s="350" t="s">
        <v>4326</v>
      </c>
      <c r="C1061" s="272">
        <v>46174</v>
      </c>
      <c r="D1061" s="19" t="s">
        <v>4327</v>
      </c>
      <c r="E1061" s="230" t="e" vm="206">
        <v>#VALUE!</v>
      </c>
      <c r="F1061" t="e" vm="10">
        <v>#VALUE!</v>
      </c>
      <c r="G1061" s="5" t="s">
        <v>1057</v>
      </c>
      <c r="H1061" t="s">
        <v>152</v>
      </c>
      <c r="I1061" t="s">
        <v>43</v>
      </c>
      <c r="J1061" s="18" t="s">
        <v>153</v>
      </c>
      <c r="K1061" t="s">
        <v>154</v>
      </c>
      <c r="L1061" s="20">
        <v>46190.480555555558</v>
      </c>
      <c r="M1061" s="18" t="s">
        <v>78</v>
      </c>
      <c r="N1061" s="55" t="s">
        <v>78</v>
      </c>
      <c r="O1061" s="20">
        <v>46190.631944444445</v>
      </c>
      <c r="P1061" s="20">
        <v>46190.659722222219</v>
      </c>
      <c r="Q1061" s="20">
        <v>46190.72152777778</v>
      </c>
      <c r="R1061">
        <v>24</v>
      </c>
      <c r="S1061" s="21" t="s">
        <v>4328</v>
      </c>
      <c r="T1061" s="18" t="s">
        <v>2765</v>
      </c>
      <c r="V1061" s="21" t="s">
        <v>4329</v>
      </c>
      <c r="Y1061" t="s">
        <v>158</v>
      </c>
      <c r="Z1061" t="s">
        <v>70</v>
      </c>
    </row>
    <row r="1062" spans="1:26" ht="15.75" hidden="1" customHeight="1">
      <c r="A1062" s="60">
        <f>ROW() - ROW(Table1[[#Headers],[s]])</f>
        <v>1061</v>
      </c>
      <c r="B1062" t="s">
        <v>4330</v>
      </c>
      <c r="C1062" s="272">
        <v>46174</v>
      </c>
      <c r="D1062" s="19" t="s">
        <v>4331</v>
      </c>
      <c r="E1062" t="e" vm="212">
        <v>#VALUE!</v>
      </c>
      <c r="F1062" t="e" vm="26">
        <v>#VALUE!</v>
      </c>
      <c r="G1062" s="5" t="s">
        <v>1057</v>
      </c>
      <c r="H1062" t="s">
        <v>152</v>
      </c>
      <c r="I1062" t="s">
        <v>43</v>
      </c>
      <c r="J1062" s="18" t="s">
        <v>153</v>
      </c>
      <c r="K1062" t="s">
        <v>154</v>
      </c>
      <c r="L1062" s="20">
        <v>46190.540277777778</v>
      </c>
      <c r="M1062" s="18" t="s">
        <v>4296</v>
      </c>
      <c r="N1062" s="18" t="s">
        <v>4296</v>
      </c>
      <c r="O1062" s="20">
        <v>46190.6875</v>
      </c>
      <c r="P1062" s="20">
        <v>46190.690972222219</v>
      </c>
      <c r="Q1062" s="20">
        <v>46190.729166666664</v>
      </c>
      <c r="R1062">
        <v>12</v>
      </c>
      <c r="S1062" s="21" t="s">
        <v>4332</v>
      </c>
      <c r="T1062" s="18" t="s">
        <v>2765</v>
      </c>
      <c r="V1062" s="21" t="s">
        <v>4333</v>
      </c>
      <c r="Y1062" t="s">
        <v>158</v>
      </c>
      <c r="Z1062" t="s">
        <v>70</v>
      </c>
    </row>
    <row r="1063" spans="1:26" ht="15.75" hidden="1" customHeight="1">
      <c r="A1063" s="60">
        <f>ROW() - ROW(Table1[[#Headers],[s]])</f>
        <v>1062</v>
      </c>
      <c r="B1063" s="350" t="s">
        <v>4334</v>
      </c>
      <c r="C1063" s="23" t="s">
        <v>60</v>
      </c>
      <c r="D1063" s="19" t="s">
        <v>4335</v>
      </c>
      <c r="E1063" t="e" vm="220">
        <v>#VALUE!</v>
      </c>
      <c r="F1063" t="e" vm="10">
        <v>#VALUE!</v>
      </c>
      <c r="G1063" s="5" t="s">
        <v>1057</v>
      </c>
      <c r="H1063" t="s">
        <v>152</v>
      </c>
      <c r="I1063" t="s">
        <v>43</v>
      </c>
      <c r="J1063" s="18" t="s">
        <v>153</v>
      </c>
      <c r="K1063" s="42" t="s">
        <v>154</v>
      </c>
      <c r="L1063" s="20">
        <v>46190.620833333334</v>
      </c>
      <c r="M1063" s="18" t="s">
        <v>78</v>
      </c>
      <c r="N1063" s="55" t="s">
        <v>78</v>
      </c>
      <c r="O1063" s="20">
        <v>46190.805555555555</v>
      </c>
      <c r="P1063" s="20">
        <v>46190.875</v>
      </c>
      <c r="Q1063" s="20">
        <v>46190.881249999999</v>
      </c>
      <c r="R1063">
        <v>96</v>
      </c>
      <c r="S1063" s="21" t="s">
        <v>4336</v>
      </c>
      <c r="T1063" s="18" t="s">
        <v>179</v>
      </c>
      <c r="V1063" s="21" t="s">
        <v>4303</v>
      </c>
      <c r="W1063" t="s">
        <v>4304</v>
      </c>
      <c r="Y1063" t="s">
        <v>158</v>
      </c>
      <c r="Z1063" t="s">
        <v>70</v>
      </c>
    </row>
    <row r="1064" spans="1:26" ht="15.75" hidden="1" customHeight="1">
      <c r="A1064" s="60">
        <f>ROW() - ROW(Table1[[#Headers],[s]])</f>
        <v>1063</v>
      </c>
      <c r="B1064" s="350" t="s">
        <v>4337</v>
      </c>
      <c r="C1064" s="272">
        <v>46174</v>
      </c>
      <c r="D1064" s="19" t="s">
        <v>4338</v>
      </c>
      <c r="E1064" s="230" t="e" vm="142">
        <v>#VALUE!</v>
      </c>
      <c r="F1064" t="e" vm="2">
        <v>#VALUE!</v>
      </c>
      <c r="G1064" s="5" t="s">
        <v>1057</v>
      </c>
      <c r="H1064" t="s">
        <v>152</v>
      </c>
      <c r="I1064" t="s">
        <v>43</v>
      </c>
      <c r="J1064" s="18" t="s">
        <v>153</v>
      </c>
      <c r="K1064" t="s">
        <v>154</v>
      </c>
      <c r="L1064" s="20">
        <v>46190.637499999997</v>
      </c>
      <c r="M1064" s="18" t="s">
        <v>162</v>
      </c>
      <c r="N1064" s="18" t="s">
        <v>162</v>
      </c>
      <c r="O1064" s="20">
        <v>46190.965277777781</v>
      </c>
      <c r="P1064" s="20">
        <v>46190.975694444445</v>
      </c>
      <c r="Q1064" s="20">
        <v>46190.327777777777</v>
      </c>
      <c r="R1064">
        <v>24</v>
      </c>
      <c r="S1064" s="21" t="s">
        <v>4339</v>
      </c>
      <c r="T1064" s="18" t="s">
        <v>179</v>
      </c>
      <c r="V1064" s="21" t="s">
        <v>4340</v>
      </c>
      <c r="Y1064" t="s">
        <v>158</v>
      </c>
      <c r="Z1064" t="s">
        <v>70</v>
      </c>
    </row>
    <row r="1065" spans="1:26" ht="15.75" customHeight="1">
      <c r="A1065" s="60">
        <f>ROW() - ROW(Table1[[#Headers],[s]])</f>
        <v>1064</v>
      </c>
      <c r="B1065" s="351" t="s">
        <v>4341</v>
      </c>
      <c r="C1065" s="272">
        <v>46174</v>
      </c>
      <c r="D1065" s="19" t="s">
        <v>4342</v>
      </c>
      <c r="E1065" t="e" vm="32">
        <v>#VALUE!</v>
      </c>
      <c r="F1065" t="e" vm="7">
        <v>#VALUE!</v>
      </c>
      <c r="G1065" s="5" t="s">
        <v>186</v>
      </c>
      <c r="H1065" t="s">
        <v>152</v>
      </c>
      <c r="I1065" t="s">
        <v>43</v>
      </c>
      <c r="J1065" s="18" t="s">
        <v>153</v>
      </c>
      <c r="K1065" t="s">
        <v>154</v>
      </c>
      <c r="L1065" s="20">
        <v>46190.65902777778</v>
      </c>
      <c r="M1065" s="18" t="s">
        <v>4343</v>
      </c>
      <c r="N1065" s="18" t="s">
        <v>4343</v>
      </c>
      <c r="O1065" s="3">
        <v>46190.791666666664</v>
      </c>
      <c r="P1065" s="2">
        <v>46191.333333333336</v>
      </c>
      <c r="Q1065" s="22">
        <v>46191.620833333334</v>
      </c>
      <c r="R1065">
        <v>24</v>
      </c>
      <c r="S1065" s="21" t="s">
        <v>4344</v>
      </c>
      <c r="T1065" s="18" t="s">
        <v>164</v>
      </c>
      <c r="V1065" s="21" t="s">
        <v>4345</v>
      </c>
      <c r="Y1065" t="s">
        <v>70</v>
      </c>
      <c r="Z1065" t="s">
        <v>158</v>
      </c>
    </row>
    <row r="1066" spans="1:26" ht="15.75" hidden="1" customHeight="1">
      <c r="A1066" s="60">
        <f>ROW() - ROW(Table1[[#Headers],[s]])</f>
        <v>1065</v>
      </c>
      <c r="B1066" s="350" t="s">
        <v>4346</v>
      </c>
      <c r="C1066" s="272">
        <v>46174</v>
      </c>
      <c r="D1066" s="19" t="s">
        <v>4347</v>
      </c>
      <c r="E1066" t="e" vm="138">
        <v>#VALUE!</v>
      </c>
      <c r="F1066" t="e" vm="5">
        <v>#VALUE!</v>
      </c>
      <c r="G1066" s="5" t="s">
        <v>1057</v>
      </c>
      <c r="H1066" t="s">
        <v>747</v>
      </c>
      <c r="I1066" t="s">
        <v>43</v>
      </c>
      <c r="J1066" s="18" t="s">
        <v>253</v>
      </c>
      <c r="K1066" t="s">
        <v>154</v>
      </c>
      <c r="L1066" s="20">
        <v>46190.910416666666</v>
      </c>
      <c r="M1066" s="18" t="s">
        <v>55</v>
      </c>
      <c r="N1066" s="18" t="s">
        <v>55</v>
      </c>
      <c r="O1066" s="20">
        <v>46191.315972222219</v>
      </c>
      <c r="P1066" s="20">
        <v>46191.322916666664</v>
      </c>
      <c r="Q1066" s="20">
        <v>46191.331944444442</v>
      </c>
      <c r="R1066">
        <v>24</v>
      </c>
      <c r="S1066" s="21" t="s">
        <v>4348</v>
      </c>
      <c r="T1066" s="18" t="s">
        <v>179</v>
      </c>
      <c r="V1066" s="21" t="s">
        <v>4349</v>
      </c>
      <c r="W1066" t="s">
        <v>4350</v>
      </c>
      <c r="Y1066" t="s">
        <v>70</v>
      </c>
      <c r="Z1066" t="s">
        <v>70</v>
      </c>
    </row>
    <row r="1067" spans="1:26" ht="15.75" hidden="1" customHeight="1">
      <c r="A1067" s="60">
        <f>ROW() - ROW(Table1[[#Headers],[s]])</f>
        <v>1066</v>
      </c>
      <c r="B1067" s="352" t="s">
        <v>4351</v>
      </c>
      <c r="C1067" s="272">
        <v>46174</v>
      </c>
      <c r="D1067" s="19" t="s">
        <v>4352</v>
      </c>
      <c r="E1067" t="e" vm="180">
        <v>#VALUE!</v>
      </c>
      <c r="F1067" t="e" vm="16">
        <v>#VALUE!</v>
      </c>
      <c r="G1067" s="5" t="s">
        <v>174</v>
      </c>
      <c r="H1067" t="s">
        <v>747</v>
      </c>
      <c r="J1067" s="18" t="s">
        <v>253</v>
      </c>
      <c r="K1067" t="s">
        <v>154</v>
      </c>
      <c r="L1067" s="20">
        <v>46191.136805555558</v>
      </c>
      <c r="M1067" s="18" t="s">
        <v>3413</v>
      </c>
      <c r="N1067" s="18" t="s">
        <v>3413</v>
      </c>
      <c r="O1067" s="3">
        <v>46192.333333333336</v>
      </c>
      <c r="P1067" s="3">
        <v>46192.364583333336</v>
      </c>
      <c r="Q1067" s="22">
        <v>46192.45416666667</v>
      </c>
      <c r="S1067" s="21" t="s">
        <v>4353</v>
      </c>
      <c r="T1067" s="18" t="s">
        <v>4354</v>
      </c>
      <c r="V1067" s="21" t="s">
        <v>4355</v>
      </c>
      <c r="Y1067" t="s">
        <v>70</v>
      </c>
      <c r="Z1067" t="s">
        <v>70</v>
      </c>
    </row>
    <row r="1068" spans="1:26" ht="15.75" hidden="1" customHeight="1">
      <c r="A1068" s="60">
        <f>ROW() - ROW(Table1[[#Headers],[s]])</f>
        <v>1067</v>
      </c>
      <c r="B1068" s="352" t="s">
        <v>4356</v>
      </c>
      <c r="C1068" s="272">
        <v>46174</v>
      </c>
      <c r="D1068" s="305" t="s">
        <v>4357</v>
      </c>
      <c r="E1068" t="s">
        <v>4358</v>
      </c>
      <c r="F1068" t="e" vm="7">
        <v>#VALUE!</v>
      </c>
      <c r="G1068" s="5" t="s">
        <v>174</v>
      </c>
      <c r="H1068" t="s">
        <v>747</v>
      </c>
      <c r="J1068" s="18" t="s">
        <v>253</v>
      </c>
      <c r="K1068" t="s">
        <v>154</v>
      </c>
      <c r="L1068" s="20">
        <v>46191.861111111109</v>
      </c>
      <c r="M1068" s="18" t="s">
        <v>4359</v>
      </c>
      <c r="N1068" s="18" t="s">
        <v>4359</v>
      </c>
      <c r="O1068" s="3">
        <v>46192.333333333336</v>
      </c>
      <c r="P1068" s="3">
        <v>46192.364583333336</v>
      </c>
      <c r="Q1068" s="22">
        <v>46192.663888888892</v>
      </c>
      <c r="S1068" s="21" t="s">
        <v>473</v>
      </c>
      <c r="T1068" s="18" t="s">
        <v>266</v>
      </c>
      <c r="V1068" s="21" t="s">
        <v>404</v>
      </c>
      <c r="Y1068" t="s">
        <v>70</v>
      </c>
      <c r="Z1068" t="s">
        <v>158</v>
      </c>
    </row>
    <row r="1069" spans="1:26" ht="15.75" customHeight="1">
      <c r="A1069" s="60">
        <f>ROW() - ROW(Table1[[#Headers],[s]])</f>
        <v>1068</v>
      </c>
      <c r="B1069" s="353" t="s">
        <v>4360</v>
      </c>
      <c r="C1069" s="272">
        <v>46174</v>
      </c>
      <c r="D1069" s="19" t="s">
        <v>4361</v>
      </c>
      <c r="E1069" s="36" t="e" vm="288">
        <v>#VALUE!</v>
      </c>
      <c r="F1069" t="e" vm="16">
        <v>#VALUE!</v>
      </c>
      <c r="G1069" s="5" t="s">
        <v>186</v>
      </c>
      <c r="H1069" t="s">
        <v>747</v>
      </c>
      <c r="I1069" t="s">
        <v>43</v>
      </c>
      <c r="J1069" s="18" t="s">
        <v>253</v>
      </c>
      <c r="K1069" t="s">
        <v>4362</v>
      </c>
      <c r="L1069" s="20">
        <v>46191.603472222225</v>
      </c>
      <c r="M1069" s="18" t="s">
        <v>3413</v>
      </c>
      <c r="N1069" s="18" t="s">
        <v>3413</v>
      </c>
      <c r="O1069" s="3">
        <v>46191.666666666664</v>
      </c>
      <c r="P1069" s="2">
        <v>46191.708333333336</v>
      </c>
      <c r="Q1069" s="22">
        <v>46191.829861111109</v>
      </c>
      <c r="R1069">
        <v>24</v>
      </c>
      <c r="S1069" s="389" t="s">
        <v>4363</v>
      </c>
      <c r="T1069" s="18" t="s">
        <v>164</v>
      </c>
      <c r="V1069" s="389" t="s">
        <v>4364</v>
      </c>
      <c r="Y1069" t="s">
        <v>158</v>
      </c>
      <c r="Z1069" t="s">
        <v>158</v>
      </c>
    </row>
    <row r="1070" spans="1:26" ht="15.75" customHeight="1">
      <c r="A1070" s="60">
        <f>ROW() - ROW(Table1[[#Headers],[s]])</f>
        <v>1069</v>
      </c>
      <c r="B1070" s="350" t="s">
        <v>4365</v>
      </c>
      <c r="C1070" s="272">
        <v>46174</v>
      </c>
      <c r="D1070" s="19" t="s">
        <v>4366</v>
      </c>
      <c r="E1070" t="e" vm="126">
        <v>#VALUE!</v>
      </c>
      <c r="F1070" t="e" vm="26">
        <v>#VALUE!</v>
      </c>
      <c r="G1070" s="5" t="s">
        <v>186</v>
      </c>
      <c r="H1070" t="s">
        <v>152</v>
      </c>
      <c r="I1070" t="s">
        <v>43</v>
      </c>
      <c r="J1070" s="18" t="s">
        <v>153</v>
      </c>
      <c r="K1070" t="s">
        <v>154</v>
      </c>
      <c r="L1070" s="20">
        <v>46191.533333333333</v>
      </c>
      <c r="M1070" s="18" t="s">
        <v>800</v>
      </c>
      <c r="N1070" s="18" t="s">
        <v>800</v>
      </c>
      <c r="O1070" s="3">
        <v>46191.583333333336</v>
      </c>
      <c r="P1070" s="2">
        <v>46191.590277777781</v>
      </c>
      <c r="Q1070" s="22">
        <v>46191.720138888886</v>
      </c>
      <c r="R1070">
        <v>24</v>
      </c>
      <c r="S1070" s="21" t="s">
        <v>4367</v>
      </c>
      <c r="T1070" s="18" t="s">
        <v>164</v>
      </c>
      <c r="V1070" s="21" t="s">
        <v>4368</v>
      </c>
      <c r="Y1070" t="s">
        <v>158</v>
      </c>
      <c r="Z1070" t="s">
        <v>158</v>
      </c>
    </row>
    <row r="1071" spans="1:26" ht="15.75" customHeight="1">
      <c r="A1071" s="60">
        <f>ROW() - ROW(Table1[[#Headers],[s]])</f>
        <v>1070</v>
      </c>
      <c r="B1071" s="350" t="s">
        <v>4369</v>
      </c>
      <c r="C1071" s="272">
        <v>46174</v>
      </c>
      <c r="D1071" s="19" t="s">
        <v>4370</v>
      </c>
      <c r="E1071" t="e" vm="131">
        <v>#VALUE!</v>
      </c>
      <c r="F1071" t="e" vm="25">
        <v>#VALUE!</v>
      </c>
      <c r="G1071" s="5" t="s">
        <v>186</v>
      </c>
      <c r="H1071" t="s">
        <v>152</v>
      </c>
      <c r="I1071" t="s">
        <v>43</v>
      </c>
      <c r="J1071" s="18" t="s">
        <v>153</v>
      </c>
      <c r="K1071" t="s">
        <v>154</v>
      </c>
      <c r="L1071" s="20">
        <v>46191.534722222219</v>
      </c>
      <c r="M1071" s="18" t="s">
        <v>566</v>
      </c>
      <c r="N1071" s="18" t="s">
        <v>4371</v>
      </c>
      <c r="O1071" s="3">
        <v>46191.75</v>
      </c>
      <c r="P1071" s="2">
        <v>46191.756944444445</v>
      </c>
      <c r="Q1071" s="22">
        <v>46191.806944444441</v>
      </c>
      <c r="R1071">
        <v>12</v>
      </c>
      <c r="S1071" s="21" t="s">
        <v>3010</v>
      </c>
      <c r="T1071" s="18" t="s">
        <v>164</v>
      </c>
      <c r="V1071" s="21" t="s">
        <v>4372</v>
      </c>
      <c r="Y1071" t="s">
        <v>158</v>
      </c>
      <c r="Z1071" t="s">
        <v>70</v>
      </c>
    </row>
    <row r="1072" spans="1:26" ht="15.75" customHeight="1">
      <c r="A1072" s="60">
        <f>ROW() - ROW(Table1[[#Headers],[s]])</f>
        <v>1071</v>
      </c>
      <c r="B1072" s="350" t="s">
        <v>4373</v>
      </c>
      <c r="C1072" s="272">
        <v>46174</v>
      </c>
      <c r="D1072" s="19" t="s">
        <v>4374</v>
      </c>
      <c r="E1072" t="e" vm="275">
        <v>#VALUE!</v>
      </c>
      <c r="F1072" t="e" vm="17">
        <v>#VALUE!</v>
      </c>
      <c r="G1072" s="5" t="s">
        <v>186</v>
      </c>
      <c r="H1072" t="s">
        <v>152</v>
      </c>
      <c r="I1072" t="s">
        <v>43</v>
      </c>
      <c r="J1072" s="18" t="s">
        <v>153</v>
      </c>
      <c r="K1072" t="s">
        <v>4375</v>
      </c>
      <c r="L1072" s="20">
        <v>46191.663194444445</v>
      </c>
      <c r="M1072" s="18" t="s">
        <v>1643</v>
      </c>
      <c r="N1072" s="18" t="s">
        <v>1643</v>
      </c>
      <c r="O1072" s="3">
        <v>46191.833333333336</v>
      </c>
      <c r="P1072" s="2">
        <v>46191.840277777781</v>
      </c>
      <c r="Q1072" s="22">
        <v>46192.025000000001</v>
      </c>
      <c r="R1072">
        <v>12</v>
      </c>
      <c r="S1072" s="21" t="s">
        <v>424</v>
      </c>
      <c r="T1072" s="18" t="s">
        <v>164</v>
      </c>
      <c r="V1072" s="21" t="s">
        <v>4376</v>
      </c>
      <c r="Y1072" t="s">
        <v>158</v>
      </c>
      <c r="Z1072" t="s">
        <v>70</v>
      </c>
    </row>
    <row r="1073" spans="1:26" ht="15.75" hidden="1" customHeight="1">
      <c r="A1073" s="60">
        <f>ROW() - ROW(Table1[[#Headers],[s]])</f>
        <v>1072</v>
      </c>
      <c r="B1073" s="353" t="s">
        <v>4377</v>
      </c>
      <c r="C1073" s="272">
        <v>46174</v>
      </c>
      <c r="D1073" s="19" t="s">
        <v>4378</v>
      </c>
      <c r="E1073" t="e" vm="187">
        <v>#VALUE!</v>
      </c>
      <c r="F1073" t="e" vm="16">
        <v>#VALUE!</v>
      </c>
      <c r="G1073" s="5" t="s">
        <v>174</v>
      </c>
      <c r="H1073" t="s">
        <v>152</v>
      </c>
      <c r="J1073" s="18" t="s">
        <v>153</v>
      </c>
      <c r="K1073" t="s">
        <v>154</v>
      </c>
      <c r="L1073" s="20">
        <v>46191.690972222219</v>
      </c>
      <c r="M1073" s="18" t="s">
        <v>4312</v>
      </c>
      <c r="N1073" s="18" t="s">
        <v>58</v>
      </c>
      <c r="O1073" s="3">
        <v>46192.333333333336</v>
      </c>
      <c r="P1073" s="3">
        <v>46192.364583333336</v>
      </c>
      <c r="Q1073" s="22">
        <v>46192.395833333336</v>
      </c>
      <c r="S1073" s="21" t="s">
        <v>4379</v>
      </c>
      <c r="T1073" s="18" t="s">
        <v>478</v>
      </c>
      <c r="V1073" s="21" t="s">
        <v>4380</v>
      </c>
      <c r="Y1073" t="s">
        <v>158</v>
      </c>
      <c r="Z1073" t="s">
        <v>70</v>
      </c>
    </row>
    <row r="1074" spans="1:26" ht="15.75" customHeight="1">
      <c r="A1074" s="60">
        <f>ROW() - ROW(Table1[[#Headers],[s]])</f>
        <v>1073</v>
      </c>
      <c r="B1074" s="350" t="s">
        <v>4237</v>
      </c>
      <c r="C1074" s="272">
        <v>46174</v>
      </c>
      <c r="D1074" s="19" t="s">
        <v>4381</v>
      </c>
      <c r="E1074" t="e" vm="20">
        <v>#VALUE!</v>
      </c>
      <c r="F1074" t="e" vm="21">
        <v>#VALUE!</v>
      </c>
      <c r="G1074" s="5" t="s">
        <v>186</v>
      </c>
      <c r="H1074" t="s">
        <v>152</v>
      </c>
      <c r="I1074" t="s">
        <v>43</v>
      </c>
      <c r="J1074" s="18" t="s">
        <v>153</v>
      </c>
      <c r="K1074" t="s">
        <v>154</v>
      </c>
      <c r="L1074" s="20">
        <v>46191.720138888886</v>
      </c>
      <c r="M1074" s="18" t="s">
        <v>39</v>
      </c>
      <c r="N1074" s="18" t="s">
        <v>39</v>
      </c>
      <c r="O1074" s="3">
        <v>46191.75</v>
      </c>
      <c r="P1074" s="2">
        <v>46191.756944444445</v>
      </c>
      <c r="Q1074" s="22">
        <v>46191.791666666664</v>
      </c>
      <c r="R1074">
        <v>12</v>
      </c>
      <c r="S1074" s="21" t="s">
        <v>3010</v>
      </c>
      <c r="T1074" s="18" t="s">
        <v>164</v>
      </c>
      <c r="V1074" s="21" t="s">
        <v>4382</v>
      </c>
      <c r="Y1074" t="s">
        <v>158</v>
      </c>
      <c r="Z1074" t="s">
        <v>70</v>
      </c>
    </row>
    <row r="1075" spans="1:26" ht="15.75" hidden="1" customHeight="1">
      <c r="A1075" s="60">
        <f>ROW() - ROW(Table1[[#Headers],[s]])</f>
        <v>1074</v>
      </c>
      <c r="B1075" s="350" t="s">
        <v>4383</v>
      </c>
      <c r="C1075" s="272">
        <v>46174</v>
      </c>
      <c r="D1075" s="19" t="s">
        <v>4384</v>
      </c>
      <c r="E1075" t="e" vm="146">
        <v>#VALUE!</v>
      </c>
      <c r="F1075" t="e" vm="37">
        <v>#VALUE!</v>
      </c>
      <c r="G1075" s="5" t="s">
        <v>174</v>
      </c>
      <c r="H1075" t="s">
        <v>747</v>
      </c>
      <c r="J1075" s="18" t="s">
        <v>253</v>
      </c>
      <c r="K1075" t="s">
        <v>154</v>
      </c>
      <c r="L1075" s="20">
        <v>46192.345833333333</v>
      </c>
      <c r="M1075" s="18" t="s">
        <v>4385</v>
      </c>
      <c r="N1075" s="18" t="s">
        <v>4385</v>
      </c>
      <c r="O1075" s="20">
        <v>46192.416666666664</v>
      </c>
      <c r="P1075" s="20">
        <v>46192.458333333336</v>
      </c>
      <c r="Q1075" s="20">
        <v>46192.55</v>
      </c>
      <c r="S1075" s="21" t="s">
        <v>2902</v>
      </c>
      <c r="T1075" s="18" t="s">
        <v>2165</v>
      </c>
      <c r="V1075" s="21" t="s">
        <v>4386</v>
      </c>
      <c r="Y1075" t="s">
        <v>158</v>
      </c>
      <c r="Z1075" t="s">
        <v>70</v>
      </c>
    </row>
    <row r="1076" spans="1:26" ht="15.75" hidden="1" customHeight="1">
      <c r="A1076" s="60">
        <f>ROW() - ROW(Table1[[#Headers],[s]])</f>
        <v>1075</v>
      </c>
      <c r="B1076" s="223" t="s">
        <v>4387</v>
      </c>
      <c r="C1076" s="163">
        <v>46174</v>
      </c>
      <c r="D1076" s="52" t="s">
        <v>4388</v>
      </c>
      <c r="E1076" t="e" vm="205">
        <v>#VALUE!</v>
      </c>
      <c r="F1076" t="e" vm="10">
        <v>#VALUE!</v>
      </c>
      <c r="G1076" s="5" t="s">
        <v>174</v>
      </c>
      <c r="H1076" t="s">
        <v>152</v>
      </c>
      <c r="J1076" s="18" t="s">
        <v>153</v>
      </c>
      <c r="K1076" t="s">
        <v>154</v>
      </c>
      <c r="L1076" s="20">
        <v>46192.387499999997</v>
      </c>
      <c r="M1076" s="18" t="s">
        <v>78</v>
      </c>
      <c r="N1076" s="55" t="s">
        <v>78</v>
      </c>
      <c r="O1076" s="20">
        <v>46192.4375</v>
      </c>
      <c r="P1076" s="20">
        <v>46192.46875</v>
      </c>
      <c r="Q1076" s="20">
        <v>46192.479166666664</v>
      </c>
      <c r="S1076" s="21" t="s">
        <v>4389</v>
      </c>
      <c r="T1076" s="55" t="s">
        <v>2765</v>
      </c>
      <c r="V1076" s="53" t="s">
        <v>3012</v>
      </c>
      <c r="Y1076" t="s">
        <v>158</v>
      </c>
      <c r="Z1076" t="s">
        <v>70</v>
      </c>
    </row>
    <row r="1077" spans="1:26" ht="15.75" hidden="1" customHeight="1">
      <c r="A1077" s="60">
        <f>ROW() - ROW(Table1[[#Headers],[s]])</f>
        <v>1076</v>
      </c>
      <c r="B1077" s="223" t="s">
        <v>4390</v>
      </c>
      <c r="C1077" s="272">
        <v>46174</v>
      </c>
      <c r="D1077" s="19" t="s">
        <v>4391</v>
      </c>
      <c r="E1077" t="e" vm="210">
        <v>#VALUE!</v>
      </c>
      <c r="F1077" t="e" vm="2">
        <v>#VALUE!</v>
      </c>
      <c r="G1077" s="5" t="s">
        <v>174</v>
      </c>
      <c r="H1077" t="s">
        <v>152</v>
      </c>
      <c r="J1077" s="18" t="s">
        <v>153</v>
      </c>
      <c r="K1077" t="s">
        <v>154</v>
      </c>
      <c r="L1077" s="20">
        <v>46192.456250000003</v>
      </c>
      <c r="M1077" s="18" t="s">
        <v>162</v>
      </c>
      <c r="N1077" s="18" t="s">
        <v>162</v>
      </c>
      <c r="O1077" s="20">
        <v>46192.489583333336</v>
      </c>
      <c r="P1077" s="20">
        <v>46192.520833333336</v>
      </c>
      <c r="Q1077" s="20">
        <v>46192.5625</v>
      </c>
      <c r="S1077" s="21" t="s">
        <v>4392</v>
      </c>
      <c r="T1077" s="18" t="s">
        <v>478</v>
      </c>
      <c r="V1077" s="21" t="s">
        <v>2347</v>
      </c>
      <c r="Y1077" t="s">
        <v>158</v>
      </c>
      <c r="Z1077" t="s">
        <v>70</v>
      </c>
    </row>
    <row r="1078" spans="1:26" ht="15.75" hidden="1" customHeight="1">
      <c r="A1078" s="60">
        <f>ROW() - ROW(Table1[[#Headers],[s]])</f>
        <v>1077</v>
      </c>
      <c r="B1078" s="223" t="s">
        <v>4393</v>
      </c>
      <c r="C1078" s="272">
        <v>46174</v>
      </c>
      <c r="D1078" s="19" t="s">
        <v>4394</v>
      </c>
      <c r="E1078" t="e" vm="58">
        <v>#VALUE!</v>
      </c>
      <c r="F1078" t="e" vm="25">
        <v>#VALUE!</v>
      </c>
      <c r="G1078" s="5" t="s">
        <v>174</v>
      </c>
      <c r="H1078" t="s">
        <v>152</v>
      </c>
      <c r="J1078" s="18" t="s">
        <v>153</v>
      </c>
      <c r="K1078" t="s">
        <v>154</v>
      </c>
      <c r="L1078" s="20">
        <v>46192.484722222223</v>
      </c>
      <c r="M1078" s="18" t="s">
        <v>72</v>
      </c>
      <c r="N1078" s="18" t="s">
        <v>72</v>
      </c>
      <c r="O1078" s="20">
        <v>46192.559027777781</v>
      </c>
      <c r="P1078" s="20">
        <v>46192.59375</v>
      </c>
      <c r="Q1078" s="20">
        <v>46192.645833333336</v>
      </c>
      <c r="S1078" s="21" t="s">
        <v>4395</v>
      </c>
      <c r="T1078" s="18" t="s">
        <v>4354</v>
      </c>
      <c r="V1078" s="21" t="s">
        <v>4396</v>
      </c>
      <c r="Y1078" t="s">
        <v>158</v>
      </c>
      <c r="Z1078" t="s">
        <v>70</v>
      </c>
    </row>
    <row r="1079" spans="1:26" ht="15.75" hidden="1" customHeight="1">
      <c r="A1079" s="60">
        <f>ROW() - ROW(Table1[[#Headers],[s]])</f>
        <v>1078</v>
      </c>
      <c r="B1079" s="350" t="s">
        <v>4397</v>
      </c>
      <c r="C1079" s="272">
        <v>46174</v>
      </c>
      <c r="D1079" s="19" t="s">
        <v>4398</v>
      </c>
      <c r="E1079" t="e" vm="161">
        <v>#VALUE!</v>
      </c>
      <c r="F1079" t="e" vm="39">
        <v>#VALUE!</v>
      </c>
      <c r="G1079" s="5" t="s">
        <v>174</v>
      </c>
      <c r="H1079" t="s">
        <v>747</v>
      </c>
      <c r="J1079" s="18" t="s">
        <v>253</v>
      </c>
      <c r="K1079" t="s">
        <v>4399</v>
      </c>
      <c r="L1079" s="20">
        <v>46192.53125</v>
      </c>
      <c r="M1079" s="18" t="s">
        <v>1536</v>
      </c>
      <c r="N1079" s="18" t="s">
        <v>1536</v>
      </c>
      <c r="O1079" s="20">
        <v>46192.53125</v>
      </c>
      <c r="P1079" s="20">
        <v>46192.53125</v>
      </c>
      <c r="Q1079" s="20">
        <v>46192.53125</v>
      </c>
      <c r="S1079" s="21" t="s">
        <v>4400</v>
      </c>
      <c r="T1079" s="18" t="s">
        <v>478</v>
      </c>
      <c r="V1079" s="21" t="s">
        <v>4400</v>
      </c>
      <c r="Y1079" t="s">
        <v>158</v>
      </c>
      <c r="Z1079" t="s">
        <v>70</v>
      </c>
    </row>
    <row r="1080" spans="1:26" ht="15.75" hidden="1" customHeight="1">
      <c r="A1080" s="60">
        <f>ROW() - ROW(Table1[[#Headers],[s]])</f>
        <v>1079</v>
      </c>
      <c r="B1080" s="223" t="s">
        <v>4401</v>
      </c>
      <c r="C1080" s="272">
        <v>46174</v>
      </c>
      <c r="D1080" s="19" t="s">
        <v>4402</v>
      </c>
      <c r="E1080" t="e" vm="289">
        <v>#VALUE!</v>
      </c>
      <c r="F1080" t="e" vm="25">
        <v>#VALUE!</v>
      </c>
      <c r="G1080" s="5" t="s">
        <v>174</v>
      </c>
      <c r="H1080" t="s">
        <v>152</v>
      </c>
      <c r="J1080" s="18" t="s">
        <v>153</v>
      </c>
      <c r="K1080" t="s">
        <v>154</v>
      </c>
      <c r="L1080" s="20">
        <v>46192.547222222223</v>
      </c>
      <c r="M1080" s="18" t="s">
        <v>53</v>
      </c>
      <c r="N1080" s="18" t="s">
        <v>53</v>
      </c>
      <c r="O1080" s="20">
        <v>46192.614583333336</v>
      </c>
      <c r="P1080" s="20">
        <v>46192.645833333336</v>
      </c>
      <c r="Q1080" s="20">
        <v>46192.697916666664</v>
      </c>
      <c r="S1080" s="21" t="s">
        <v>4403</v>
      </c>
      <c r="T1080" s="18" t="s">
        <v>1348</v>
      </c>
      <c r="V1080" s="21" t="s">
        <v>4396</v>
      </c>
      <c r="Y1080" t="s">
        <v>158</v>
      </c>
      <c r="Z1080" t="s">
        <v>70</v>
      </c>
    </row>
    <row r="1081" spans="1:26" ht="15.75" hidden="1" customHeight="1">
      <c r="A1081" s="60">
        <f>ROW() - ROW(Table1[[#Headers],[s]])</f>
        <v>1080</v>
      </c>
      <c r="B1081" s="350" t="s">
        <v>911</v>
      </c>
      <c r="C1081" s="272">
        <v>46174</v>
      </c>
      <c r="D1081" s="19" t="s">
        <v>4404</v>
      </c>
      <c r="E1081" t="e" vm="114">
        <v>#VALUE!</v>
      </c>
      <c r="F1081" t="e" vm="5">
        <v>#VALUE!</v>
      </c>
      <c r="G1081" s="5" t="s">
        <v>174</v>
      </c>
      <c r="H1081" t="s">
        <v>747</v>
      </c>
      <c r="J1081" s="18" t="s">
        <v>253</v>
      </c>
      <c r="K1081" t="s">
        <v>154</v>
      </c>
      <c r="L1081" s="20">
        <v>46192.561805555553</v>
      </c>
      <c r="M1081" s="18" t="s">
        <v>55</v>
      </c>
      <c r="N1081" s="18" t="s">
        <v>55</v>
      </c>
      <c r="O1081" s="3"/>
      <c r="Q1081" s="20">
        <v>46192.731944444444</v>
      </c>
      <c r="S1081" s="21" t="s">
        <v>4405</v>
      </c>
      <c r="T1081" s="18" t="s">
        <v>2165</v>
      </c>
      <c r="V1081" s="21" t="s">
        <v>4406</v>
      </c>
      <c r="Y1081" t="s">
        <v>158</v>
      </c>
      <c r="Z1081" t="s">
        <v>70</v>
      </c>
    </row>
    <row r="1082" spans="1:26" ht="15.75" hidden="1" customHeight="1">
      <c r="A1082" s="60">
        <f>ROW() - ROW(Table1[[#Headers],[s]])</f>
        <v>1081</v>
      </c>
      <c r="B1082" s="350" t="s">
        <v>4407</v>
      </c>
      <c r="C1082" s="272">
        <v>46174</v>
      </c>
      <c r="D1082" s="19" t="s">
        <v>4408</v>
      </c>
      <c r="E1082" t="e" vm="38">
        <v>#VALUE!</v>
      </c>
      <c r="F1082" t="e" vm="10">
        <v>#VALUE!</v>
      </c>
      <c r="G1082" s="5" t="s">
        <v>174</v>
      </c>
      <c r="H1082" t="s">
        <v>747</v>
      </c>
      <c r="J1082" s="18" t="s">
        <v>253</v>
      </c>
      <c r="K1082" t="s">
        <v>154</v>
      </c>
      <c r="L1082" s="20">
        <v>46192.585416666669</v>
      </c>
      <c r="M1082" s="18" t="s">
        <v>78</v>
      </c>
      <c r="N1082" s="55" t="s">
        <v>78</v>
      </c>
      <c r="O1082" s="3"/>
      <c r="Q1082" s="20">
        <v>46192.879166666666</v>
      </c>
      <c r="S1082" s="21" t="s">
        <v>4409</v>
      </c>
      <c r="T1082" s="18" t="s">
        <v>478</v>
      </c>
      <c r="V1082" s="21" t="s">
        <v>4410</v>
      </c>
      <c r="Y1082" t="s">
        <v>158</v>
      </c>
      <c r="Z1082" t="s">
        <v>70</v>
      </c>
    </row>
    <row r="1083" spans="1:26" ht="15.75" hidden="1" customHeight="1">
      <c r="A1083" s="60">
        <f>ROW() - ROW(Table1[[#Headers],[s]])</f>
        <v>1082</v>
      </c>
      <c r="B1083" s="350" t="s">
        <v>4411</v>
      </c>
      <c r="C1083" s="272">
        <v>46174</v>
      </c>
      <c r="D1083" s="19" t="s">
        <v>4412</v>
      </c>
      <c r="E1083" t="e" vm="85">
        <v>#VALUE!</v>
      </c>
      <c r="F1083" t="e" vm="5">
        <v>#VALUE!</v>
      </c>
      <c r="G1083" s="5" t="s">
        <v>174</v>
      </c>
      <c r="H1083" t="s">
        <v>747</v>
      </c>
      <c r="J1083" s="18" t="s">
        <v>253</v>
      </c>
      <c r="K1083" t="s">
        <v>4413</v>
      </c>
      <c r="L1083" s="20">
        <v>46192.782638888886</v>
      </c>
      <c r="M1083" s="18" t="s">
        <v>55</v>
      </c>
      <c r="N1083" s="18" t="s">
        <v>55</v>
      </c>
      <c r="O1083" s="3"/>
      <c r="Q1083" s="20">
        <v>46192.874305555553</v>
      </c>
      <c r="S1083" s="21" t="s">
        <v>4414</v>
      </c>
      <c r="T1083" s="18" t="s">
        <v>478</v>
      </c>
      <c r="V1083" s="21" t="s">
        <v>404</v>
      </c>
      <c r="Y1083" t="s">
        <v>158</v>
      </c>
      <c r="Z1083" t="s">
        <v>70</v>
      </c>
    </row>
    <row r="1084" spans="1:26" ht="15.75" hidden="1" customHeight="1">
      <c r="A1084" s="60">
        <f>ROW() - ROW(Table1[[#Headers],[s]])</f>
        <v>1083</v>
      </c>
      <c r="B1084" s="350" t="s">
        <v>4415</v>
      </c>
      <c r="C1084" s="272">
        <v>46174</v>
      </c>
      <c r="D1084" s="19" t="s">
        <v>4416</v>
      </c>
      <c r="E1084" t="e" vm="198">
        <v>#VALUE!</v>
      </c>
      <c r="F1084" t="e" vm="16">
        <v>#VALUE!</v>
      </c>
      <c r="G1084" s="5" t="s">
        <v>200</v>
      </c>
      <c r="H1084" t="s">
        <v>747</v>
      </c>
      <c r="J1084" s="18" t="s">
        <v>253</v>
      </c>
      <c r="K1084" t="s">
        <v>4417</v>
      </c>
      <c r="L1084" s="20">
        <v>46192.837500000001</v>
      </c>
      <c r="M1084" s="18" t="s">
        <v>58</v>
      </c>
      <c r="N1084" s="18" t="s">
        <v>58</v>
      </c>
      <c r="O1084" s="3">
        <v>46193.375</v>
      </c>
      <c r="P1084" s="2">
        <v>46193.416666666664</v>
      </c>
      <c r="Q1084" s="22">
        <v>46193.5625</v>
      </c>
      <c r="R1084" t="s">
        <v>4418</v>
      </c>
      <c r="S1084" s="21" t="s">
        <v>4419</v>
      </c>
      <c r="T1084" s="18" t="s">
        <v>478</v>
      </c>
      <c r="V1084" s="21" t="s">
        <v>239</v>
      </c>
      <c r="Y1084" t="s">
        <v>52</v>
      </c>
      <c r="Z1084" t="s">
        <v>158</v>
      </c>
    </row>
    <row r="1085" spans="1:26" ht="15.75" hidden="1" customHeight="1">
      <c r="A1085" s="60">
        <f>ROW() - ROW(Table1[[#Headers],[s]])</f>
        <v>1084</v>
      </c>
      <c r="B1085" s="223" t="s">
        <v>4420</v>
      </c>
      <c r="C1085" s="272">
        <v>46174</v>
      </c>
      <c r="D1085" s="19" t="s">
        <v>4421</v>
      </c>
      <c r="E1085" t="e" vm="205">
        <v>#VALUE!</v>
      </c>
      <c r="F1085" t="e" vm="10">
        <v>#VALUE!</v>
      </c>
      <c r="G1085" s="5" t="s">
        <v>200</v>
      </c>
      <c r="H1085" t="s">
        <v>152</v>
      </c>
      <c r="I1085" t="s">
        <v>43</v>
      </c>
      <c r="J1085" s="18" t="s">
        <v>153</v>
      </c>
      <c r="K1085" t="s">
        <v>371</v>
      </c>
      <c r="L1085" s="20">
        <v>46192.901388888888</v>
      </c>
      <c r="M1085" s="18" t="s">
        <v>78</v>
      </c>
      <c r="N1085" s="55" t="s">
        <v>78</v>
      </c>
      <c r="O1085" s="3">
        <v>46193.416666666664</v>
      </c>
      <c r="P1085" s="2">
        <v>46193.4375</v>
      </c>
      <c r="Q1085" s="22">
        <v>46193.458333333336</v>
      </c>
      <c r="S1085" s="21" t="s">
        <v>4422</v>
      </c>
      <c r="T1085" s="18" t="s">
        <v>50</v>
      </c>
      <c r="V1085" s="21" t="s">
        <v>374</v>
      </c>
      <c r="Y1085" t="s">
        <v>158</v>
      </c>
      <c r="Z1085" t="s">
        <v>70</v>
      </c>
    </row>
    <row r="1086" spans="1:26" ht="15.75" hidden="1" customHeight="1">
      <c r="A1086" s="60">
        <f>ROW() - ROW(Table1[[#Headers],[s]])</f>
        <v>1085</v>
      </c>
      <c r="B1086" s="223" t="s">
        <v>3949</v>
      </c>
      <c r="C1086" s="23" t="s">
        <v>60</v>
      </c>
      <c r="D1086" s="19" t="s">
        <v>4423</v>
      </c>
      <c r="E1086" t="e" vm="85">
        <v>#VALUE!</v>
      </c>
      <c r="F1086" t="e" vm="5">
        <v>#VALUE!</v>
      </c>
      <c r="G1086" s="5" t="s">
        <v>174</v>
      </c>
      <c r="H1086" t="s">
        <v>152</v>
      </c>
      <c r="J1086" s="18" t="s">
        <v>153</v>
      </c>
      <c r="K1086" s="42" t="s">
        <v>154</v>
      </c>
      <c r="L1086" s="20">
        <v>46192.90347222222</v>
      </c>
      <c r="M1086" s="18" t="s">
        <v>55</v>
      </c>
      <c r="N1086" s="18" t="s">
        <v>55</v>
      </c>
      <c r="O1086" s="3"/>
      <c r="Q1086" s="20">
        <v>46192.874305555553</v>
      </c>
      <c r="S1086" s="21" t="s">
        <v>4424</v>
      </c>
      <c r="T1086" s="18" t="s">
        <v>478</v>
      </c>
      <c r="V1086" s="21" t="s">
        <v>4424</v>
      </c>
      <c r="Y1086" t="s">
        <v>179</v>
      </c>
      <c r="Z1086" t="s">
        <v>179</v>
      </c>
    </row>
    <row r="1087" spans="1:26" ht="15.75" hidden="1" customHeight="1">
      <c r="A1087" s="60">
        <f>ROW() - ROW(Table1[[#Headers],[s]])</f>
        <v>1086</v>
      </c>
      <c r="B1087" s="223" t="s">
        <v>4425</v>
      </c>
      <c r="C1087" s="272">
        <v>46174</v>
      </c>
      <c r="D1087" s="19" t="s">
        <v>4426</v>
      </c>
      <c r="E1087" t="e" vm="83">
        <v>#VALUE!</v>
      </c>
      <c r="F1087" t="e" vm="37">
        <v>#VALUE!</v>
      </c>
      <c r="G1087" s="5" t="s">
        <v>200</v>
      </c>
      <c r="H1087" t="s">
        <v>152</v>
      </c>
      <c r="I1087" t="s">
        <v>43</v>
      </c>
      <c r="J1087" s="18" t="s">
        <v>153</v>
      </c>
      <c r="K1087" t="s">
        <v>371</v>
      </c>
      <c r="L1087" s="20">
        <v>46192.905555555553</v>
      </c>
      <c r="M1087" s="18" t="s">
        <v>59</v>
      </c>
      <c r="N1087" s="18" t="s">
        <v>59</v>
      </c>
      <c r="O1087" s="3">
        <v>46193.375</v>
      </c>
      <c r="P1087" s="2">
        <v>46193.395833333336</v>
      </c>
      <c r="Q1087" s="22">
        <v>46193.416666666664</v>
      </c>
      <c r="S1087" s="21" t="s">
        <v>725</v>
      </c>
      <c r="T1087" s="18" t="s">
        <v>50</v>
      </c>
      <c r="V1087" s="21" t="s">
        <v>374</v>
      </c>
      <c r="Y1087" t="s">
        <v>203</v>
      </c>
      <c r="Z1087" t="s">
        <v>70</v>
      </c>
    </row>
    <row r="1088" spans="1:26" ht="15.75" hidden="1" customHeight="1">
      <c r="A1088" s="60">
        <f>ROW() - ROW(Table1[[#Headers],[s]])</f>
        <v>1087</v>
      </c>
      <c r="B1088" s="350" t="s">
        <v>4427</v>
      </c>
      <c r="C1088" s="272">
        <v>46174</v>
      </c>
      <c r="D1088" s="19" t="s">
        <v>4428</v>
      </c>
      <c r="E1088" t="e" vm="73">
        <v>#VALUE!</v>
      </c>
      <c r="F1088" t="e" vm="49">
        <v>#VALUE!</v>
      </c>
      <c r="G1088" s="5" t="s">
        <v>200</v>
      </c>
      <c r="H1088" t="s">
        <v>152</v>
      </c>
      <c r="I1088" t="s">
        <v>43</v>
      </c>
      <c r="J1088" s="18" t="s">
        <v>153</v>
      </c>
      <c r="K1088" t="s">
        <v>371</v>
      </c>
      <c r="L1088" s="20">
        <v>46193.46597222222</v>
      </c>
      <c r="M1088" s="18" t="s">
        <v>85</v>
      </c>
      <c r="N1088" s="18" t="s">
        <v>85</v>
      </c>
      <c r="O1088" s="3">
        <v>46193.604166666664</v>
      </c>
      <c r="P1088" s="2">
        <v>46193.625</v>
      </c>
      <c r="Q1088" s="22">
        <v>46193.625</v>
      </c>
      <c r="S1088" s="21" t="s">
        <v>4429</v>
      </c>
      <c r="T1088" s="18" t="s">
        <v>50</v>
      </c>
      <c r="V1088" s="21" t="s">
        <v>4430</v>
      </c>
      <c r="Y1088" t="s">
        <v>203</v>
      </c>
      <c r="Z1088" t="s">
        <v>70</v>
      </c>
    </row>
    <row r="1089" spans="1:27" ht="15.75" hidden="1" customHeight="1">
      <c r="A1089" s="60">
        <f>ROW() - ROW(Table1[[#Headers],[s]])</f>
        <v>1088</v>
      </c>
      <c r="B1089" s="350" t="s">
        <v>4431</v>
      </c>
      <c r="C1089" s="272">
        <v>46174</v>
      </c>
      <c r="D1089" s="19" t="s">
        <v>4432</v>
      </c>
      <c r="E1089" t="e" vm="163">
        <v>#VALUE!</v>
      </c>
      <c r="F1089" t="e" vm="17">
        <v>#VALUE!</v>
      </c>
      <c r="G1089" s="5" t="s">
        <v>200</v>
      </c>
      <c r="H1089" t="s">
        <v>152</v>
      </c>
      <c r="I1089" t="s">
        <v>43</v>
      </c>
      <c r="J1089" s="18" t="s">
        <v>153</v>
      </c>
      <c r="K1089" t="s">
        <v>371</v>
      </c>
      <c r="L1089" s="20">
        <v>46193.470138888886</v>
      </c>
      <c r="M1089" s="18" t="s">
        <v>227</v>
      </c>
      <c r="N1089" s="18" t="s">
        <v>227</v>
      </c>
      <c r="O1089" s="3">
        <v>46193.708333333336</v>
      </c>
      <c r="P1089" s="2">
        <v>46193.708333333336</v>
      </c>
      <c r="Q1089" s="22">
        <v>46193.75</v>
      </c>
      <c r="S1089" s="21" t="s">
        <v>4433</v>
      </c>
      <c r="T1089" s="18" t="s">
        <v>478</v>
      </c>
      <c r="V1089" s="21" t="s">
        <v>4434</v>
      </c>
      <c r="Y1089" t="s">
        <v>203</v>
      </c>
      <c r="Z1089" t="s">
        <v>70</v>
      </c>
    </row>
    <row r="1090" spans="1:27" ht="15.75" hidden="1" customHeight="1">
      <c r="A1090" s="60">
        <f>ROW() - ROW(Table1[[#Headers],[s]])</f>
        <v>1089</v>
      </c>
      <c r="B1090" s="350" t="s">
        <v>4435</v>
      </c>
      <c r="C1090" s="272">
        <v>46174</v>
      </c>
      <c r="D1090" s="19" t="s">
        <v>4436</v>
      </c>
      <c r="E1090" t="e" vm="74">
        <v>#VALUE!</v>
      </c>
      <c r="F1090" t="e" vm="17">
        <v>#VALUE!</v>
      </c>
      <c r="G1090" s="5" t="s">
        <v>200</v>
      </c>
      <c r="H1090" t="s">
        <v>152</v>
      </c>
      <c r="I1090" t="s">
        <v>43</v>
      </c>
      <c r="J1090" s="18" t="s">
        <v>153</v>
      </c>
      <c r="K1090" t="s">
        <v>371</v>
      </c>
      <c r="L1090" s="20">
        <v>46193.633333333331</v>
      </c>
      <c r="M1090" s="18" t="s">
        <v>227</v>
      </c>
      <c r="N1090" s="18" t="s">
        <v>227</v>
      </c>
      <c r="O1090" s="3">
        <v>46193.770833333336</v>
      </c>
      <c r="P1090" s="2">
        <v>46193.791666666664</v>
      </c>
      <c r="Q1090" s="22">
        <v>46193.8125</v>
      </c>
      <c r="S1090" s="21" t="s">
        <v>4437</v>
      </c>
      <c r="T1090" s="18" t="s">
        <v>50</v>
      </c>
      <c r="V1090" s="21" t="s">
        <v>4438</v>
      </c>
      <c r="Y1090" t="s">
        <v>203</v>
      </c>
      <c r="Z1090" t="s">
        <v>70</v>
      </c>
    </row>
    <row r="1091" spans="1:27" ht="15.75" hidden="1" customHeight="1">
      <c r="A1091" s="60">
        <f>ROW() - ROW(Table1[[#Headers],[s]])</f>
        <v>1090</v>
      </c>
      <c r="B1091" s="350" t="s">
        <v>4439</v>
      </c>
      <c r="C1091" s="23" t="s">
        <v>60</v>
      </c>
      <c r="D1091" s="19" t="s">
        <v>4440</v>
      </c>
      <c r="E1091" t="e" vm="74">
        <v>#VALUE!</v>
      </c>
      <c r="F1091" t="e" vm="17">
        <v>#VALUE!</v>
      </c>
      <c r="G1091" s="5" t="s">
        <v>200</v>
      </c>
      <c r="H1091" t="s">
        <v>152</v>
      </c>
      <c r="J1091" s="18" t="s">
        <v>153</v>
      </c>
      <c r="K1091" s="42" t="s">
        <v>154</v>
      </c>
      <c r="L1091" s="20">
        <v>46193.8125</v>
      </c>
      <c r="N1091" s="18"/>
      <c r="O1091" s="3"/>
      <c r="Q1091" s="22">
        <v>46193.8125</v>
      </c>
      <c r="S1091" s="21" t="s">
        <v>4441</v>
      </c>
      <c r="T1091" s="18" t="s">
        <v>50</v>
      </c>
      <c r="Y1091" t="s">
        <v>179</v>
      </c>
      <c r="Z1091" t="s">
        <v>179</v>
      </c>
    </row>
    <row r="1092" spans="1:27" ht="15.75" hidden="1" customHeight="1">
      <c r="A1092" s="60">
        <f>ROW() - ROW(Table1[[#Headers],[s]])</f>
        <v>1091</v>
      </c>
      <c r="B1092" s="350" t="s">
        <v>4442</v>
      </c>
      <c r="C1092" s="272">
        <v>46174</v>
      </c>
      <c r="D1092" s="19" t="s">
        <v>4443</v>
      </c>
      <c r="E1092" t="e" vm="9">
        <v>#VALUE!</v>
      </c>
      <c r="F1092" t="e" vm="10">
        <v>#VALUE!</v>
      </c>
      <c r="G1092" s="5" t="s">
        <v>200</v>
      </c>
      <c r="H1092" t="s">
        <v>152</v>
      </c>
      <c r="I1092" t="s">
        <v>43</v>
      </c>
      <c r="J1092" s="18" t="s">
        <v>153</v>
      </c>
      <c r="K1092" t="s">
        <v>371</v>
      </c>
      <c r="L1092" s="20">
        <v>46193.635416666664</v>
      </c>
      <c r="M1092" s="18" t="s">
        <v>78</v>
      </c>
      <c r="N1092" s="55" t="s">
        <v>78</v>
      </c>
      <c r="O1092" s="3">
        <v>46193.833333333336</v>
      </c>
      <c r="P1092" s="2">
        <v>46193.854166666664</v>
      </c>
      <c r="Q1092" s="22">
        <v>46193.875</v>
      </c>
      <c r="S1092" s="21" t="s">
        <v>4444</v>
      </c>
      <c r="T1092" s="18" t="s">
        <v>50</v>
      </c>
      <c r="V1092" s="21" t="s">
        <v>3668</v>
      </c>
      <c r="Y1092" t="s">
        <v>203</v>
      </c>
      <c r="Z1092" t="s">
        <v>70</v>
      </c>
    </row>
    <row r="1093" spans="1:27" ht="15.75" hidden="1" customHeight="1">
      <c r="A1093" s="60">
        <f>ROW() - ROW(Table1[[#Headers],[s]])</f>
        <v>1092</v>
      </c>
      <c r="B1093" s="350" t="s">
        <v>4445</v>
      </c>
      <c r="C1093" s="272">
        <v>46174</v>
      </c>
      <c r="D1093" s="19" t="s">
        <v>4446</v>
      </c>
      <c r="E1093" t="e" vm="185">
        <v>#VALUE!</v>
      </c>
      <c r="F1093" t="e" vm="5">
        <v>#VALUE!</v>
      </c>
      <c r="G1093" s="5" t="s">
        <v>200</v>
      </c>
      <c r="H1093" t="s">
        <v>152</v>
      </c>
      <c r="I1093" t="s">
        <v>43</v>
      </c>
      <c r="J1093" s="18" t="s">
        <v>153</v>
      </c>
      <c r="K1093" t="s">
        <v>371</v>
      </c>
      <c r="L1093" s="20">
        <v>46193.708333333336</v>
      </c>
      <c r="M1093" s="18" t="s">
        <v>55</v>
      </c>
      <c r="N1093" s="18" t="s">
        <v>55</v>
      </c>
      <c r="O1093" s="3">
        <v>46193.770833333336</v>
      </c>
      <c r="P1093" s="2">
        <v>46193.791666666664</v>
      </c>
      <c r="Q1093" s="245">
        <v>46193.791666666664</v>
      </c>
      <c r="S1093" s="21" t="s">
        <v>4447</v>
      </c>
      <c r="T1093" s="18" t="s">
        <v>179</v>
      </c>
      <c r="V1093" s="21" t="s">
        <v>4447</v>
      </c>
      <c r="Y1093" t="s">
        <v>158</v>
      </c>
      <c r="Z1093" t="s">
        <v>70</v>
      </c>
    </row>
    <row r="1094" spans="1:27" ht="15.75" hidden="1" customHeight="1">
      <c r="A1094" s="60">
        <f>ROW() - ROW(Table1[[#Headers],[s]])</f>
        <v>1093</v>
      </c>
      <c r="B1094" s="350" t="s">
        <v>3974</v>
      </c>
      <c r="C1094" s="272">
        <v>46174</v>
      </c>
      <c r="D1094" s="52" t="s">
        <v>4448</v>
      </c>
      <c r="E1094" t="e" vm="20">
        <v>#VALUE!</v>
      </c>
      <c r="F1094" t="e" vm="21">
        <v>#VALUE!</v>
      </c>
      <c r="G1094" s="5" t="s">
        <v>200</v>
      </c>
      <c r="H1094" t="s">
        <v>152</v>
      </c>
      <c r="I1094" t="s">
        <v>43</v>
      </c>
      <c r="J1094" s="18" t="s">
        <v>153</v>
      </c>
      <c r="K1094" t="s">
        <v>371</v>
      </c>
      <c r="L1094" s="20">
        <v>46193.489583333336</v>
      </c>
      <c r="M1094" s="18" t="s">
        <v>39</v>
      </c>
      <c r="N1094" s="18" t="s">
        <v>39</v>
      </c>
      <c r="O1094" s="3">
        <v>46193.416666666664</v>
      </c>
      <c r="P1094" s="2">
        <v>46193.427083333336</v>
      </c>
      <c r="Q1094" s="22">
        <v>46193.458333333336</v>
      </c>
      <c r="S1094" s="21" t="s">
        <v>2520</v>
      </c>
      <c r="T1094" s="18" t="s">
        <v>478</v>
      </c>
      <c r="V1094" s="21" t="s">
        <v>239</v>
      </c>
      <c r="Y1094" t="s">
        <v>203</v>
      </c>
      <c r="Z1094" t="s">
        <v>70</v>
      </c>
    </row>
    <row r="1095" spans="1:27" ht="15" hidden="1" customHeight="1">
      <c r="A1095" s="60">
        <f>ROW() - ROW(Table1[[#Headers],[s]])</f>
        <v>1094</v>
      </c>
      <c r="B1095" t="s">
        <v>4449</v>
      </c>
      <c r="C1095" s="163">
        <v>46174</v>
      </c>
      <c r="D1095" s="52" t="s">
        <v>4450</v>
      </c>
      <c r="E1095" t="e" vm="80">
        <v>#VALUE!</v>
      </c>
      <c r="F1095" t="e" vm="10">
        <v>#VALUE!</v>
      </c>
      <c r="G1095" s="5" t="s">
        <v>200</v>
      </c>
      <c r="H1095" t="s">
        <v>152</v>
      </c>
      <c r="I1095" t="s">
        <v>43</v>
      </c>
      <c r="J1095" s="18" t="s">
        <v>153</v>
      </c>
      <c r="K1095" t="s">
        <v>371</v>
      </c>
      <c r="L1095" s="44">
        <v>46193.636111111111</v>
      </c>
      <c r="M1095" s="55" t="s">
        <v>78</v>
      </c>
      <c r="N1095" s="55" t="s">
        <v>78</v>
      </c>
      <c r="O1095" s="56">
        <v>46193.791666666664</v>
      </c>
      <c r="P1095" s="2">
        <v>46193.8125</v>
      </c>
      <c r="Q1095" s="58">
        <v>46193.875</v>
      </c>
      <c r="S1095" s="21" t="s">
        <v>4451</v>
      </c>
      <c r="T1095" s="55" t="s">
        <v>50</v>
      </c>
      <c r="V1095" s="21" t="s">
        <v>4451</v>
      </c>
      <c r="Y1095" t="s">
        <v>158</v>
      </c>
      <c r="Z1095" t="s">
        <v>70</v>
      </c>
    </row>
    <row r="1096" spans="1:27" ht="15" hidden="1" customHeight="1">
      <c r="A1096" s="60">
        <f>ROW() - ROW(Table1[[#Headers],[s]])</f>
        <v>1095</v>
      </c>
      <c r="B1096" t="s">
        <v>4452</v>
      </c>
      <c r="C1096" s="163">
        <v>46174</v>
      </c>
      <c r="D1096" s="52" t="s">
        <v>4453</v>
      </c>
      <c r="E1096" t="e" vm="267">
        <v>#VALUE!</v>
      </c>
      <c r="F1096" t="e" vm="46">
        <v>#VALUE!</v>
      </c>
      <c r="G1096" s="5" t="s">
        <v>1057</v>
      </c>
      <c r="H1096" t="s">
        <v>747</v>
      </c>
      <c r="I1096" t="s">
        <v>43</v>
      </c>
      <c r="J1096" s="18" t="s">
        <v>253</v>
      </c>
      <c r="K1096" t="s">
        <v>371</v>
      </c>
      <c r="L1096" s="44">
        <v>46193.675000000003</v>
      </c>
      <c r="M1096" s="55" t="s">
        <v>59</v>
      </c>
      <c r="N1096" s="55" t="s">
        <v>4454</v>
      </c>
      <c r="O1096" s="56">
        <v>46195.583333333336</v>
      </c>
      <c r="P1096" s="401">
        <v>46196.527777777781</v>
      </c>
      <c r="Q1096" s="58">
        <v>46196.699305555558</v>
      </c>
      <c r="R1096" t="s">
        <v>3279</v>
      </c>
      <c r="S1096" s="21" t="s">
        <v>4455</v>
      </c>
      <c r="T1096" s="18" t="s">
        <v>478</v>
      </c>
      <c r="V1096" s="53" t="s">
        <v>4456</v>
      </c>
      <c r="W1096" t="s">
        <v>4457</v>
      </c>
      <c r="Y1096" t="s">
        <v>70</v>
      </c>
      <c r="Z1096" t="s">
        <v>158</v>
      </c>
      <c r="AA1096" t="s">
        <v>4458</v>
      </c>
    </row>
    <row r="1097" spans="1:27" ht="15" hidden="1" customHeight="1">
      <c r="A1097" s="60">
        <f>ROW() - ROW(Table1[[#Headers],[s]])</f>
        <v>1096</v>
      </c>
      <c r="B1097" t="s">
        <v>4459</v>
      </c>
      <c r="C1097" s="163">
        <v>46174</v>
      </c>
      <c r="D1097" s="52" t="s">
        <v>4460</v>
      </c>
      <c r="E1097" t="e" vm="93">
        <v>#VALUE!</v>
      </c>
      <c r="F1097" t="e" vm="12">
        <v>#VALUE!</v>
      </c>
      <c r="G1097" s="5" t="s">
        <v>200</v>
      </c>
      <c r="H1097" t="s">
        <v>152</v>
      </c>
      <c r="I1097" t="s">
        <v>43</v>
      </c>
      <c r="J1097" s="18" t="s">
        <v>153</v>
      </c>
      <c r="K1097" t="s">
        <v>371</v>
      </c>
      <c r="L1097" s="44">
        <v>46194.644444444442</v>
      </c>
      <c r="M1097" s="18" t="s">
        <v>55</v>
      </c>
      <c r="N1097" s="18" t="s">
        <v>55</v>
      </c>
      <c r="O1097" s="56">
        <v>46194.75</v>
      </c>
      <c r="P1097" s="2">
        <v>46194.75</v>
      </c>
      <c r="Q1097" s="58">
        <v>46194.770833333336</v>
      </c>
      <c r="S1097" s="21" t="s">
        <v>4461</v>
      </c>
      <c r="T1097" s="55" t="s">
        <v>50</v>
      </c>
      <c r="V1097" s="53" t="s">
        <v>374</v>
      </c>
      <c r="Y1097" t="s">
        <v>203</v>
      </c>
      <c r="Z1097" t="s">
        <v>70</v>
      </c>
    </row>
    <row r="1098" spans="1:27" ht="15" hidden="1" customHeight="1">
      <c r="A1098" s="60">
        <f>ROW() - ROW(Table1[[#Headers],[s]])</f>
        <v>1097</v>
      </c>
      <c r="B1098" t="s">
        <v>2291</v>
      </c>
      <c r="C1098" s="163">
        <v>46174</v>
      </c>
      <c r="D1098" s="59" t="s">
        <v>4462</v>
      </c>
      <c r="E1098" t="e" vm="201">
        <v>#VALUE!</v>
      </c>
      <c r="F1098" t="e" vm="16">
        <v>#VALUE!</v>
      </c>
      <c r="G1098" s="5" t="s">
        <v>200</v>
      </c>
      <c r="H1098" t="s">
        <v>152</v>
      </c>
      <c r="I1098" t="s">
        <v>43</v>
      </c>
      <c r="J1098" s="18" t="s">
        <v>153</v>
      </c>
      <c r="K1098" t="s">
        <v>371</v>
      </c>
      <c r="L1098" s="44">
        <v>46194.637499999997</v>
      </c>
      <c r="M1098" s="18" t="s">
        <v>4312</v>
      </c>
      <c r="N1098" s="18" t="s">
        <v>4312</v>
      </c>
      <c r="O1098" s="56">
        <v>46194.75</v>
      </c>
      <c r="P1098" s="2">
        <v>46194.770833333336</v>
      </c>
      <c r="Q1098" s="58">
        <v>46194.791666666664</v>
      </c>
      <c r="S1098" s="21" t="s">
        <v>2290</v>
      </c>
      <c r="T1098" s="55" t="s">
        <v>50</v>
      </c>
      <c r="V1098" s="53" t="s">
        <v>3668</v>
      </c>
      <c r="Y1098" t="s">
        <v>203</v>
      </c>
      <c r="Z1098" t="s">
        <v>70</v>
      </c>
    </row>
    <row r="1099" spans="1:27" ht="15" hidden="1" customHeight="1">
      <c r="A1099" s="60">
        <f>ROW() - ROW(Table1[[#Headers],[s]])</f>
        <v>1098</v>
      </c>
      <c r="B1099" t="s">
        <v>4463</v>
      </c>
      <c r="C1099" s="163">
        <v>46174</v>
      </c>
      <c r="D1099" s="52" t="s">
        <v>4464</v>
      </c>
      <c r="E1099" t="s">
        <v>4465</v>
      </c>
      <c r="F1099" t="e" vm="49">
        <v>#VALUE!</v>
      </c>
      <c r="G1099" s="43" t="s">
        <v>200</v>
      </c>
      <c r="H1099" t="s">
        <v>245</v>
      </c>
      <c r="I1099" t="s">
        <v>43</v>
      </c>
      <c r="J1099" s="18" t="s">
        <v>253</v>
      </c>
      <c r="K1099" t="s">
        <v>371</v>
      </c>
      <c r="L1099" s="44">
        <v>46194.875</v>
      </c>
      <c r="M1099" s="55" t="s">
        <v>85</v>
      </c>
      <c r="N1099" s="55" t="s">
        <v>4466</v>
      </c>
      <c r="O1099" s="56"/>
      <c r="Q1099" s="58">
        <v>46195.159722222219</v>
      </c>
      <c r="R1099" t="s">
        <v>4467</v>
      </c>
      <c r="S1099" s="21" t="s">
        <v>4468</v>
      </c>
      <c r="T1099" s="55" t="s">
        <v>4469</v>
      </c>
      <c r="V1099" s="53" t="s">
        <v>4470</v>
      </c>
      <c r="Y1099" t="s">
        <v>158</v>
      </c>
      <c r="Z1099" t="s">
        <v>158</v>
      </c>
    </row>
    <row r="1100" spans="1:27" ht="15" hidden="1" customHeight="1">
      <c r="A1100" s="60">
        <f>ROW() - ROW(Table1[[#Headers],[s]])</f>
        <v>1099</v>
      </c>
      <c r="B1100" t="s">
        <v>4471</v>
      </c>
      <c r="C1100" s="163">
        <v>46174</v>
      </c>
      <c r="D1100" s="52" t="s">
        <v>4472</v>
      </c>
      <c r="E1100" t="e" vm="290">
        <v>#VALUE!</v>
      </c>
      <c r="F1100" t="e" vm="35">
        <v>#VALUE!</v>
      </c>
      <c r="G1100" s="43" t="s">
        <v>36</v>
      </c>
      <c r="H1100" t="s">
        <v>747</v>
      </c>
      <c r="I1100" s="19" t="s">
        <v>43</v>
      </c>
      <c r="J1100" s="18" t="s">
        <v>253</v>
      </c>
      <c r="K1100" t="s">
        <v>371</v>
      </c>
      <c r="L1100" s="44">
        <v>46194.95</v>
      </c>
      <c r="M1100" s="55" t="s">
        <v>4473</v>
      </c>
      <c r="N1100" s="55" t="s">
        <v>4473</v>
      </c>
      <c r="O1100" s="56"/>
      <c r="Q1100" s="58">
        <v>46195.71875</v>
      </c>
      <c r="S1100" s="21" t="s">
        <v>4474</v>
      </c>
      <c r="T1100" s="18" t="s">
        <v>478</v>
      </c>
      <c r="V1100" s="53" t="s">
        <v>1102</v>
      </c>
      <c r="Y1100" t="s">
        <v>70</v>
      </c>
      <c r="Z1100" t="s">
        <v>158</v>
      </c>
    </row>
    <row r="1101" spans="1:27" ht="15" hidden="1" customHeight="1">
      <c r="A1101" s="60">
        <f>ROW() - ROW(Table1[[#Headers],[s]])</f>
        <v>1100</v>
      </c>
      <c r="B1101" t="s">
        <v>4475</v>
      </c>
      <c r="C1101" s="163">
        <v>46174</v>
      </c>
      <c r="D1101" s="52" t="s">
        <v>4476</v>
      </c>
      <c r="E1101" t="e" vm="81">
        <v>#VALUE!</v>
      </c>
      <c r="F1101" t="e" vm="42">
        <v>#VALUE!</v>
      </c>
      <c r="G1101" s="43" t="s">
        <v>36</v>
      </c>
      <c r="H1101" t="s">
        <v>152</v>
      </c>
      <c r="I1101" s="5" t="s">
        <v>43</v>
      </c>
      <c r="J1101" s="18" t="s">
        <v>153</v>
      </c>
      <c r="K1101" t="s">
        <v>371</v>
      </c>
      <c r="L1101" s="44">
        <v>46195.386805555558</v>
      </c>
      <c r="M1101" s="55" t="s">
        <v>3868</v>
      </c>
      <c r="N1101" s="55" t="s">
        <v>3868</v>
      </c>
      <c r="O1101" s="56"/>
      <c r="Q1101" s="58">
        <v>46195.541666666664</v>
      </c>
      <c r="S1101" s="21" t="s">
        <v>4477</v>
      </c>
      <c r="T1101" s="55" t="s">
        <v>516</v>
      </c>
      <c r="V1101" s="53" t="s">
        <v>4478</v>
      </c>
      <c r="Y1101" t="s">
        <v>158</v>
      </c>
      <c r="Z1101" t="s">
        <v>70</v>
      </c>
    </row>
    <row r="1102" spans="1:27" ht="15" hidden="1" customHeight="1">
      <c r="A1102" s="60">
        <f>ROW() - ROW(Table1[[#Headers],[s]])</f>
        <v>1101</v>
      </c>
      <c r="B1102" t="s">
        <v>4479</v>
      </c>
      <c r="C1102" s="163">
        <v>46174</v>
      </c>
      <c r="D1102" s="52" t="s">
        <v>4480</v>
      </c>
      <c r="E1102" t="e" vm="291">
        <v>#VALUE!</v>
      </c>
      <c r="F1102" t="e" vm="16">
        <v>#VALUE!</v>
      </c>
      <c r="G1102" s="5" t="s">
        <v>1057</v>
      </c>
      <c r="H1102" t="s">
        <v>152</v>
      </c>
      <c r="I1102" t="s">
        <v>43</v>
      </c>
      <c r="J1102" s="18" t="s">
        <v>153</v>
      </c>
      <c r="K1102" t="s">
        <v>371</v>
      </c>
      <c r="L1102" s="44">
        <v>46194.808333333334</v>
      </c>
      <c r="M1102" s="18" t="s">
        <v>431</v>
      </c>
      <c r="N1102" s="18" t="s">
        <v>431</v>
      </c>
      <c r="O1102" s="22">
        <v>46195.645833333336</v>
      </c>
      <c r="P1102" s="22">
        <v>46195.677083333336</v>
      </c>
      <c r="Q1102" s="22">
        <v>46196.699305555558</v>
      </c>
      <c r="R1102" t="s">
        <v>4481</v>
      </c>
      <c r="S1102" s="21" t="s">
        <v>4482</v>
      </c>
      <c r="T1102" s="18" t="s">
        <v>50</v>
      </c>
      <c r="V1102" s="53" t="s">
        <v>4483</v>
      </c>
      <c r="Y1102" t="s">
        <v>70</v>
      </c>
      <c r="Z1102" t="s">
        <v>70</v>
      </c>
    </row>
    <row r="1103" spans="1:27" ht="15" hidden="1" customHeight="1">
      <c r="A1103" s="60">
        <f>ROW() - ROW(Table1[[#Headers],[s]])</f>
        <v>1102</v>
      </c>
      <c r="B1103" t="s">
        <v>4484</v>
      </c>
      <c r="C1103" s="272">
        <v>46174</v>
      </c>
      <c r="D1103" s="19" t="s">
        <v>4485</v>
      </c>
      <c r="E1103" t="e" vm="292">
        <v>#VALUE!</v>
      </c>
      <c r="F1103" t="e" vm="30">
        <v>#VALUE!</v>
      </c>
      <c r="G1103" s="5" t="s">
        <v>36</v>
      </c>
      <c r="H1103" t="s">
        <v>747</v>
      </c>
      <c r="I1103" s="5" t="s">
        <v>43</v>
      </c>
      <c r="J1103" s="18" t="s">
        <v>253</v>
      </c>
      <c r="K1103" t="s">
        <v>154</v>
      </c>
      <c r="L1103" s="20">
        <v>46195.453472222223</v>
      </c>
      <c r="M1103" s="18" t="s">
        <v>3675</v>
      </c>
      <c r="N1103" s="18" t="s">
        <v>3675</v>
      </c>
      <c r="O1103" s="3"/>
      <c r="Q1103" s="22">
        <v>46195.851388888892</v>
      </c>
      <c r="R1103" t="s">
        <v>4467</v>
      </c>
      <c r="S1103" s="21" t="s">
        <v>1994</v>
      </c>
      <c r="T1103" s="18" t="s">
        <v>478</v>
      </c>
      <c r="V1103" s="21" t="s">
        <v>4486</v>
      </c>
      <c r="Y1103" t="s">
        <v>158</v>
      </c>
      <c r="Z1103" t="s">
        <v>158</v>
      </c>
    </row>
    <row r="1104" spans="1:27" ht="15" hidden="1" customHeight="1">
      <c r="A1104" s="60">
        <f>ROW() - ROW(Table1[[#Headers],[s]])</f>
        <v>1103</v>
      </c>
      <c r="B1104" t="s">
        <v>4487</v>
      </c>
      <c r="C1104" s="272">
        <v>46174</v>
      </c>
      <c r="D1104" s="19" t="s">
        <v>4488</v>
      </c>
      <c r="E1104" t="e" vm="9">
        <v>#VALUE!</v>
      </c>
      <c r="F1104" t="e" vm="10">
        <v>#VALUE!</v>
      </c>
      <c r="G1104" s="5" t="s">
        <v>36</v>
      </c>
      <c r="H1104" t="s">
        <v>152</v>
      </c>
      <c r="I1104" t="s">
        <v>43</v>
      </c>
      <c r="J1104" s="18" t="s">
        <v>153</v>
      </c>
      <c r="K1104" s="18" t="s">
        <v>371</v>
      </c>
      <c r="L1104" s="20">
        <v>46195.449305555558</v>
      </c>
      <c r="M1104" s="18" t="s">
        <v>78</v>
      </c>
      <c r="N1104" s="55" t="s">
        <v>78</v>
      </c>
      <c r="O1104" s="3"/>
      <c r="Q1104" s="22">
        <v>46195.8125</v>
      </c>
      <c r="S1104" s="21" t="s">
        <v>4489</v>
      </c>
      <c r="T1104" s="18" t="s">
        <v>478</v>
      </c>
      <c r="V1104" s="21" t="s">
        <v>4490</v>
      </c>
      <c r="Y1104" t="s">
        <v>158</v>
      </c>
      <c r="Z1104" t="s">
        <v>70</v>
      </c>
    </row>
    <row r="1105" spans="1:27" ht="15" hidden="1" customHeight="1">
      <c r="A1105" s="60">
        <f>ROW() - ROW(Table1[[#Headers],[s]])</f>
        <v>1104</v>
      </c>
      <c r="B1105" t="s">
        <v>4491</v>
      </c>
      <c r="C1105" s="272">
        <v>46174</v>
      </c>
      <c r="D1105" s="19" t="s">
        <v>4492</v>
      </c>
      <c r="E1105" t="e" vm="255">
        <v>#VALUE!</v>
      </c>
      <c r="F1105" t="e" vm="25">
        <v>#VALUE!</v>
      </c>
      <c r="G1105" s="5" t="s">
        <v>36</v>
      </c>
      <c r="H1105" t="s">
        <v>152</v>
      </c>
      <c r="I1105" t="s">
        <v>43</v>
      </c>
      <c r="J1105" s="18" t="s">
        <v>153</v>
      </c>
      <c r="K1105" t="s">
        <v>371</v>
      </c>
      <c r="L1105" s="20">
        <v>46195.450694444444</v>
      </c>
      <c r="M1105" s="18" t="s">
        <v>72</v>
      </c>
      <c r="N1105" s="18" t="s">
        <v>72</v>
      </c>
      <c r="O1105" s="3"/>
      <c r="Q1105" s="22">
        <v>46195.597222222219</v>
      </c>
      <c r="S1105" s="21" t="s">
        <v>4493</v>
      </c>
      <c r="T1105" s="18" t="s">
        <v>478</v>
      </c>
      <c r="V1105" s="21" t="s">
        <v>3604</v>
      </c>
      <c r="Y1105" t="s">
        <v>158</v>
      </c>
      <c r="Z1105" t="s">
        <v>70</v>
      </c>
    </row>
    <row r="1106" spans="1:27" ht="15" hidden="1" customHeight="1">
      <c r="A1106" s="60">
        <f>ROW() - ROW(Table1[[#Headers],[s]])</f>
        <v>1105</v>
      </c>
      <c r="B1106" t="s">
        <v>4494</v>
      </c>
      <c r="C1106" s="272">
        <v>46174</v>
      </c>
      <c r="D1106" s="19" t="s">
        <v>4495</v>
      </c>
      <c r="E1106" t="e" vm="180">
        <v>#VALUE!</v>
      </c>
      <c r="F1106" t="e" vm="16">
        <v>#VALUE!</v>
      </c>
      <c r="G1106" s="5" t="s">
        <v>36</v>
      </c>
      <c r="H1106" t="s">
        <v>747</v>
      </c>
      <c r="I1106" s="5" t="s">
        <v>43</v>
      </c>
      <c r="J1106" s="18" t="s">
        <v>253</v>
      </c>
      <c r="K1106" s="18" t="s">
        <v>154</v>
      </c>
      <c r="L1106" s="20">
        <v>46195.440972222219</v>
      </c>
      <c r="M1106" s="18" t="s">
        <v>58</v>
      </c>
      <c r="N1106" s="18" t="s">
        <v>58</v>
      </c>
      <c r="O1106" s="3"/>
      <c r="Q1106" s="22">
        <v>46195.830555555556</v>
      </c>
      <c r="S1106" s="21" t="s">
        <v>4496</v>
      </c>
      <c r="T1106" s="18" t="s">
        <v>478</v>
      </c>
      <c r="V1106" s="21" t="s">
        <v>4497</v>
      </c>
      <c r="Y1106" t="s">
        <v>158</v>
      </c>
      <c r="Z1106" t="s">
        <v>158</v>
      </c>
    </row>
    <row r="1107" spans="1:27" ht="15" hidden="1" customHeight="1">
      <c r="A1107" s="60">
        <f>ROW() - ROW(Table1[[#Headers],[s]])</f>
        <v>1106</v>
      </c>
      <c r="B1107" s="210" t="s">
        <v>4498</v>
      </c>
      <c r="C1107" s="272">
        <v>46174</v>
      </c>
      <c r="D1107" s="19" t="s">
        <v>4499</v>
      </c>
      <c r="E1107" t="e" vm="278">
        <v>#VALUE!</v>
      </c>
      <c r="F1107" t="e" vm="37">
        <v>#VALUE!</v>
      </c>
      <c r="G1107" s="5" t="s">
        <v>36</v>
      </c>
      <c r="H1107" t="s">
        <v>152</v>
      </c>
      <c r="I1107" t="s">
        <v>43</v>
      </c>
      <c r="J1107" s="18" t="s">
        <v>153</v>
      </c>
      <c r="K1107" t="s">
        <v>154</v>
      </c>
      <c r="L1107" s="20">
        <v>46195.509027777778</v>
      </c>
      <c r="M1107" s="18" t="s">
        <v>1023</v>
      </c>
      <c r="N1107" s="18" t="s">
        <v>1023</v>
      </c>
      <c r="O1107" s="3"/>
      <c r="Q1107" s="22">
        <v>46195.770833333336</v>
      </c>
      <c r="S1107" s="21" t="s">
        <v>4500</v>
      </c>
      <c r="T1107" s="18" t="s">
        <v>4501</v>
      </c>
      <c r="V1107" s="21" t="s">
        <v>4502</v>
      </c>
      <c r="Y1107" t="s">
        <v>158</v>
      </c>
      <c r="Z1107" t="s">
        <v>70</v>
      </c>
    </row>
    <row r="1108" spans="1:27" ht="15" hidden="1" customHeight="1">
      <c r="A1108" s="60">
        <f>ROW() - ROW(Table1[[#Headers],[s]])</f>
        <v>1107</v>
      </c>
      <c r="B1108" t="s">
        <v>4503</v>
      </c>
      <c r="C1108" s="272">
        <v>46174</v>
      </c>
      <c r="D1108" s="19" t="s">
        <v>4504</v>
      </c>
      <c r="E1108" t="s">
        <v>898</v>
      </c>
      <c r="F1108" t="e" vm="25">
        <v>#VALUE!</v>
      </c>
      <c r="G1108" s="5" t="s">
        <v>36</v>
      </c>
      <c r="H1108" t="s">
        <v>152</v>
      </c>
      <c r="I1108" s="5" t="s">
        <v>43</v>
      </c>
      <c r="J1108" s="18" t="s">
        <v>153</v>
      </c>
      <c r="K1108" t="s">
        <v>154</v>
      </c>
      <c r="L1108" s="20">
        <v>46195.589583333334</v>
      </c>
      <c r="M1108" s="18" t="s">
        <v>72</v>
      </c>
      <c r="N1108" s="18" t="s">
        <v>72</v>
      </c>
      <c r="O1108" s="3"/>
      <c r="Q1108" s="22">
        <v>46195.770833333336</v>
      </c>
      <c r="S1108" s="21" t="s">
        <v>4477</v>
      </c>
      <c r="T1108" s="18" t="s">
        <v>478</v>
      </c>
      <c r="V1108" s="21" t="s">
        <v>4505</v>
      </c>
      <c r="Y1108" t="s">
        <v>158</v>
      </c>
      <c r="Z1108" t="s">
        <v>158</v>
      </c>
    </row>
    <row r="1109" spans="1:27" ht="15" hidden="1" customHeight="1">
      <c r="A1109" s="60">
        <f>ROW() - ROW(Table1[[#Headers],[s]])</f>
        <v>1108</v>
      </c>
      <c r="B1109" t="s">
        <v>4506</v>
      </c>
      <c r="C1109" s="272">
        <v>46174</v>
      </c>
      <c r="D1109" s="19" t="s">
        <v>4507</v>
      </c>
      <c r="E1109" t="e" vm="106">
        <v>#VALUE!</v>
      </c>
      <c r="F1109" t="e" vm="5">
        <v>#VALUE!</v>
      </c>
      <c r="G1109" s="5" t="s">
        <v>36</v>
      </c>
      <c r="H1109" t="s">
        <v>152</v>
      </c>
      <c r="I1109" s="5" t="s">
        <v>43</v>
      </c>
      <c r="J1109" s="18" t="s">
        <v>153</v>
      </c>
      <c r="K1109" t="s">
        <v>154</v>
      </c>
      <c r="L1109" s="20">
        <v>46195.620138888888</v>
      </c>
      <c r="M1109" s="18" t="s">
        <v>55</v>
      </c>
      <c r="N1109" s="18" t="s">
        <v>55</v>
      </c>
      <c r="O1109" s="3"/>
      <c r="Q1109" s="22">
        <v>46195.798611111109</v>
      </c>
      <c r="S1109" s="21" t="s">
        <v>4508</v>
      </c>
      <c r="T1109" s="18" t="s">
        <v>164</v>
      </c>
      <c r="V1109" s="21" t="s">
        <v>4509</v>
      </c>
      <c r="Y1109" t="s">
        <v>158</v>
      </c>
      <c r="Z1109" t="s">
        <v>70</v>
      </c>
    </row>
    <row r="1110" spans="1:27" ht="15" hidden="1" customHeight="1">
      <c r="A1110" s="60">
        <f>ROW() - ROW(Table1[[#Headers],[s]])</f>
        <v>1109</v>
      </c>
      <c r="B1110" t="s">
        <v>4510</v>
      </c>
      <c r="C1110" s="272">
        <v>46174</v>
      </c>
      <c r="D1110" s="19" t="s">
        <v>4511</v>
      </c>
      <c r="E1110" t="e" vm="220">
        <v>#VALUE!</v>
      </c>
      <c r="F1110" t="e" vm="10">
        <v>#VALUE!</v>
      </c>
      <c r="G1110" s="5" t="s">
        <v>36</v>
      </c>
      <c r="H1110" t="s">
        <v>152</v>
      </c>
      <c r="I1110" t="s">
        <v>43</v>
      </c>
      <c r="J1110" s="18" t="s">
        <v>153</v>
      </c>
      <c r="K1110" t="s">
        <v>154</v>
      </c>
      <c r="L1110" s="20">
        <v>46195.625</v>
      </c>
      <c r="M1110" s="18" t="s">
        <v>78</v>
      </c>
      <c r="N1110" s="55" t="s">
        <v>78</v>
      </c>
      <c r="O1110" s="3"/>
      <c r="Q1110" s="22">
        <v>46195.756944444445</v>
      </c>
      <c r="S1110" s="21" t="s">
        <v>4512</v>
      </c>
      <c r="T1110" s="18" t="s">
        <v>478</v>
      </c>
      <c r="V1110" s="21" t="s">
        <v>4513</v>
      </c>
      <c r="Y1110" t="s">
        <v>158</v>
      </c>
      <c r="Z1110" t="s">
        <v>158</v>
      </c>
    </row>
    <row r="1111" spans="1:27" ht="15" hidden="1" customHeight="1">
      <c r="A1111" s="60">
        <f>ROW() - ROW(Table1[[#Headers],[s]])</f>
        <v>1110</v>
      </c>
      <c r="B1111" t="s">
        <v>4514</v>
      </c>
      <c r="C1111" s="272">
        <v>46174</v>
      </c>
      <c r="D1111" s="19" t="s">
        <v>4515</v>
      </c>
      <c r="E1111" t="e" vm="269">
        <v>#VALUE!</v>
      </c>
      <c r="F1111" t="e" vm="2">
        <v>#VALUE!</v>
      </c>
      <c r="G1111" s="5" t="s">
        <v>36</v>
      </c>
      <c r="H1111" t="s">
        <v>152</v>
      </c>
      <c r="I1111" t="s">
        <v>43</v>
      </c>
      <c r="J1111" s="18" t="s">
        <v>153</v>
      </c>
      <c r="K1111" t="s">
        <v>154</v>
      </c>
      <c r="L1111" s="20">
        <v>46195.63958333333</v>
      </c>
      <c r="M1111" s="18" t="s">
        <v>162</v>
      </c>
      <c r="N1111" s="18" t="s">
        <v>162</v>
      </c>
      <c r="O1111" s="3"/>
      <c r="Q1111" s="22">
        <v>46195.798611111109</v>
      </c>
      <c r="S1111" s="21" t="s">
        <v>4516</v>
      </c>
      <c r="T1111" s="18" t="s">
        <v>478</v>
      </c>
      <c r="V1111" s="21" t="s">
        <v>761</v>
      </c>
      <c r="Y1111" t="s">
        <v>158</v>
      </c>
      <c r="Z1111" t="s">
        <v>70</v>
      </c>
    </row>
    <row r="1112" spans="1:27" ht="15" hidden="1" customHeight="1">
      <c r="A1112" s="60">
        <f>ROW() - ROW(Table1[[#Headers],[s]])</f>
        <v>1111</v>
      </c>
      <c r="B1112" t="s">
        <v>2291</v>
      </c>
      <c r="C1112" s="272">
        <v>46174</v>
      </c>
      <c r="D1112" s="19" t="s">
        <v>4517</v>
      </c>
      <c r="E1112" t="e" vm="201">
        <v>#VALUE!</v>
      </c>
      <c r="F1112" t="e" vm="16">
        <v>#VALUE!</v>
      </c>
      <c r="G1112" s="5" t="s">
        <v>36</v>
      </c>
      <c r="H1112" t="s">
        <v>152</v>
      </c>
      <c r="I1112" s="5" t="s">
        <v>43</v>
      </c>
      <c r="J1112" s="18" t="s">
        <v>153</v>
      </c>
      <c r="K1112" t="s">
        <v>154</v>
      </c>
      <c r="L1112" s="20">
        <v>46195.636805555558</v>
      </c>
      <c r="M1112" s="55" t="s">
        <v>3853</v>
      </c>
      <c r="N1112" s="55" t="s">
        <v>3853</v>
      </c>
      <c r="O1112" s="3"/>
      <c r="Q1112" s="22">
        <v>46195.888888888891</v>
      </c>
      <c r="S1112" s="21" t="s">
        <v>4518</v>
      </c>
      <c r="T1112" s="18" t="s">
        <v>164</v>
      </c>
      <c r="V1112" s="21" t="s">
        <v>4519</v>
      </c>
      <c r="Y1112" t="s">
        <v>158</v>
      </c>
      <c r="Z1112" t="s">
        <v>70</v>
      </c>
    </row>
    <row r="1113" spans="1:27" ht="15" hidden="1" customHeight="1">
      <c r="A1113" s="60">
        <f>ROW() - ROW(Table1[[#Headers],[s]])</f>
        <v>1112</v>
      </c>
      <c r="B1113" t="s">
        <v>4520</v>
      </c>
      <c r="C1113" s="272">
        <v>46174</v>
      </c>
      <c r="D1113" s="19" t="s">
        <v>4521</v>
      </c>
      <c r="E1113" t="e" vm="120">
        <v>#VALUE!</v>
      </c>
      <c r="F1113" t="e" vm="12">
        <v>#VALUE!</v>
      </c>
      <c r="G1113" s="5" t="s">
        <v>36</v>
      </c>
      <c r="H1113" t="s">
        <v>152</v>
      </c>
      <c r="I1113" s="5" t="s">
        <v>43</v>
      </c>
      <c r="J1113" s="18" t="s">
        <v>153</v>
      </c>
      <c r="K1113" t="s">
        <v>154</v>
      </c>
      <c r="L1113" s="20">
        <v>46195.665972222225</v>
      </c>
      <c r="M1113" s="18" t="s">
        <v>72</v>
      </c>
      <c r="N1113" s="18" t="s">
        <v>72</v>
      </c>
      <c r="O1113" s="3"/>
      <c r="Q1113" s="22">
        <v>46195.854166666664</v>
      </c>
      <c r="S1113" s="21" t="s">
        <v>4522</v>
      </c>
      <c r="T1113" s="18" t="s">
        <v>4252</v>
      </c>
      <c r="V1113" s="21" t="s">
        <v>4523</v>
      </c>
      <c r="Y1113" t="s">
        <v>158</v>
      </c>
      <c r="Z1113" t="s">
        <v>70</v>
      </c>
    </row>
    <row r="1114" spans="1:27" ht="15" hidden="1" customHeight="1">
      <c r="A1114" s="60">
        <f>ROW() - ROW(Table1[[#Headers],[s]])</f>
        <v>1113</v>
      </c>
      <c r="B1114" t="s">
        <v>4524</v>
      </c>
      <c r="C1114" s="23" t="s">
        <v>60</v>
      </c>
      <c r="D1114" s="19" t="s">
        <v>4525</v>
      </c>
      <c r="E1114" t="s">
        <v>898</v>
      </c>
      <c r="F1114" t="e" vm="25">
        <v>#VALUE!</v>
      </c>
      <c r="G1114" s="5" t="s">
        <v>36</v>
      </c>
      <c r="H1114" t="s">
        <v>152</v>
      </c>
      <c r="I1114" s="23" t="s">
        <v>60</v>
      </c>
      <c r="J1114" s="18" t="s">
        <v>153</v>
      </c>
      <c r="K1114" s="42" t="s">
        <v>154</v>
      </c>
      <c r="L1114" s="20">
        <v>46195.731249999997</v>
      </c>
      <c r="M1114" s="18" t="s">
        <v>72</v>
      </c>
      <c r="N1114" s="18" t="s">
        <v>72</v>
      </c>
      <c r="O1114" s="3"/>
      <c r="Q1114" s="22">
        <v>46195.770833333336</v>
      </c>
      <c r="S1114" s="21" t="s">
        <v>4526</v>
      </c>
      <c r="T1114" s="18" t="s">
        <v>50</v>
      </c>
      <c r="V1114" s="21" t="s">
        <v>4526</v>
      </c>
      <c r="Y1114" t="s">
        <v>179</v>
      </c>
      <c r="Z1114" t="s">
        <v>179</v>
      </c>
    </row>
    <row r="1115" spans="1:27" ht="15" hidden="1" customHeight="1">
      <c r="A1115" s="60">
        <f>ROW() - ROW(Table1[[#Headers],[s]])</f>
        <v>1114</v>
      </c>
      <c r="B1115" t="s">
        <v>4527</v>
      </c>
      <c r="C1115" s="272">
        <v>46174</v>
      </c>
      <c r="D1115" s="19" t="s">
        <v>4528</v>
      </c>
      <c r="E1115" t="e" vm="180">
        <v>#VALUE!</v>
      </c>
      <c r="F1115" t="e" vm="16">
        <v>#VALUE!</v>
      </c>
      <c r="G1115" s="5" t="s">
        <v>1057</v>
      </c>
      <c r="H1115" t="s">
        <v>747</v>
      </c>
      <c r="I1115" s="5" t="s">
        <v>43</v>
      </c>
      <c r="J1115" s="18" t="s">
        <v>253</v>
      </c>
      <c r="K1115" t="s">
        <v>154</v>
      </c>
      <c r="L1115" s="20">
        <v>46195.655555555553</v>
      </c>
      <c r="M1115" s="18" t="s">
        <v>4529</v>
      </c>
      <c r="N1115" s="18" t="s">
        <v>4529</v>
      </c>
      <c r="O1115" s="44">
        <v>46196.458333333336</v>
      </c>
      <c r="P1115" s="44">
        <v>46196.472222222219</v>
      </c>
      <c r="Q1115" s="22">
        <v>46195.599305555559</v>
      </c>
      <c r="S1115" s="21" t="s">
        <v>4530</v>
      </c>
      <c r="T1115" s="18" t="s">
        <v>50</v>
      </c>
      <c r="V1115" s="21" t="s">
        <v>4531</v>
      </c>
      <c r="Y1115" t="s">
        <v>70</v>
      </c>
      <c r="Z1115" t="s">
        <v>70</v>
      </c>
      <c r="AA1115" t="s">
        <v>4532</v>
      </c>
    </row>
    <row r="1116" spans="1:27" ht="15" hidden="1" customHeight="1">
      <c r="A1116" s="60">
        <f>ROW() - ROW(Table1[[#Headers],[s]])</f>
        <v>1115</v>
      </c>
      <c r="B1116" t="s">
        <v>4533</v>
      </c>
      <c r="C1116" s="23" t="s">
        <v>60</v>
      </c>
      <c r="D1116" s="19" t="s">
        <v>4534</v>
      </c>
      <c r="E1116" t="e" vm="147">
        <v>#VALUE!</v>
      </c>
      <c r="F1116" t="e" vm="16">
        <v>#VALUE!</v>
      </c>
      <c r="G1116" s="5" t="s">
        <v>36</v>
      </c>
      <c r="H1116" t="s">
        <v>152</v>
      </c>
      <c r="I1116" s="23" t="s">
        <v>60</v>
      </c>
      <c r="J1116" s="18" t="s">
        <v>153</v>
      </c>
      <c r="K1116" s="42" t="s">
        <v>154</v>
      </c>
      <c r="L1116" s="20">
        <v>46195.837500000001</v>
      </c>
      <c r="N1116" s="18"/>
      <c r="O1116" s="3"/>
      <c r="Q1116" s="22">
        <v>46195.865277777775</v>
      </c>
      <c r="S1116" s="21" t="s">
        <v>4535</v>
      </c>
      <c r="T1116" s="18" t="s">
        <v>50</v>
      </c>
      <c r="V1116" s="21" t="s">
        <v>4535</v>
      </c>
      <c r="Y1116" t="s">
        <v>50</v>
      </c>
      <c r="Z1116" t="s">
        <v>179</v>
      </c>
    </row>
    <row r="1117" spans="1:27" ht="15" hidden="1" customHeight="1">
      <c r="A1117" s="60">
        <f>ROW() - ROW(Table1[[#Headers],[s]])</f>
        <v>1116</v>
      </c>
      <c r="B1117" t="s">
        <v>4536</v>
      </c>
      <c r="C1117" s="23" t="s">
        <v>60</v>
      </c>
      <c r="D1117" s="52" t="s">
        <v>4537</v>
      </c>
      <c r="E1117" t="e" vm="147">
        <v>#VALUE!</v>
      </c>
      <c r="F1117" t="e" vm="16">
        <v>#VALUE!</v>
      </c>
      <c r="G1117" s="5" t="s">
        <v>36</v>
      </c>
      <c r="H1117" t="s">
        <v>152</v>
      </c>
      <c r="I1117" s="23" t="s">
        <v>60</v>
      </c>
      <c r="J1117" s="18" t="s">
        <v>153</v>
      </c>
      <c r="K1117" s="42" t="s">
        <v>154</v>
      </c>
      <c r="L1117" s="44">
        <v>46195.839583333334</v>
      </c>
      <c r="M1117" s="55"/>
      <c r="N1117" s="55"/>
      <c r="O1117" s="56"/>
      <c r="Q1117" s="58">
        <v>46195.865277777775</v>
      </c>
      <c r="S1117" s="21" t="s">
        <v>4535</v>
      </c>
      <c r="T1117" s="55" t="s">
        <v>50</v>
      </c>
      <c r="V1117" s="21" t="s">
        <v>4535</v>
      </c>
      <c r="Y1117" t="s">
        <v>179</v>
      </c>
      <c r="Z1117" t="s">
        <v>179</v>
      </c>
    </row>
    <row r="1118" spans="1:27" ht="15" hidden="1" customHeight="1">
      <c r="A1118" s="60">
        <f>ROW() - ROW(Table1[[#Headers],[s]])</f>
        <v>1117</v>
      </c>
      <c r="B1118" t="s">
        <v>4538</v>
      </c>
      <c r="C1118" s="163">
        <v>46174</v>
      </c>
      <c r="D1118" s="52" t="s">
        <v>4539</v>
      </c>
      <c r="E1118" s="19" t="e" vm="293">
        <v>#VALUE!</v>
      </c>
      <c r="F1118" t="e" vm="40">
        <v>#VALUE!</v>
      </c>
      <c r="G1118" s="5" t="s">
        <v>36</v>
      </c>
      <c r="H1118" t="s">
        <v>152</v>
      </c>
      <c r="I1118" s="5" t="s">
        <v>43</v>
      </c>
      <c r="J1118" s="18" t="s">
        <v>153</v>
      </c>
      <c r="K1118" t="s">
        <v>154</v>
      </c>
      <c r="L1118" s="44">
        <v>46196.302083333336</v>
      </c>
      <c r="M1118" s="169" t="s">
        <v>4540</v>
      </c>
      <c r="N1118" s="169" t="s">
        <v>4541</v>
      </c>
      <c r="O1118" s="56"/>
      <c r="P1118" s="5"/>
      <c r="Q1118" s="58">
        <v>46196.791666666664</v>
      </c>
      <c r="R1118" s="22"/>
      <c r="S1118" s="21" t="s">
        <v>4542</v>
      </c>
      <c r="T1118" s="55" t="s">
        <v>478</v>
      </c>
      <c r="U1118" s="18"/>
      <c r="V1118" s="53" t="s">
        <v>4543</v>
      </c>
      <c r="Y1118" t="s">
        <v>158</v>
      </c>
      <c r="Z1118" t="s">
        <v>70</v>
      </c>
    </row>
    <row r="1119" spans="1:27" ht="15" hidden="1" customHeight="1">
      <c r="A1119" s="60">
        <f>ROW() - ROW(Table1[[#Headers],[s]])</f>
        <v>1118</v>
      </c>
      <c r="B1119" t="s">
        <v>4544</v>
      </c>
      <c r="C1119" s="23" t="s">
        <v>60</v>
      </c>
      <c r="D1119" s="52" t="s">
        <v>4545</v>
      </c>
      <c r="E1119" t="e" vm="167">
        <v>#VALUE!</v>
      </c>
      <c r="F1119" t="e" vm="7">
        <v>#VALUE!</v>
      </c>
      <c r="G1119" s="5" t="s">
        <v>1057</v>
      </c>
      <c r="H1119" t="s">
        <v>152</v>
      </c>
      <c r="I1119" s="5" t="s">
        <v>60</v>
      </c>
      <c r="J1119" s="18" t="s">
        <v>153</v>
      </c>
      <c r="K1119" s="42" t="s">
        <v>4546</v>
      </c>
      <c r="L1119" s="44">
        <v>46196.397916666669</v>
      </c>
      <c r="M1119" s="55" t="s">
        <v>68</v>
      </c>
      <c r="N1119" s="55" t="s">
        <v>68</v>
      </c>
      <c r="O1119" s="44">
        <v>46197.375</v>
      </c>
      <c r="Q1119" s="58">
        <v>46197.416666666664</v>
      </c>
      <c r="S1119" s="53" t="s">
        <v>4546</v>
      </c>
      <c r="T1119" s="55" t="s">
        <v>50</v>
      </c>
      <c r="V1119" s="53" t="s">
        <v>4546</v>
      </c>
      <c r="Y1119" t="s">
        <v>179</v>
      </c>
      <c r="Z1119" t="s">
        <v>179</v>
      </c>
    </row>
    <row r="1120" spans="1:27" ht="15" hidden="1" customHeight="1">
      <c r="A1120" s="60">
        <f>ROW() - ROW(Table1[[#Headers],[s]])</f>
        <v>1119</v>
      </c>
      <c r="B1120" t="s">
        <v>4547</v>
      </c>
      <c r="C1120" s="23" t="s">
        <v>60</v>
      </c>
      <c r="D1120" s="52" t="s">
        <v>4548</v>
      </c>
      <c r="E1120" t="e" vm="104">
        <v>#VALUE!</v>
      </c>
      <c r="F1120" t="e" vm="1">
        <v>#VALUE!</v>
      </c>
      <c r="G1120" s="5" t="s">
        <v>1057</v>
      </c>
      <c r="H1120" t="s">
        <v>747</v>
      </c>
      <c r="I1120" s="5" t="s">
        <v>60</v>
      </c>
      <c r="J1120" s="18" t="s">
        <v>253</v>
      </c>
      <c r="K1120" s="60" t="s">
        <v>1003</v>
      </c>
      <c r="L1120" s="44">
        <v>46196.436805555553</v>
      </c>
      <c r="M1120" s="55"/>
      <c r="N1120" s="55"/>
      <c r="O1120" s="56"/>
      <c r="Q1120" s="44">
        <v>46196.436805555553</v>
      </c>
      <c r="S1120" s="53" t="s">
        <v>4549</v>
      </c>
      <c r="T1120" s="55" t="s">
        <v>50</v>
      </c>
      <c r="V1120" s="53" t="s">
        <v>4549</v>
      </c>
      <c r="Y1120" t="s">
        <v>179</v>
      </c>
      <c r="Z1120" t="s">
        <v>179</v>
      </c>
    </row>
    <row r="1121" spans="1:26" ht="15" hidden="1" customHeight="1">
      <c r="A1121" s="60">
        <f>ROW() - ROW(Table1[[#Headers],[s]])</f>
        <v>1120</v>
      </c>
      <c r="B1121" t="s">
        <v>4550</v>
      </c>
      <c r="C1121" s="23" t="s">
        <v>60</v>
      </c>
      <c r="D1121" s="52" t="s">
        <v>4551</v>
      </c>
      <c r="E1121" t="e" vm="49">
        <v>#VALUE!</v>
      </c>
      <c r="F1121" t="e" vm="49">
        <v>#VALUE!</v>
      </c>
      <c r="G1121" s="5" t="s">
        <v>1057</v>
      </c>
      <c r="H1121" t="s">
        <v>747</v>
      </c>
      <c r="I1121" s="5" t="s">
        <v>60</v>
      </c>
      <c r="J1121" s="18" t="s">
        <v>253</v>
      </c>
      <c r="K1121" s="60" t="s">
        <v>1003</v>
      </c>
      <c r="L1121" s="44">
        <v>46196.481249999997</v>
      </c>
      <c r="M1121" s="55"/>
      <c r="N1121" s="55"/>
      <c r="O1121" s="56"/>
      <c r="Q1121" s="44">
        <v>46196.481249999997</v>
      </c>
      <c r="S1121" s="53" t="s">
        <v>4549</v>
      </c>
      <c r="T1121" s="55" t="s">
        <v>50</v>
      </c>
      <c r="V1121" s="53" t="s">
        <v>4549</v>
      </c>
      <c r="Y1121" t="s">
        <v>179</v>
      </c>
      <c r="Z1121" t="s">
        <v>179</v>
      </c>
    </row>
    <row r="1122" spans="1:26" ht="15" hidden="1" customHeight="1">
      <c r="A1122" s="60">
        <f>ROW() - ROW(Table1[[#Headers],[s]])</f>
        <v>1121</v>
      </c>
      <c r="B1122" t="s">
        <v>4552</v>
      </c>
      <c r="C1122" s="163">
        <v>46174</v>
      </c>
      <c r="D1122" s="52" t="s">
        <v>4553</v>
      </c>
      <c r="E1122" t="e" vm="184">
        <v>#VALUE!</v>
      </c>
      <c r="F1122" t="e" vm="22">
        <v>#VALUE!</v>
      </c>
      <c r="G1122" s="5" t="s">
        <v>36</v>
      </c>
      <c r="H1122" t="s">
        <v>245</v>
      </c>
      <c r="I1122" s="5" t="s">
        <v>43</v>
      </c>
      <c r="J1122" s="18" t="s">
        <v>253</v>
      </c>
      <c r="K1122" t="s">
        <v>154</v>
      </c>
      <c r="L1122" s="44">
        <v>46196.519444444442</v>
      </c>
      <c r="M1122" s="55" t="s">
        <v>72</v>
      </c>
      <c r="N1122" s="55" t="s">
        <v>78</v>
      </c>
      <c r="O1122" s="44">
        <v>46196.658333333333</v>
      </c>
      <c r="Q1122" s="58">
        <v>46197.583333333336</v>
      </c>
      <c r="S1122" s="21" t="s">
        <v>4554</v>
      </c>
      <c r="T1122" s="55" t="s">
        <v>4555</v>
      </c>
      <c r="V1122" s="252" t="s">
        <v>299</v>
      </c>
      <c r="Y1122" t="s">
        <v>70</v>
      </c>
      <c r="Z1122" t="s">
        <v>158</v>
      </c>
    </row>
    <row r="1123" spans="1:26" ht="15" hidden="1" customHeight="1">
      <c r="A1123" s="60">
        <f>ROW() - ROW(Table1[[#Headers],[s]])</f>
        <v>1122</v>
      </c>
      <c r="B1123" t="s">
        <v>4556</v>
      </c>
      <c r="C1123" s="163">
        <v>46174</v>
      </c>
      <c r="D1123" s="52" t="s">
        <v>4557</v>
      </c>
      <c r="E1123" t="e" vm="186">
        <v>#VALUE!</v>
      </c>
      <c r="F1123" t="e" vm="12">
        <v>#VALUE!</v>
      </c>
      <c r="G1123" s="5" t="s">
        <v>1057</v>
      </c>
      <c r="H1123" t="s">
        <v>152</v>
      </c>
      <c r="I1123" t="s">
        <v>43</v>
      </c>
      <c r="J1123" s="18" t="s">
        <v>153</v>
      </c>
      <c r="K1123" t="s">
        <v>154</v>
      </c>
      <c r="L1123" s="44">
        <v>46196.574305555558</v>
      </c>
      <c r="M1123" s="55" t="s">
        <v>55</v>
      </c>
      <c r="N1123" s="55" t="s">
        <v>55</v>
      </c>
      <c r="O1123" s="44">
        <v>46196.784722222219</v>
      </c>
      <c r="P1123" s="44">
        <v>46196.763194444444</v>
      </c>
      <c r="Q1123" s="44">
        <v>46196.787499999999</v>
      </c>
      <c r="S1123" s="21" t="s">
        <v>4558</v>
      </c>
      <c r="T1123" s="55" t="s">
        <v>478</v>
      </c>
      <c r="V1123" s="21" t="s">
        <v>4559</v>
      </c>
      <c r="Y1123" t="s">
        <v>158</v>
      </c>
      <c r="Z1123" t="s">
        <v>70</v>
      </c>
    </row>
    <row r="1124" spans="1:26" ht="15.75" hidden="1" customHeight="1">
      <c r="A1124" s="60">
        <f>ROW() - ROW(Table1[[#Headers],[s]])</f>
        <v>1123</v>
      </c>
      <c r="B1124" t="s">
        <v>4560</v>
      </c>
      <c r="C1124" s="163">
        <v>46174</v>
      </c>
      <c r="D1124" s="52" t="s">
        <v>4561</v>
      </c>
      <c r="E1124" s="230" t="e" vm="58">
        <v>#VALUE!</v>
      </c>
      <c r="F1124" t="e" vm="25">
        <v>#VALUE!</v>
      </c>
      <c r="G1124" s="5" t="s">
        <v>1057</v>
      </c>
      <c r="H1124" t="s">
        <v>152</v>
      </c>
      <c r="I1124" t="s">
        <v>43</v>
      </c>
      <c r="J1124" s="18" t="s">
        <v>153</v>
      </c>
      <c r="K1124" t="s">
        <v>154</v>
      </c>
      <c r="L1124" s="44">
        <v>46196.659722222219</v>
      </c>
      <c r="M1124" s="55" t="s">
        <v>72</v>
      </c>
      <c r="N1124" s="55" t="s">
        <v>72</v>
      </c>
      <c r="O1124" s="44">
        <v>46196.902777777781</v>
      </c>
      <c r="P1124" s="44">
        <v>46196.913194444445</v>
      </c>
      <c r="Q1124" s="44">
        <v>46196.930555555555</v>
      </c>
      <c r="S1124" s="21" t="s">
        <v>4562</v>
      </c>
      <c r="T1124" s="55" t="s">
        <v>478</v>
      </c>
      <c r="V1124" s="21" t="s">
        <v>4563</v>
      </c>
      <c r="Y1124" t="s">
        <v>158</v>
      </c>
      <c r="Z1124" t="s">
        <v>70</v>
      </c>
    </row>
    <row r="1125" spans="1:26" ht="15" hidden="1" customHeight="1">
      <c r="A1125" s="60">
        <f>ROW() - ROW(Table1[[#Headers],[s]])</f>
        <v>1124</v>
      </c>
      <c r="B1125" t="s">
        <v>4564</v>
      </c>
      <c r="C1125" s="163">
        <v>46174</v>
      </c>
      <c r="D1125" s="52" t="s">
        <v>4565</v>
      </c>
      <c r="E1125" t="e" vm="42">
        <v>#VALUE!</v>
      </c>
      <c r="F1125" t="e" vm="42">
        <v>#VALUE!</v>
      </c>
      <c r="G1125" s="5" t="s">
        <v>1057</v>
      </c>
      <c r="H1125" t="s">
        <v>747</v>
      </c>
      <c r="I1125" t="s">
        <v>43</v>
      </c>
      <c r="J1125" s="18" t="s">
        <v>253</v>
      </c>
      <c r="K1125" t="s">
        <v>154</v>
      </c>
      <c r="L1125" s="44">
        <v>46196.677083333336</v>
      </c>
      <c r="M1125" s="55" t="s">
        <v>4566</v>
      </c>
      <c r="N1125" s="55" t="s">
        <v>4566</v>
      </c>
      <c r="O1125" s="44">
        <v>46196.944444444445</v>
      </c>
      <c r="P1125" s="44">
        <v>46196.958333333336</v>
      </c>
      <c r="Q1125" s="44">
        <v>46197.132638888892</v>
      </c>
      <c r="S1125" s="21" t="s">
        <v>4567</v>
      </c>
      <c r="T1125" s="55" t="s">
        <v>2926</v>
      </c>
      <c r="V1125" s="21" t="s">
        <v>4568</v>
      </c>
      <c r="Y1125" t="s">
        <v>70</v>
      </c>
      <c r="Z1125" t="s">
        <v>158</v>
      </c>
    </row>
    <row r="1126" spans="1:26" ht="15" hidden="1" customHeight="1">
      <c r="A1126" s="60">
        <f>ROW() - ROW(Table1[[#Headers],[s]])</f>
        <v>1125</v>
      </c>
      <c r="B1126" t="s">
        <v>4569</v>
      </c>
      <c r="C1126" s="23" t="s">
        <v>60</v>
      </c>
      <c r="D1126" s="52" t="s">
        <v>4570</v>
      </c>
      <c r="E1126" t="e" vm="186">
        <v>#VALUE!</v>
      </c>
      <c r="F1126" t="e" vm="12">
        <v>#VALUE!</v>
      </c>
      <c r="G1126" s="5" t="s">
        <v>1057</v>
      </c>
      <c r="H1126" t="s">
        <v>152</v>
      </c>
      <c r="I1126" s="5" t="s">
        <v>60</v>
      </c>
      <c r="J1126" s="18" t="s">
        <v>153</v>
      </c>
      <c r="K1126" s="42" t="s">
        <v>154</v>
      </c>
      <c r="L1126" s="44">
        <v>46196.6875</v>
      </c>
      <c r="M1126" s="55" t="s">
        <v>55</v>
      </c>
      <c r="N1126" s="55" t="s">
        <v>55</v>
      </c>
      <c r="O1126" s="44">
        <v>46196.784722222219</v>
      </c>
      <c r="P1126" s="44">
        <v>46196.763194444444</v>
      </c>
      <c r="Q1126" s="44">
        <v>46196.787499999999</v>
      </c>
      <c r="S1126" s="21" t="s">
        <v>4571</v>
      </c>
      <c r="T1126" s="55" t="s">
        <v>478</v>
      </c>
      <c r="V1126" s="21" t="s">
        <v>4571</v>
      </c>
      <c r="Y1126" t="s">
        <v>179</v>
      </c>
      <c r="Z1126" t="s">
        <v>179</v>
      </c>
    </row>
    <row r="1127" spans="1:26" ht="15" hidden="1" customHeight="1">
      <c r="A1127" s="60">
        <f>ROW() - ROW(Table1[[#Headers],[s]])</f>
        <v>1126</v>
      </c>
      <c r="B1127" t="s">
        <v>4572</v>
      </c>
      <c r="C1127" s="163">
        <v>46174</v>
      </c>
      <c r="D1127" s="52" t="s">
        <v>4573</v>
      </c>
      <c r="E1127" t="e" vm="9">
        <v>#VALUE!</v>
      </c>
      <c r="F1127" t="e" vm="10">
        <v>#VALUE!</v>
      </c>
      <c r="G1127" s="5" t="s">
        <v>1057</v>
      </c>
      <c r="H1127" t="s">
        <v>152</v>
      </c>
      <c r="I1127" t="s">
        <v>43</v>
      </c>
      <c r="J1127" s="18" t="s">
        <v>153</v>
      </c>
      <c r="K1127" t="s">
        <v>154</v>
      </c>
      <c r="L1127" s="44">
        <v>46196.69027777778</v>
      </c>
      <c r="M1127" s="18" t="s">
        <v>78</v>
      </c>
      <c r="N1127" s="55" t="s">
        <v>78</v>
      </c>
      <c r="O1127" s="44">
        <v>46196.777777777781</v>
      </c>
      <c r="P1127" s="44">
        <v>46196.781944444447</v>
      </c>
      <c r="Q1127" s="44">
        <v>46196.821527777778</v>
      </c>
      <c r="S1127" s="21" t="s">
        <v>4574</v>
      </c>
      <c r="T1127" s="18" t="s">
        <v>50</v>
      </c>
      <c r="V1127" s="21" t="s">
        <v>4575</v>
      </c>
      <c r="Y1127" t="s">
        <v>158</v>
      </c>
      <c r="Z1127" t="s">
        <v>70</v>
      </c>
    </row>
    <row r="1128" spans="1:26" ht="15" hidden="1" customHeight="1">
      <c r="A1128" s="60">
        <f>ROW() - ROW(Table1[[#Headers],[s]])</f>
        <v>1127</v>
      </c>
      <c r="B1128" t="s">
        <v>4576</v>
      </c>
      <c r="C1128" s="163">
        <v>46174</v>
      </c>
      <c r="D1128" s="52" t="s">
        <v>4577</v>
      </c>
      <c r="E1128" t="e" vm="111">
        <v>#VALUE!</v>
      </c>
      <c r="F1128" t="e" vm="12">
        <v>#VALUE!</v>
      </c>
      <c r="G1128" s="5" t="s">
        <v>1057</v>
      </c>
      <c r="H1128" t="s">
        <v>152</v>
      </c>
      <c r="I1128" t="s">
        <v>43</v>
      </c>
      <c r="J1128" s="18" t="s">
        <v>153</v>
      </c>
      <c r="K1128" t="s">
        <v>154</v>
      </c>
      <c r="L1128" s="44">
        <v>46196.692361111112</v>
      </c>
      <c r="M1128" s="55" t="s">
        <v>55</v>
      </c>
      <c r="N1128" s="55" t="s">
        <v>55</v>
      </c>
      <c r="O1128" s="44">
        <v>46196.8125</v>
      </c>
      <c r="P1128" s="44">
        <v>46196.822916666664</v>
      </c>
      <c r="Q1128" s="44">
        <v>46196.944444444445</v>
      </c>
      <c r="R1128" t="s">
        <v>3137</v>
      </c>
      <c r="S1128" s="21" t="s">
        <v>4578</v>
      </c>
      <c r="T1128" s="55" t="s">
        <v>4032</v>
      </c>
      <c r="V1128" s="21" t="s">
        <v>4579</v>
      </c>
      <c r="Y1128" t="s">
        <v>158</v>
      </c>
      <c r="Z1128" t="s">
        <v>158</v>
      </c>
    </row>
    <row r="1129" spans="1:26" ht="15" customHeight="1">
      <c r="A1129" s="60">
        <f>ROW() - ROW(Table1[[#Headers],[s]])</f>
        <v>1128</v>
      </c>
      <c r="B1129" t="s">
        <v>4580</v>
      </c>
      <c r="C1129" s="163">
        <v>46174</v>
      </c>
      <c r="D1129" s="52" t="s">
        <v>4581</v>
      </c>
      <c r="E1129" t="e" vm="206">
        <v>#VALUE!</v>
      </c>
      <c r="F1129" t="e" vm="10">
        <v>#VALUE!</v>
      </c>
      <c r="G1129" s="5" t="s">
        <v>186</v>
      </c>
      <c r="H1129" t="s">
        <v>152</v>
      </c>
      <c r="I1129" t="s">
        <v>43</v>
      </c>
      <c r="J1129" s="18" t="s">
        <v>153</v>
      </c>
      <c r="K1129" t="s">
        <v>154</v>
      </c>
      <c r="L1129" s="44">
        <v>46196.694444444445</v>
      </c>
      <c r="M1129" s="18" t="s">
        <v>78</v>
      </c>
      <c r="N1129" s="55" t="s">
        <v>78</v>
      </c>
      <c r="O1129" s="56">
        <v>46197.625</v>
      </c>
      <c r="P1129" s="2">
        <v>46197.631944444445</v>
      </c>
      <c r="Q1129" s="58">
        <v>46197.744444444441</v>
      </c>
      <c r="S1129" s="21" t="s">
        <v>4582</v>
      </c>
      <c r="T1129" s="18" t="s">
        <v>164</v>
      </c>
      <c r="V1129" s="53" t="s">
        <v>4023</v>
      </c>
      <c r="Y1129" t="s">
        <v>158</v>
      </c>
      <c r="Z1129" t="s">
        <v>70</v>
      </c>
    </row>
    <row r="1130" spans="1:26" ht="15" hidden="1" customHeight="1">
      <c r="A1130" s="60">
        <f>ROW() - ROW(Table1[[#Headers],[s]])</f>
        <v>1129</v>
      </c>
      <c r="B1130" t="s">
        <v>4583</v>
      </c>
      <c r="C1130" s="163">
        <v>46174</v>
      </c>
      <c r="D1130" s="52" t="s">
        <v>4584</v>
      </c>
      <c r="E1130" t="e" vm="69">
        <v>#VALUE!</v>
      </c>
      <c r="F1130" t="e" vm="2">
        <v>#VALUE!</v>
      </c>
      <c r="G1130" s="5" t="s">
        <v>1057</v>
      </c>
      <c r="H1130" t="s">
        <v>152</v>
      </c>
      <c r="I1130" t="s">
        <v>43</v>
      </c>
      <c r="J1130" s="18" t="s">
        <v>153</v>
      </c>
      <c r="K1130" t="s">
        <v>154</v>
      </c>
      <c r="L1130" s="44">
        <v>46196.700694444444</v>
      </c>
      <c r="M1130" s="18" t="s">
        <v>162</v>
      </c>
      <c r="N1130" s="18" t="s">
        <v>162</v>
      </c>
      <c r="O1130" s="44">
        <v>46197.333333333336</v>
      </c>
      <c r="P1130" s="44">
        <v>46197.347222222219</v>
      </c>
      <c r="Q1130" s="44">
        <v>46197.393055555556</v>
      </c>
      <c r="R1130" t="s">
        <v>3232</v>
      </c>
      <c r="S1130" s="21" t="s">
        <v>4585</v>
      </c>
      <c r="T1130" s="55" t="s">
        <v>2926</v>
      </c>
      <c r="V1130" s="21" t="s">
        <v>4586</v>
      </c>
      <c r="Y1130" t="s">
        <v>158</v>
      </c>
      <c r="Z1130" t="s">
        <v>70</v>
      </c>
    </row>
    <row r="1131" spans="1:26" ht="15" hidden="1" customHeight="1">
      <c r="A1131" s="60">
        <f>ROW() - ROW(Table1[[#Headers],[s]])</f>
        <v>1130</v>
      </c>
      <c r="B1131" t="s">
        <v>4587</v>
      </c>
      <c r="C1131" s="163">
        <v>46174</v>
      </c>
      <c r="D1131" s="52" t="s">
        <v>4588</v>
      </c>
      <c r="E1131" t="e" vm="210">
        <v>#VALUE!</v>
      </c>
      <c r="F1131" t="e" vm="2">
        <v>#VALUE!</v>
      </c>
      <c r="G1131" s="5" t="s">
        <v>1057</v>
      </c>
      <c r="H1131" t="s">
        <v>152</v>
      </c>
      <c r="I1131" t="s">
        <v>43</v>
      </c>
      <c r="J1131" s="18" t="s">
        <v>153</v>
      </c>
      <c r="K1131" t="s">
        <v>154</v>
      </c>
      <c r="L1131" s="44">
        <v>46196.704861111109</v>
      </c>
      <c r="M1131" s="18" t="s">
        <v>162</v>
      </c>
      <c r="N1131" s="18" t="s">
        <v>162</v>
      </c>
      <c r="O1131" s="44">
        <v>46196.743055555555</v>
      </c>
      <c r="P1131" s="44">
        <v>46196.75</v>
      </c>
      <c r="Q1131" s="44">
        <v>46196.753472222219</v>
      </c>
      <c r="S1131" s="21" t="s">
        <v>4589</v>
      </c>
      <c r="T1131" s="18" t="s">
        <v>50</v>
      </c>
      <c r="V1131" s="21" t="s">
        <v>4590</v>
      </c>
      <c r="Y1131" t="s">
        <v>158</v>
      </c>
      <c r="Z1131" t="s">
        <v>70</v>
      </c>
    </row>
    <row r="1132" spans="1:26" ht="15" hidden="1" customHeight="1">
      <c r="A1132" s="60">
        <f>ROW() - ROW(Table1[[#Headers],[s]])</f>
        <v>1131</v>
      </c>
      <c r="B1132" t="s">
        <v>4591</v>
      </c>
      <c r="C1132" s="163">
        <v>46174</v>
      </c>
      <c r="D1132" s="52" t="s">
        <v>4592</v>
      </c>
      <c r="E1132" t="e" vm="201">
        <v>#VALUE!</v>
      </c>
      <c r="F1132" t="e" vm="16">
        <v>#VALUE!</v>
      </c>
      <c r="G1132" s="5" t="s">
        <v>1057</v>
      </c>
      <c r="H1132" t="s">
        <v>152</v>
      </c>
      <c r="I1132" t="s">
        <v>43</v>
      </c>
      <c r="J1132" s="18" t="s">
        <v>153</v>
      </c>
      <c r="K1132" t="s">
        <v>154</v>
      </c>
      <c r="L1132" s="44">
        <v>46196.71875</v>
      </c>
      <c r="M1132" s="55" t="s">
        <v>4593</v>
      </c>
      <c r="N1132" s="55" t="s">
        <v>4593</v>
      </c>
      <c r="O1132" s="44">
        <v>46197.395833333336</v>
      </c>
      <c r="P1132" s="44">
        <v>46197.402777777781</v>
      </c>
      <c r="Q1132" s="44">
        <v>46197.4375</v>
      </c>
      <c r="S1132" s="21" t="s">
        <v>4594</v>
      </c>
      <c r="T1132" s="18" t="s">
        <v>50</v>
      </c>
      <c r="V1132" s="21" t="s">
        <v>4595</v>
      </c>
      <c r="Y1132" t="s">
        <v>158</v>
      </c>
      <c r="Z1132" t="s">
        <v>70</v>
      </c>
    </row>
    <row r="1133" spans="1:26" ht="15" customHeight="1">
      <c r="A1133" s="60">
        <f>ROW() - ROW(Table1[[#Headers],[s]])</f>
        <v>1132</v>
      </c>
      <c r="B1133" s="305" t="s">
        <v>4596</v>
      </c>
      <c r="C1133" s="163">
        <v>46174</v>
      </c>
      <c r="D1133" s="52" t="s">
        <v>4597</v>
      </c>
      <c r="E1133" t="e" vm="58">
        <v>#VALUE!</v>
      </c>
      <c r="F1133" t="e" vm="25">
        <v>#VALUE!</v>
      </c>
      <c r="G1133" s="5" t="s">
        <v>83</v>
      </c>
      <c r="H1133" t="s">
        <v>152</v>
      </c>
      <c r="I1133" t="s">
        <v>43</v>
      </c>
      <c r="J1133" s="18" t="s">
        <v>153</v>
      </c>
      <c r="K1133" t="s">
        <v>154</v>
      </c>
      <c r="L1133" s="44">
        <v>46175.423611111109</v>
      </c>
      <c r="M1133" s="55" t="s">
        <v>72</v>
      </c>
      <c r="N1133" s="55" t="s">
        <v>72</v>
      </c>
      <c r="O1133" s="56">
        <v>46197.458333333336</v>
      </c>
      <c r="P1133" s="2">
        <v>46197.465277777781</v>
      </c>
      <c r="Q1133" s="58">
        <v>46197.519444444442</v>
      </c>
      <c r="S1133" s="21" t="s">
        <v>527</v>
      </c>
      <c r="T1133" s="18" t="s">
        <v>164</v>
      </c>
      <c r="V1133" s="21" t="s">
        <v>4598</v>
      </c>
      <c r="Y1133" t="s">
        <v>158</v>
      </c>
      <c r="Z1133" t="s">
        <v>70</v>
      </c>
    </row>
    <row r="1134" spans="1:26" ht="15" customHeight="1">
      <c r="A1134" s="60">
        <f>ROW() - ROW(Table1[[#Headers],[s]])</f>
        <v>1133</v>
      </c>
      <c r="B1134" t="s">
        <v>4599</v>
      </c>
      <c r="C1134" s="163">
        <v>46174</v>
      </c>
      <c r="D1134" s="52" t="s">
        <v>4600</v>
      </c>
      <c r="E1134" t="e" vm="9">
        <v>#VALUE!</v>
      </c>
      <c r="F1134" t="e" vm="10">
        <v>#VALUE!</v>
      </c>
      <c r="G1134" s="5" t="s">
        <v>83</v>
      </c>
      <c r="H1134" t="s">
        <v>152</v>
      </c>
      <c r="I1134" t="s">
        <v>43</v>
      </c>
      <c r="J1134" s="18" t="s">
        <v>153</v>
      </c>
      <c r="K1134" t="s">
        <v>154</v>
      </c>
      <c r="L1134" s="354">
        <v>46197.45</v>
      </c>
      <c r="M1134" s="18" t="s">
        <v>78</v>
      </c>
      <c r="N1134" s="55" t="s">
        <v>78</v>
      </c>
      <c r="O1134" s="56">
        <v>46197.583333333336</v>
      </c>
      <c r="P1134" s="2">
        <v>46197.590277777781</v>
      </c>
      <c r="Q1134" s="58">
        <v>46197.794444444444</v>
      </c>
      <c r="S1134" s="21" t="s">
        <v>4601</v>
      </c>
      <c r="T1134" s="18" t="s">
        <v>164</v>
      </c>
      <c r="V1134" s="21" t="s">
        <v>581</v>
      </c>
      <c r="Y1134" t="s">
        <v>158</v>
      </c>
      <c r="Z1134" t="s">
        <v>70</v>
      </c>
    </row>
    <row r="1135" spans="1:26" ht="15" customHeight="1">
      <c r="A1135" s="60">
        <f>ROW() - ROW(Table1[[#Headers],[s]])</f>
        <v>1134</v>
      </c>
      <c r="B1135" t="s">
        <v>4602</v>
      </c>
      <c r="C1135" s="163">
        <v>46174</v>
      </c>
      <c r="D1135" s="52" t="s">
        <v>4603</v>
      </c>
      <c r="E1135" t="e" vm="79">
        <v>#VALUE!</v>
      </c>
      <c r="F1135" t="e" vm="25">
        <v>#VALUE!</v>
      </c>
      <c r="G1135" s="5" t="s">
        <v>83</v>
      </c>
      <c r="H1135" t="s">
        <v>152</v>
      </c>
      <c r="I1135" t="s">
        <v>43</v>
      </c>
      <c r="J1135" s="18" t="s">
        <v>153</v>
      </c>
      <c r="K1135" t="s">
        <v>154</v>
      </c>
      <c r="L1135" s="44">
        <v>46197.462500000001</v>
      </c>
      <c r="M1135" s="55" t="s">
        <v>72</v>
      </c>
      <c r="N1135" s="55" t="s">
        <v>72</v>
      </c>
      <c r="O1135" s="56">
        <v>46197.541666666664</v>
      </c>
      <c r="P1135" s="2">
        <v>46197.548611111109</v>
      </c>
      <c r="Q1135" s="58">
        <v>46197.572916666664</v>
      </c>
      <c r="S1135" s="21" t="s">
        <v>1147</v>
      </c>
      <c r="T1135" s="18" t="s">
        <v>164</v>
      </c>
      <c r="V1135" s="21" t="s">
        <v>4604</v>
      </c>
      <c r="Y1135" t="s">
        <v>158</v>
      </c>
      <c r="Z1135" t="s">
        <v>70</v>
      </c>
    </row>
    <row r="1136" spans="1:26" ht="15" customHeight="1">
      <c r="A1136" s="60">
        <f>ROW() - ROW(Table1[[#Headers],[s]])</f>
        <v>1135</v>
      </c>
      <c r="B1136" t="s">
        <v>4605</v>
      </c>
      <c r="C1136" s="163">
        <v>46174</v>
      </c>
      <c r="D1136" s="305" t="s">
        <v>4606</v>
      </c>
      <c r="E1136" t="e" vm="225">
        <v>#VALUE!</v>
      </c>
      <c r="F1136" t="e" vm="21">
        <v>#VALUE!</v>
      </c>
      <c r="G1136" s="5" t="s">
        <v>83</v>
      </c>
      <c r="H1136" t="s">
        <v>245</v>
      </c>
      <c r="I1136" t="s">
        <v>43</v>
      </c>
      <c r="J1136" s="18" t="s">
        <v>253</v>
      </c>
      <c r="K1136" t="s">
        <v>154</v>
      </c>
      <c r="L1136" s="44">
        <v>46197.45208333333</v>
      </c>
      <c r="M1136" s="55" t="s">
        <v>39</v>
      </c>
      <c r="N1136" s="55" t="s">
        <v>39</v>
      </c>
      <c r="O1136" s="56">
        <v>46197.541666666664</v>
      </c>
      <c r="P1136" s="2">
        <v>46197.583333333336</v>
      </c>
      <c r="Q1136" s="58">
        <v>46197.84652777778</v>
      </c>
      <c r="S1136" s="21" t="s">
        <v>1776</v>
      </c>
      <c r="T1136" s="18" t="s">
        <v>164</v>
      </c>
      <c r="V1136" s="21" t="s">
        <v>4607</v>
      </c>
      <c r="Y1136" t="s">
        <v>158</v>
      </c>
      <c r="Z1136" t="s">
        <v>158</v>
      </c>
    </row>
    <row r="1137" spans="1:26" ht="15.75" customHeight="1">
      <c r="A1137" s="60">
        <f>ROW() - ROW(Table1[[#Headers],[s]])</f>
        <v>1136</v>
      </c>
      <c r="B1137" t="s">
        <v>4608</v>
      </c>
      <c r="C1137" s="163">
        <v>46174</v>
      </c>
      <c r="D1137" s="52" t="s">
        <v>4609</v>
      </c>
      <c r="E1137" t="e" vm="234">
        <v>#VALUE!</v>
      </c>
      <c r="F1137" t="e" vm="35">
        <v>#VALUE!</v>
      </c>
      <c r="G1137" s="5" t="s">
        <v>83</v>
      </c>
      <c r="H1137" t="s">
        <v>747</v>
      </c>
      <c r="I1137" t="s">
        <v>43</v>
      </c>
      <c r="J1137" s="18" t="s">
        <v>253</v>
      </c>
      <c r="K1137" t="s">
        <v>154</v>
      </c>
      <c r="L1137" s="44">
        <v>46197.536805555559</v>
      </c>
      <c r="M1137" s="371" t="s">
        <v>155</v>
      </c>
      <c r="N1137" s="400" t="s">
        <v>155</v>
      </c>
      <c r="O1137" s="56">
        <v>46197.666666666664</v>
      </c>
      <c r="P1137" s="2">
        <v>46197.708333333336</v>
      </c>
      <c r="Q1137" s="245">
        <v>46197.745833333334</v>
      </c>
      <c r="S1137" s="389" t="s">
        <v>4610</v>
      </c>
      <c r="T1137" s="18" t="s">
        <v>164</v>
      </c>
      <c r="V1137" s="389" t="s">
        <v>1032</v>
      </c>
      <c r="Y1137" t="s">
        <v>158</v>
      </c>
      <c r="Z1137" t="s">
        <v>70</v>
      </c>
    </row>
    <row r="1138" spans="1:26" ht="15.75" customHeight="1">
      <c r="A1138" s="60">
        <f>ROW() - ROW(Table1[[#Headers],[s]])</f>
        <v>1137</v>
      </c>
      <c r="B1138" t="s">
        <v>4611</v>
      </c>
      <c r="C1138" s="163">
        <v>46174</v>
      </c>
      <c r="D1138" s="52" t="s">
        <v>4612</v>
      </c>
      <c r="E1138" t="e" vm="187">
        <v>#VALUE!</v>
      </c>
      <c r="F1138" t="e" vm="16">
        <v>#VALUE!</v>
      </c>
      <c r="G1138" s="5" t="s">
        <v>83</v>
      </c>
      <c r="H1138" t="s">
        <v>245</v>
      </c>
      <c r="I1138" t="s">
        <v>43</v>
      </c>
      <c r="J1138" s="18" t="s">
        <v>287</v>
      </c>
      <c r="K1138" t="s">
        <v>154</v>
      </c>
      <c r="L1138" s="44">
        <v>46197.512499999997</v>
      </c>
      <c r="M1138" s="55" t="s">
        <v>4613</v>
      </c>
      <c r="N1138" s="55" t="s">
        <v>4613</v>
      </c>
      <c r="O1138" s="56">
        <v>46197.583333333336</v>
      </c>
      <c r="P1138" s="2">
        <v>46197.590277777781</v>
      </c>
      <c r="Q1138" s="58">
        <v>46197.614583333336</v>
      </c>
      <c r="S1138" s="391" t="s">
        <v>4614</v>
      </c>
      <c r="T1138" s="18" t="s">
        <v>164</v>
      </c>
      <c r="V1138" s="392" t="s">
        <v>4615</v>
      </c>
      <c r="Y1138" t="s">
        <v>158</v>
      </c>
      <c r="Z1138" t="s">
        <v>70</v>
      </c>
    </row>
    <row r="1139" spans="1:26" ht="15.75" customHeight="1">
      <c r="A1139" s="60">
        <f>ROW() - ROW(Table1[[#Headers],[s]])</f>
        <v>1138</v>
      </c>
      <c r="B1139" t="s">
        <v>4616</v>
      </c>
      <c r="C1139" s="163">
        <v>46174</v>
      </c>
      <c r="D1139" s="52" t="s">
        <v>4617</v>
      </c>
      <c r="E1139" t="e" vm="294">
        <v>#VALUE!</v>
      </c>
      <c r="F1139" t="e" vm="2">
        <v>#VALUE!</v>
      </c>
      <c r="G1139" s="5" t="s">
        <v>83</v>
      </c>
      <c r="H1139" t="s">
        <v>152</v>
      </c>
      <c r="I1139" t="s">
        <v>43</v>
      </c>
      <c r="J1139" s="18" t="s">
        <v>153</v>
      </c>
      <c r="K1139" t="s">
        <v>154</v>
      </c>
      <c r="L1139" s="44">
        <v>46197.54583333333</v>
      </c>
      <c r="M1139" s="18" t="s">
        <v>162</v>
      </c>
      <c r="N1139" s="18" t="s">
        <v>162</v>
      </c>
      <c r="O1139" s="56">
        <v>46197.625</v>
      </c>
      <c r="P1139" s="2">
        <v>46197.631944444445</v>
      </c>
      <c r="Q1139" s="58">
        <v>46197.815972222219</v>
      </c>
      <c r="S1139" s="391" t="s">
        <v>259</v>
      </c>
      <c r="T1139" s="18" t="s">
        <v>164</v>
      </c>
      <c r="V1139" s="21" t="s">
        <v>4618</v>
      </c>
      <c r="Y1139" t="s">
        <v>158</v>
      </c>
      <c r="Z1139" t="s">
        <v>158</v>
      </c>
    </row>
    <row r="1140" spans="1:26" ht="15" customHeight="1">
      <c r="A1140" s="60">
        <f>ROW() - ROW(Table1[[#Headers],[s]])</f>
        <v>1139</v>
      </c>
      <c r="B1140" t="s">
        <v>4619</v>
      </c>
      <c r="C1140" s="163">
        <v>46174</v>
      </c>
      <c r="D1140" s="52" t="s">
        <v>4620</v>
      </c>
      <c r="E1140" t="e" vm="90">
        <v>#VALUE!</v>
      </c>
      <c r="F1140" t="e" vm="2">
        <v>#VALUE!</v>
      </c>
      <c r="G1140" s="5" t="s">
        <v>83</v>
      </c>
      <c r="H1140" t="s">
        <v>152</v>
      </c>
      <c r="I1140" t="s">
        <v>43</v>
      </c>
      <c r="J1140" s="18" t="s">
        <v>153</v>
      </c>
      <c r="K1140" t="s">
        <v>154</v>
      </c>
      <c r="L1140" s="44">
        <v>46197.544444444444</v>
      </c>
      <c r="M1140" s="55" t="s">
        <v>72</v>
      </c>
      <c r="N1140" s="55" t="s">
        <v>72</v>
      </c>
      <c r="O1140" s="56">
        <v>46197.541666666664</v>
      </c>
      <c r="P1140" s="356">
        <v>46197.548611111109</v>
      </c>
      <c r="Q1140" s="58">
        <v>46197.654861111114</v>
      </c>
      <c r="S1140" s="21" t="s">
        <v>4621</v>
      </c>
      <c r="T1140" s="18" t="s">
        <v>164</v>
      </c>
      <c r="V1140" s="21" t="s">
        <v>4622</v>
      </c>
      <c r="Y1140" t="s">
        <v>158</v>
      </c>
      <c r="Z1140" t="s">
        <v>70</v>
      </c>
    </row>
    <row r="1141" spans="1:26" ht="15" hidden="1" customHeight="1">
      <c r="A1141" s="60">
        <f>ROW() - ROW(Table1[[#Headers],[s]])</f>
        <v>1140</v>
      </c>
      <c r="B1141" s="355" t="s">
        <v>4623</v>
      </c>
      <c r="C1141" s="23" t="s">
        <v>60</v>
      </c>
      <c r="D1141" s="52" t="s">
        <v>4624</v>
      </c>
      <c r="E1141" t="e" vm="56">
        <v>#VALUE!</v>
      </c>
      <c r="F1141" t="e" vm="35">
        <v>#VALUE!</v>
      </c>
      <c r="G1141" s="5" t="s">
        <v>174</v>
      </c>
      <c r="H1141" t="s">
        <v>747</v>
      </c>
      <c r="J1141" s="18" t="s">
        <v>253</v>
      </c>
      <c r="K1141" t="s">
        <v>154</v>
      </c>
      <c r="L1141" s="44">
        <v>46197.929861111108</v>
      </c>
      <c r="M1141" s="169" t="s">
        <v>1484</v>
      </c>
      <c r="N1141" s="169" t="s">
        <v>1484</v>
      </c>
      <c r="O1141" s="56">
        <v>46198.333333333336</v>
      </c>
      <c r="P1141" s="56">
        <v>46198.416666666664</v>
      </c>
      <c r="Q1141" s="56">
        <v>46198.654861111114</v>
      </c>
      <c r="S1141" s="21" t="s">
        <v>4625</v>
      </c>
      <c r="T1141" s="55"/>
      <c r="V1141" s="21" t="s">
        <v>4626</v>
      </c>
      <c r="Y1141" t="s">
        <v>70</v>
      </c>
      <c r="Z1141" t="s">
        <v>158</v>
      </c>
    </row>
    <row r="1142" spans="1:26" ht="15" customHeight="1">
      <c r="A1142" s="60">
        <f>ROW() - ROW(Table1[[#Headers],[s]])</f>
        <v>1141</v>
      </c>
      <c r="B1142" t="s">
        <v>4627</v>
      </c>
      <c r="C1142" s="181" t="s">
        <v>60</v>
      </c>
      <c r="D1142" s="52" t="s">
        <v>4628</v>
      </c>
      <c r="E1142" t="e" vm="206">
        <v>#VALUE!</v>
      </c>
      <c r="F1142" t="e" vm="10">
        <v>#VALUE!</v>
      </c>
      <c r="G1142" s="5" t="s">
        <v>83</v>
      </c>
      <c r="H1142" t="s">
        <v>152</v>
      </c>
      <c r="I1142" s="42" t="s">
        <v>4629</v>
      </c>
      <c r="J1142" s="18" t="s">
        <v>153</v>
      </c>
      <c r="K1142" s="42" t="s">
        <v>154</v>
      </c>
      <c r="L1142" s="44">
        <v>46197.707638888889</v>
      </c>
      <c r="M1142" s="18" t="s">
        <v>78</v>
      </c>
      <c r="N1142" s="55" t="s">
        <v>78</v>
      </c>
      <c r="O1142" s="56"/>
      <c r="Q1142" s="58">
        <v>46197.744444444441</v>
      </c>
      <c r="S1142" s="392" t="s">
        <v>4629</v>
      </c>
      <c r="T1142" s="18" t="s">
        <v>164</v>
      </c>
      <c r="V1142" s="392" t="s">
        <v>4629</v>
      </c>
      <c r="Y1142" t="s">
        <v>179</v>
      </c>
      <c r="Z1142" t="s">
        <v>179</v>
      </c>
    </row>
    <row r="1143" spans="1:26" ht="15" customHeight="1">
      <c r="A1143" s="60">
        <f>ROW() - ROW(Table1[[#Headers],[s]])</f>
        <v>1142</v>
      </c>
      <c r="B1143" t="s">
        <v>4630</v>
      </c>
      <c r="C1143" s="163">
        <v>46174</v>
      </c>
      <c r="D1143" s="52" t="s">
        <v>4631</v>
      </c>
      <c r="E1143" t="e" vm="83">
        <v>#VALUE!</v>
      </c>
      <c r="F1143" t="e" vm="37">
        <v>#VALUE!</v>
      </c>
      <c r="G1143" s="5" t="s">
        <v>83</v>
      </c>
      <c r="H1143" t="s">
        <v>152</v>
      </c>
      <c r="I1143" t="s">
        <v>43</v>
      </c>
      <c r="J1143" s="18" t="s">
        <v>153</v>
      </c>
      <c r="K1143" t="s">
        <v>154</v>
      </c>
      <c r="L1143" s="44">
        <v>46197.679861111108</v>
      </c>
      <c r="M1143" s="55" t="s">
        <v>317</v>
      </c>
      <c r="N1143" s="55" t="s">
        <v>317</v>
      </c>
      <c r="O1143" s="56">
        <v>46197.708333333336</v>
      </c>
      <c r="P1143" s="2">
        <v>46197.715277777781</v>
      </c>
      <c r="Q1143" s="58">
        <v>46197.801388888889</v>
      </c>
      <c r="S1143" s="21" t="s">
        <v>4632</v>
      </c>
      <c r="T1143" s="18" t="s">
        <v>164</v>
      </c>
      <c r="V1143" s="21" t="s">
        <v>4633</v>
      </c>
      <c r="Y1143" t="s">
        <v>158</v>
      </c>
      <c r="Z1143" t="s">
        <v>70</v>
      </c>
    </row>
    <row r="1144" spans="1:26" ht="15" hidden="1" customHeight="1">
      <c r="A1144" s="60">
        <f>ROW() - ROW(Table1[[#Headers],[s]])</f>
        <v>1143</v>
      </c>
      <c r="B1144" s="305" t="s">
        <v>4634</v>
      </c>
      <c r="C1144" s="163">
        <v>46174</v>
      </c>
      <c r="D1144" s="52" t="s">
        <v>4635</v>
      </c>
      <c r="E1144" t="e" vm="93">
        <v>#VALUE!</v>
      </c>
      <c r="F1144" t="e" vm="12">
        <v>#VALUE!</v>
      </c>
      <c r="G1144" s="5" t="s">
        <v>174</v>
      </c>
      <c r="H1144" t="s">
        <v>152</v>
      </c>
      <c r="J1144" s="18" t="s">
        <v>153</v>
      </c>
      <c r="K1144" t="s">
        <v>154</v>
      </c>
      <c r="L1144" s="44">
        <v>46198.398611111108</v>
      </c>
      <c r="M1144" s="55" t="s">
        <v>55</v>
      </c>
      <c r="N1144" s="55" t="s">
        <v>55</v>
      </c>
      <c r="O1144" s="44">
        <v>46198.458333333336</v>
      </c>
      <c r="P1144" s="44">
        <v>46198.479166666664</v>
      </c>
      <c r="Q1144" s="44">
        <v>46198.607638888891</v>
      </c>
      <c r="S1144" s="21" t="s">
        <v>473</v>
      </c>
      <c r="T1144" s="55" t="s">
        <v>516</v>
      </c>
      <c r="V1144" s="21" t="s">
        <v>1838</v>
      </c>
      <c r="Y1144" t="s">
        <v>158</v>
      </c>
      <c r="Z1144" t="s">
        <v>158</v>
      </c>
    </row>
    <row r="1145" spans="1:26" ht="15.75" hidden="1" customHeight="1">
      <c r="A1145" s="60">
        <f>ROW() - ROW(Table1[[#Headers],[s]])</f>
        <v>1144</v>
      </c>
      <c r="B1145" s="223" t="s">
        <v>4636</v>
      </c>
      <c r="C1145" s="163">
        <v>46174</v>
      </c>
      <c r="D1145" s="52" t="s">
        <v>4637</v>
      </c>
      <c r="E1145" t="e" vm="194">
        <v>#VALUE!</v>
      </c>
      <c r="F1145" t="e" vm="37">
        <v>#VALUE!</v>
      </c>
      <c r="G1145" s="5" t="s">
        <v>174</v>
      </c>
      <c r="H1145" t="s">
        <v>152</v>
      </c>
      <c r="J1145" s="18" t="s">
        <v>153</v>
      </c>
      <c r="K1145" t="s">
        <v>154</v>
      </c>
      <c r="L1145" s="44">
        <v>46198.417361111111</v>
      </c>
      <c r="M1145" s="55" t="s">
        <v>317</v>
      </c>
      <c r="N1145" s="55" t="s">
        <v>317</v>
      </c>
      <c r="O1145" s="44">
        <v>46198.458333333336</v>
      </c>
      <c r="P1145" s="44">
        <v>46198.479166666664</v>
      </c>
      <c r="Q1145" s="44">
        <v>46198.565972222219</v>
      </c>
      <c r="S1145" s="21" t="s">
        <v>4638</v>
      </c>
      <c r="T1145" s="55" t="s">
        <v>2765</v>
      </c>
      <c r="V1145" s="21" t="s">
        <v>4639</v>
      </c>
      <c r="Y1145" t="s">
        <v>158</v>
      </c>
      <c r="Z1145" t="s">
        <v>70</v>
      </c>
    </row>
    <row r="1146" spans="1:26" ht="15.75" hidden="1" customHeight="1">
      <c r="A1146" s="60">
        <f>ROW() - ROW(Table1[[#Headers],[s]])</f>
        <v>1145</v>
      </c>
      <c r="B1146" s="223" t="s">
        <v>4640</v>
      </c>
      <c r="C1146" s="181" t="s">
        <v>60</v>
      </c>
      <c r="D1146" s="52" t="s">
        <v>4641</v>
      </c>
      <c r="E1146" t="e" vm="194">
        <v>#VALUE!</v>
      </c>
      <c r="F1146" t="e" vm="37">
        <v>#VALUE!</v>
      </c>
      <c r="G1146" s="5" t="s">
        <v>174</v>
      </c>
      <c r="H1146" t="s">
        <v>152</v>
      </c>
      <c r="J1146" s="18" t="s">
        <v>153</v>
      </c>
      <c r="K1146" s="42" t="s">
        <v>154</v>
      </c>
      <c r="L1146" s="44">
        <v>46198.591666666667</v>
      </c>
      <c r="M1146" s="55" t="s">
        <v>317</v>
      </c>
      <c r="N1146" s="55" t="s">
        <v>317</v>
      </c>
      <c r="O1146" s="56"/>
      <c r="Q1146" s="44">
        <v>46198.565972222219</v>
      </c>
      <c r="S1146" s="21" t="s">
        <v>4642</v>
      </c>
      <c r="T1146" s="55"/>
      <c r="V1146" s="21" t="s">
        <v>4642</v>
      </c>
      <c r="Y1146" t="s">
        <v>179</v>
      </c>
      <c r="Z1146" t="s">
        <v>179</v>
      </c>
    </row>
    <row r="1147" spans="1:26" ht="15" hidden="1" customHeight="1">
      <c r="A1147" s="60">
        <f>ROW() - ROW(Table1[[#Headers],[s]])</f>
        <v>1146</v>
      </c>
      <c r="B1147" s="305" t="s">
        <v>4643</v>
      </c>
      <c r="C1147" s="163">
        <v>46174</v>
      </c>
      <c r="D1147" s="52" t="s">
        <v>4644</v>
      </c>
      <c r="E1147" t="e" vm="115">
        <v>#VALUE!</v>
      </c>
      <c r="F1147" t="e" vm="12">
        <v>#VALUE!</v>
      </c>
      <c r="G1147" s="5" t="s">
        <v>36</v>
      </c>
      <c r="H1147" t="s">
        <v>152</v>
      </c>
      <c r="I1147" s="5" t="s">
        <v>43</v>
      </c>
      <c r="J1147" s="18" t="s">
        <v>153</v>
      </c>
      <c r="K1147" t="s">
        <v>154</v>
      </c>
      <c r="L1147" s="44">
        <v>46198.460416666669</v>
      </c>
      <c r="M1147" s="169" t="s">
        <v>53</v>
      </c>
      <c r="N1147" s="169" t="s">
        <v>53</v>
      </c>
      <c r="O1147" s="56"/>
      <c r="Q1147" s="58">
        <v>46199.458333333336</v>
      </c>
      <c r="S1147" s="21" t="s">
        <v>4645</v>
      </c>
      <c r="T1147" s="55" t="s">
        <v>478</v>
      </c>
      <c r="V1147" s="21" t="s">
        <v>4646</v>
      </c>
      <c r="Y1147" t="s">
        <v>203</v>
      </c>
      <c r="Z1147" t="s">
        <v>70</v>
      </c>
    </row>
    <row r="1148" spans="1:26" ht="15.75" hidden="1" customHeight="1">
      <c r="A1148" s="60">
        <f>ROW() - ROW(Table1[[#Headers],[s]])</f>
        <v>1147</v>
      </c>
      <c r="B1148" s="223" t="s">
        <v>4647</v>
      </c>
      <c r="C1148" s="163">
        <v>46174</v>
      </c>
      <c r="D1148" s="52" t="s">
        <v>4648</v>
      </c>
      <c r="E1148" t="e" vm="252">
        <v>#VALUE!</v>
      </c>
      <c r="F1148" t="e" vm="12">
        <v>#VALUE!</v>
      </c>
      <c r="G1148" s="5" t="s">
        <v>174</v>
      </c>
      <c r="H1148" t="s">
        <v>152</v>
      </c>
      <c r="J1148" s="18" t="s">
        <v>153</v>
      </c>
      <c r="K1148" t="s">
        <v>154</v>
      </c>
      <c r="L1148" s="44">
        <v>46198.439583333333</v>
      </c>
      <c r="M1148" s="55" t="s">
        <v>55</v>
      </c>
      <c r="N1148" s="55" t="s">
        <v>55</v>
      </c>
      <c r="O1148" s="44">
        <v>46198.520833333336</v>
      </c>
      <c r="P1148" s="44">
        <v>46198.565972222219</v>
      </c>
      <c r="Q1148" s="44">
        <v>46198.652777777781</v>
      </c>
      <c r="S1148" s="21" t="s">
        <v>4649</v>
      </c>
      <c r="T1148" s="55" t="s">
        <v>653</v>
      </c>
      <c r="V1148" s="21" t="s">
        <v>4650</v>
      </c>
      <c r="Y1148" t="s">
        <v>158</v>
      </c>
      <c r="Z1148" t="s">
        <v>70</v>
      </c>
    </row>
    <row r="1149" spans="1:26" ht="15.75" hidden="1" customHeight="1">
      <c r="A1149" s="60">
        <f>ROW() - ROW(Table1[[#Headers],[s]])</f>
        <v>1148</v>
      </c>
      <c r="B1149" s="223" t="s">
        <v>4651</v>
      </c>
      <c r="C1149" s="163">
        <v>46174</v>
      </c>
      <c r="D1149" s="52" t="s">
        <v>4652</v>
      </c>
      <c r="E1149" t="s">
        <v>898</v>
      </c>
      <c r="F1149" t="e" vm="25">
        <v>#VALUE!</v>
      </c>
      <c r="G1149" s="5" t="s">
        <v>174</v>
      </c>
      <c r="H1149" t="s">
        <v>152</v>
      </c>
      <c r="J1149" s="18" t="s">
        <v>153</v>
      </c>
      <c r="K1149" t="s">
        <v>154</v>
      </c>
      <c r="L1149" s="44">
        <v>46198.611111111109</v>
      </c>
      <c r="M1149" s="55" t="s">
        <v>72</v>
      </c>
      <c r="N1149" s="55" t="s">
        <v>72</v>
      </c>
      <c r="O1149" s="56">
        <v>46199.333333333336</v>
      </c>
      <c r="P1149" s="56">
        <v>46199.354166666664</v>
      </c>
      <c r="Q1149" s="56">
        <v>46199.375</v>
      </c>
      <c r="S1149" s="21" t="s">
        <v>3896</v>
      </c>
      <c r="T1149" s="55" t="s">
        <v>2765</v>
      </c>
      <c r="V1149" s="21" t="s">
        <v>4639</v>
      </c>
      <c r="Y1149" t="s">
        <v>158</v>
      </c>
      <c r="Z1149" t="s">
        <v>70</v>
      </c>
    </row>
    <row r="1150" spans="1:26" ht="15" hidden="1" customHeight="1">
      <c r="A1150" s="60">
        <f>ROW() - ROW(Table1[[#Headers],[s]])</f>
        <v>1149</v>
      </c>
      <c r="B1150" s="305" t="s">
        <v>4653</v>
      </c>
      <c r="C1150" s="163">
        <v>46174</v>
      </c>
      <c r="D1150" s="52" t="s">
        <v>4654</v>
      </c>
      <c r="E1150" t="s">
        <v>4655</v>
      </c>
      <c r="F1150" t="e" vm="40">
        <v>#VALUE!</v>
      </c>
      <c r="G1150" s="5" t="s">
        <v>174</v>
      </c>
      <c r="H1150" t="s">
        <v>152</v>
      </c>
      <c r="J1150" s="18" t="s">
        <v>153</v>
      </c>
      <c r="K1150" t="s">
        <v>154</v>
      </c>
      <c r="L1150" s="44">
        <v>46198.588888888888</v>
      </c>
      <c r="M1150" s="55" t="s">
        <v>4656</v>
      </c>
      <c r="N1150" s="55" t="s">
        <v>4656</v>
      </c>
      <c r="O1150" s="44">
        <v>46198.6875</v>
      </c>
      <c r="P1150" s="44">
        <v>46198.715277777781</v>
      </c>
      <c r="Q1150" s="44">
        <v>46198.798611111109</v>
      </c>
      <c r="S1150" s="21" t="s">
        <v>4657</v>
      </c>
      <c r="T1150" s="55" t="s">
        <v>516</v>
      </c>
      <c r="V1150" s="21" t="s">
        <v>1619</v>
      </c>
      <c r="Y1150" t="s">
        <v>158</v>
      </c>
      <c r="Z1150" t="s">
        <v>158</v>
      </c>
    </row>
    <row r="1151" spans="1:26" ht="15" hidden="1" customHeight="1">
      <c r="A1151" s="60">
        <f>ROW() - ROW(Table1[[#Headers],[s]])</f>
        <v>1150</v>
      </c>
      <c r="B1151" t="s">
        <v>4658</v>
      </c>
      <c r="C1151" s="163">
        <v>46174</v>
      </c>
      <c r="D1151" s="52" t="s">
        <v>4659</v>
      </c>
      <c r="E1151" t="e" vm="229">
        <v>#VALUE!</v>
      </c>
      <c r="F1151" t="e" vm="2">
        <v>#VALUE!</v>
      </c>
      <c r="G1151" s="5" t="s">
        <v>174</v>
      </c>
      <c r="H1151" t="s">
        <v>747</v>
      </c>
      <c r="J1151" s="18" t="s">
        <v>253</v>
      </c>
      <c r="K1151" t="s">
        <v>154</v>
      </c>
      <c r="L1151" s="44">
        <v>46198.604166666664</v>
      </c>
      <c r="M1151" s="55" t="s">
        <v>162</v>
      </c>
      <c r="N1151" s="55" t="s">
        <v>162</v>
      </c>
      <c r="O1151" s="44">
        <v>46198.645833333336</v>
      </c>
      <c r="P1151" s="44">
        <v>46198.6875</v>
      </c>
      <c r="Q1151" s="44">
        <v>46198.798611111109</v>
      </c>
      <c r="S1151" s="21" t="s">
        <v>4660</v>
      </c>
      <c r="T1151" s="55" t="s">
        <v>478</v>
      </c>
      <c r="V1151" s="53" t="s">
        <v>4661</v>
      </c>
      <c r="W1151" s="21"/>
      <c r="Y1151" t="s">
        <v>158</v>
      </c>
      <c r="Z1151" t="s">
        <v>158</v>
      </c>
    </row>
    <row r="1152" spans="1:26" ht="15" hidden="1" customHeight="1">
      <c r="A1152" s="60">
        <f>ROW() - ROW(Table1[[#Headers],[s]])</f>
        <v>1151</v>
      </c>
      <c r="B1152" t="s">
        <v>4662</v>
      </c>
      <c r="C1152" s="163">
        <v>46174</v>
      </c>
      <c r="D1152" s="52" t="s">
        <v>4663</v>
      </c>
      <c r="E1152" s="19" t="e" vm="108">
        <v>#VALUE!</v>
      </c>
      <c r="F1152" t="e" vm="22">
        <v>#VALUE!</v>
      </c>
      <c r="G1152" s="5" t="s">
        <v>174</v>
      </c>
      <c r="H1152" t="s">
        <v>747</v>
      </c>
      <c r="I1152" s="5"/>
      <c r="J1152" s="18" t="s">
        <v>253</v>
      </c>
      <c r="K1152" s="169" t="s">
        <v>4664</v>
      </c>
      <c r="L1152" s="44">
        <v>46198.612500000003</v>
      </c>
      <c r="M1152" s="169" t="s">
        <v>72</v>
      </c>
      <c r="N1152" s="169" t="s">
        <v>72</v>
      </c>
      <c r="O1152" s="44">
        <v>46198.694444444445</v>
      </c>
      <c r="P1152" s="44">
        <v>46198.770833333336</v>
      </c>
      <c r="Q1152" s="44">
        <v>46199.083333333336</v>
      </c>
      <c r="R1152" s="22"/>
      <c r="S1152" s="21" t="s">
        <v>4665</v>
      </c>
      <c r="T1152" s="55"/>
      <c r="U1152" s="18"/>
      <c r="V1152" s="53" t="s">
        <v>2403</v>
      </c>
      <c r="W1152" s="21"/>
      <c r="Y1152" t="s">
        <v>70</v>
      </c>
      <c r="Z1152" t="s">
        <v>158</v>
      </c>
    </row>
    <row r="1153" spans="1:26" ht="15" hidden="1" customHeight="1">
      <c r="A1153" s="60">
        <f>ROW() - ROW(Table1[[#Headers],[s]])</f>
        <v>1152</v>
      </c>
      <c r="B1153" s="305" t="s">
        <v>4666</v>
      </c>
      <c r="C1153" s="181" t="s">
        <v>60</v>
      </c>
      <c r="D1153" s="52" t="s">
        <v>4667</v>
      </c>
      <c r="E1153" s="19" t="e" vm="115">
        <v>#VALUE!</v>
      </c>
      <c r="F1153" t="e" vm="12">
        <v>#VALUE!</v>
      </c>
      <c r="G1153" s="5" t="s">
        <v>174</v>
      </c>
      <c r="H1153" t="s">
        <v>152</v>
      </c>
      <c r="I1153" s="5"/>
      <c r="J1153" s="18" t="s">
        <v>153</v>
      </c>
      <c r="K1153" s="42" t="s">
        <v>154</v>
      </c>
      <c r="L1153" s="44">
        <v>46198.886805555558</v>
      </c>
      <c r="M1153" s="169" t="s">
        <v>53</v>
      </c>
      <c r="N1153" s="169" t="s">
        <v>53</v>
      </c>
      <c r="O1153" s="56"/>
      <c r="P1153" s="5"/>
      <c r="Q1153" s="44">
        <v>46198.886805555558</v>
      </c>
      <c r="R1153" s="22"/>
      <c r="S1153" s="392" t="s">
        <v>4668</v>
      </c>
      <c r="T1153" s="55"/>
      <c r="U1153" s="18"/>
      <c r="V1153" s="392" t="s">
        <v>4668</v>
      </c>
      <c r="W1153" s="21"/>
      <c r="Y1153" t="s">
        <v>179</v>
      </c>
      <c r="Z1153" t="s">
        <v>179</v>
      </c>
    </row>
    <row r="1154" spans="1:26" ht="15" hidden="1" customHeight="1">
      <c r="A1154" s="60">
        <f>ROW() - ROW(Table1[[#Headers],[s]])</f>
        <v>1153</v>
      </c>
      <c r="B1154" s="305" t="s">
        <v>4669</v>
      </c>
      <c r="C1154" s="163">
        <v>46174</v>
      </c>
      <c r="D1154" s="52" t="s">
        <v>4670</v>
      </c>
      <c r="E1154" s="19" t="e" vm="78">
        <v>#VALUE!</v>
      </c>
      <c r="F1154" t="e" vm="40">
        <v>#VALUE!</v>
      </c>
      <c r="G1154" s="43" t="s">
        <v>36</v>
      </c>
      <c r="H1154" t="s">
        <v>747</v>
      </c>
      <c r="I1154" s="5" t="s">
        <v>43</v>
      </c>
      <c r="J1154" s="18" t="s">
        <v>253</v>
      </c>
      <c r="K1154" s="169" t="s">
        <v>154</v>
      </c>
      <c r="L1154" s="44">
        <v>46198.42083333333</v>
      </c>
      <c r="M1154" s="169" t="s">
        <v>4671</v>
      </c>
      <c r="N1154" s="169" t="s">
        <v>4671</v>
      </c>
      <c r="O1154" s="56"/>
      <c r="P1154" s="5"/>
      <c r="Q1154" s="58">
        <v>46198.688194444447</v>
      </c>
      <c r="R1154" s="22"/>
      <c r="S1154" s="392" t="s">
        <v>4672</v>
      </c>
      <c r="T1154" s="55" t="s">
        <v>478</v>
      </c>
      <c r="U1154" s="18"/>
      <c r="V1154" s="359" t="s">
        <v>2003</v>
      </c>
      <c r="W1154" s="21"/>
      <c r="Y1154" t="s">
        <v>158</v>
      </c>
      <c r="Z1154" t="s">
        <v>70</v>
      </c>
    </row>
    <row r="1155" spans="1:26" ht="15.75" hidden="1" customHeight="1">
      <c r="A1155" s="60">
        <f>ROW() - ROW(Table1[[#Headers],[s]])</f>
        <v>1154</v>
      </c>
      <c r="B1155" s="223" t="s">
        <v>4673</v>
      </c>
      <c r="C1155" s="163">
        <v>46174</v>
      </c>
      <c r="D1155" s="52" t="s">
        <v>4674</v>
      </c>
      <c r="E1155" s="19" t="e" vm="91">
        <v>#VALUE!</v>
      </c>
      <c r="F1155" t="e" vm="25">
        <v>#VALUE!</v>
      </c>
      <c r="G1155" s="5" t="s">
        <v>174</v>
      </c>
      <c r="H1155" t="s">
        <v>152</v>
      </c>
      <c r="I1155" s="5"/>
      <c r="J1155" s="18" t="s">
        <v>153</v>
      </c>
      <c r="K1155" t="s">
        <v>154</v>
      </c>
      <c r="L1155" s="44">
        <v>46199.395138888889</v>
      </c>
      <c r="M1155" s="169" t="s">
        <v>72</v>
      </c>
      <c r="N1155" s="169" t="s">
        <v>72</v>
      </c>
      <c r="O1155" s="44">
        <v>46199.4375</v>
      </c>
      <c r="P1155" s="44">
        <v>46199.458333333336</v>
      </c>
      <c r="Q1155" s="44">
        <v>46199.479166666664</v>
      </c>
      <c r="R1155" s="22"/>
      <c r="S1155" s="21" t="s">
        <v>4675</v>
      </c>
      <c r="T1155" s="55" t="s">
        <v>2765</v>
      </c>
      <c r="U1155" s="18"/>
      <c r="V1155" s="53" t="s">
        <v>4639</v>
      </c>
      <c r="W1155" s="21"/>
      <c r="Y1155" t="s">
        <v>158</v>
      </c>
      <c r="Z1155" t="s">
        <v>70</v>
      </c>
    </row>
    <row r="1156" spans="1:26" ht="15.75" hidden="1" customHeight="1">
      <c r="A1156" s="60">
        <f>ROW() - ROW(Table1[[#Headers],[s]])</f>
        <v>1155</v>
      </c>
      <c r="B1156" s="223" t="s">
        <v>4676</v>
      </c>
      <c r="C1156" s="163">
        <v>46174</v>
      </c>
      <c r="D1156" s="52" t="s">
        <v>4677</v>
      </c>
      <c r="E1156" s="19" t="e" vm="295">
        <v>#VALUE!</v>
      </c>
      <c r="F1156" t="e" vm="25">
        <v>#VALUE!</v>
      </c>
      <c r="G1156" s="5" t="s">
        <v>174</v>
      </c>
      <c r="H1156" t="s">
        <v>152</v>
      </c>
      <c r="I1156" s="5"/>
      <c r="J1156" s="18" t="s">
        <v>153</v>
      </c>
      <c r="K1156" t="s">
        <v>154</v>
      </c>
      <c r="L1156" s="44">
        <v>46199.404166666667</v>
      </c>
      <c r="M1156" s="169" t="s">
        <v>72</v>
      </c>
      <c r="N1156" s="169" t="s">
        <v>72</v>
      </c>
      <c r="O1156" s="44">
        <v>46199.4375</v>
      </c>
      <c r="P1156" s="44">
        <v>46199.458333333336</v>
      </c>
      <c r="Q1156" s="44">
        <v>46199.520833333336</v>
      </c>
      <c r="R1156" s="22"/>
      <c r="S1156" s="21" t="s">
        <v>4678</v>
      </c>
      <c r="T1156" s="55" t="s">
        <v>653</v>
      </c>
      <c r="U1156" s="18"/>
      <c r="V1156" s="53" t="s">
        <v>1461</v>
      </c>
      <c r="W1156" s="21"/>
      <c r="Y1156" t="s">
        <v>158</v>
      </c>
      <c r="Z1156" t="s">
        <v>70</v>
      </c>
    </row>
    <row r="1157" spans="1:26" ht="15.75" hidden="1" customHeight="1">
      <c r="A1157" s="60">
        <f>ROW() - ROW(Table1[[#Headers],[s]])</f>
        <v>1156</v>
      </c>
      <c r="B1157" s="223" t="s">
        <v>4679</v>
      </c>
      <c r="C1157" s="163">
        <v>46174</v>
      </c>
      <c r="D1157" s="52" t="s">
        <v>4680</v>
      </c>
      <c r="E1157" s="19" t="e" vm="82">
        <v>#VALUE!</v>
      </c>
      <c r="F1157" t="e" vm="5">
        <v>#VALUE!</v>
      </c>
      <c r="G1157" s="5" t="s">
        <v>174</v>
      </c>
      <c r="H1157" t="s">
        <v>152</v>
      </c>
      <c r="I1157" s="5"/>
      <c r="J1157" s="18" t="s">
        <v>153</v>
      </c>
      <c r="K1157" t="s">
        <v>154</v>
      </c>
      <c r="L1157" s="44">
        <v>46199.425694444442</v>
      </c>
      <c r="M1157" s="169" t="s">
        <v>55</v>
      </c>
      <c r="N1157" s="169" t="s">
        <v>55</v>
      </c>
      <c r="O1157" s="44">
        <v>46199.425694444442</v>
      </c>
      <c r="P1157" s="44">
        <v>46199.425694444442</v>
      </c>
      <c r="Q1157" s="44">
        <v>46199.425694444442</v>
      </c>
      <c r="R1157" s="22"/>
      <c r="S1157" s="21" t="s">
        <v>4681</v>
      </c>
      <c r="T1157" s="55" t="s">
        <v>478</v>
      </c>
      <c r="U1157" s="18"/>
      <c r="V1157" s="53" t="s">
        <v>404</v>
      </c>
      <c r="W1157" s="21"/>
      <c r="Y1157" t="s">
        <v>158</v>
      </c>
      <c r="Z1157" t="s">
        <v>158</v>
      </c>
    </row>
    <row r="1158" spans="1:26" ht="15.75" hidden="1" customHeight="1">
      <c r="A1158" s="60">
        <f>ROW() - ROW(Table1[[#Headers],[s]])</f>
        <v>1157</v>
      </c>
      <c r="B1158" s="223" t="s">
        <v>3921</v>
      </c>
      <c r="C1158" s="163">
        <v>46174</v>
      </c>
      <c r="D1158" s="52" t="s">
        <v>4682</v>
      </c>
      <c r="E1158" s="19" t="e" vm="246">
        <v>#VALUE!</v>
      </c>
      <c r="F1158" t="e" vm="12">
        <v>#VALUE!</v>
      </c>
      <c r="G1158" s="5" t="s">
        <v>174</v>
      </c>
      <c r="H1158" t="s">
        <v>152</v>
      </c>
      <c r="I1158" s="5"/>
      <c r="J1158" s="18" t="s">
        <v>153</v>
      </c>
      <c r="K1158" t="s">
        <v>154</v>
      </c>
      <c r="L1158" s="44">
        <v>46199.649305555555</v>
      </c>
      <c r="M1158" s="169" t="s">
        <v>53</v>
      </c>
      <c r="N1158" s="169" t="s">
        <v>53</v>
      </c>
      <c r="O1158" s="56">
        <v>46200.333333333336</v>
      </c>
      <c r="P1158" s="56">
        <v>46200.354166666664</v>
      </c>
      <c r="Q1158" s="56">
        <v>46200.375</v>
      </c>
      <c r="R1158" s="22"/>
      <c r="S1158" s="21" t="s">
        <v>473</v>
      </c>
      <c r="T1158" s="55" t="s">
        <v>516</v>
      </c>
      <c r="U1158" s="18"/>
      <c r="V1158" s="53" t="s">
        <v>3744</v>
      </c>
      <c r="W1158" s="21"/>
      <c r="Y1158" t="s">
        <v>158</v>
      </c>
      <c r="Z1158" t="s">
        <v>158</v>
      </c>
    </row>
    <row r="1159" spans="1:26" ht="15" hidden="1" customHeight="1">
      <c r="A1159" s="60">
        <f>ROW() - ROW(Table1[[#Headers],[s]])</f>
        <v>1158</v>
      </c>
      <c r="B1159" t="s">
        <v>4683</v>
      </c>
      <c r="C1159" s="163">
        <v>46174</v>
      </c>
      <c r="D1159" s="52" t="s">
        <v>4684</v>
      </c>
      <c r="E1159" s="19" t="e" vm="221">
        <v>#VALUE!</v>
      </c>
      <c r="F1159" t="e" vm="35">
        <v>#VALUE!</v>
      </c>
      <c r="G1159" s="5" t="s">
        <v>174</v>
      </c>
      <c r="H1159" t="s">
        <v>747</v>
      </c>
      <c r="I1159" s="5"/>
      <c r="J1159" s="18" t="s">
        <v>253</v>
      </c>
      <c r="K1159" t="s">
        <v>154</v>
      </c>
      <c r="L1159" s="44">
        <v>46199.671527777777</v>
      </c>
      <c r="M1159" s="169" t="s">
        <v>431</v>
      </c>
      <c r="N1159" s="169" t="s">
        <v>431</v>
      </c>
      <c r="O1159" s="56">
        <v>46200.333333333336</v>
      </c>
      <c r="P1159" s="56">
        <v>46200.354166666664</v>
      </c>
      <c r="Q1159" s="56">
        <v>46200.695833333331</v>
      </c>
      <c r="R1159" s="22"/>
      <c r="S1159" s="21" t="s">
        <v>2902</v>
      </c>
      <c r="T1159" s="55" t="s">
        <v>4685</v>
      </c>
      <c r="U1159" s="18"/>
      <c r="V1159" s="53" t="s">
        <v>3744</v>
      </c>
      <c r="W1159" s="21"/>
      <c r="Y1159" t="s">
        <v>158</v>
      </c>
      <c r="Z1159" t="s">
        <v>67</v>
      </c>
    </row>
    <row r="1160" spans="1:26" ht="15.75" hidden="1" customHeight="1">
      <c r="A1160" s="60">
        <f>ROW() - ROW(Table1[[#Headers],[s]])</f>
        <v>1159</v>
      </c>
      <c r="B1160" s="223" t="s">
        <v>4686</v>
      </c>
      <c r="C1160" s="163">
        <v>46174</v>
      </c>
      <c r="D1160" s="52" t="s">
        <v>4687</v>
      </c>
      <c r="E1160" s="19" t="e" vm="201">
        <v>#VALUE!</v>
      </c>
      <c r="F1160" t="e" vm="16">
        <v>#VALUE!</v>
      </c>
      <c r="G1160" s="5" t="s">
        <v>174</v>
      </c>
      <c r="H1160" t="s">
        <v>152</v>
      </c>
      <c r="I1160" s="5"/>
      <c r="J1160" s="18" t="s">
        <v>153</v>
      </c>
      <c r="K1160" t="s">
        <v>154</v>
      </c>
      <c r="L1160" s="44">
        <v>46199.682638888888</v>
      </c>
      <c r="M1160" s="169" t="s">
        <v>58</v>
      </c>
      <c r="N1160" s="169" t="s">
        <v>58</v>
      </c>
      <c r="O1160" s="56">
        <v>46200.333333333336</v>
      </c>
      <c r="P1160" s="56">
        <v>46200.354166666664</v>
      </c>
      <c r="Q1160" s="56">
        <v>46200.375</v>
      </c>
      <c r="R1160" s="22"/>
      <c r="S1160" s="21" t="s">
        <v>4688</v>
      </c>
      <c r="T1160" s="55" t="s">
        <v>4689</v>
      </c>
      <c r="U1160" s="18"/>
      <c r="V1160" s="53" t="s">
        <v>4690</v>
      </c>
      <c r="W1160" s="21"/>
      <c r="Y1160" t="s">
        <v>158</v>
      </c>
      <c r="Z1160" t="s">
        <v>70</v>
      </c>
    </row>
    <row r="1161" spans="1:26" ht="15.75" hidden="1" customHeight="1">
      <c r="A1161" s="60">
        <f>ROW() - ROW(Table1[[#Headers],[s]])</f>
        <v>1160</v>
      </c>
      <c r="B1161" s="223" t="s">
        <v>4691</v>
      </c>
      <c r="C1161" s="163">
        <v>46174</v>
      </c>
      <c r="D1161" s="52" t="s">
        <v>4692</v>
      </c>
      <c r="E1161" t="e" vm="24">
        <v>#VALUE!</v>
      </c>
      <c r="F1161" t="e" vm="25">
        <v>#VALUE!</v>
      </c>
      <c r="G1161" s="5" t="s">
        <v>174</v>
      </c>
      <c r="H1161" t="s">
        <v>152</v>
      </c>
      <c r="J1161" s="18" t="s">
        <v>153</v>
      </c>
      <c r="K1161" t="s">
        <v>154</v>
      </c>
      <c r="L1161" s="44">
        <v>46199.692361111112</v>
      </c>
      <c r="M1161" s="169" t="s">
        <v>53</v>
      </c>
      <c r="N1161" s="169" t="s">
        <v>53</v>
      </c>
      <c r="O1161" s="44">
        <v>46199.770833333336</v>
      </c>
      <c r="P1161" s="44">
        <v>46199.791666666664</v>
      </c>
      <c r="Q1161" s="44">
        <v>46199.822916666664</v>
      </c>
      <c r="S1161" s="21" t="s">
        <v>4693</v>
      </c>
      <c r="T1161" s="55" t="s">
        <v>478</v>
      </c>
      <c r="V1161" s="53" t="s">
        <v>4694</v>
      </c>
      <c r="Y1161" t="s">
        <v>158</v>
      </c>
      <c r="Z1161" t="s">
        <v>70</v>
      </c>
    </row>
    <row r="1162" spans="1:26" ht="15.75" hidden="1" customHeight="1">
      <c r="A1162" s="60">
        <f>ROW() - ROW(Table1[[#Headers],[s]])</f>
        <v>1161</v>
      </c>
      <c r="B1162" s="223" t="s">
        <v>4695</v>
      </c>
      <c r="C1162" s="163">
        <v>46174</v>
      </c>
      <c r="D1162" s="52" t="s">
        <v>4696</v>
      </c>
      <c r="E1162" t="e" vm="62">
        <v>#VALUE!</v>
      </c>
      <c r="F1162" t="e" vm="26">
        <v>#VALUE!</v>
      </c>
      <c r="G1162" s="5" t="s">
        <v>174</v>
      </c>
      <c r="H1162" t="s">
        <v>152</v>
      </c>
      <c r="J1162" s="18" t="s">
        <v>153</v>
      </c>
      <c r="K1162" t="s">
        <v>154</v>
      </c>
      <c r="L1162" s="44">
        <v>46199.706944444442</v>
      </c>
      <c r="M1162" s="55" t="s">
        <v>1023</v>
      </c>
      <c r="N1162" s="55" t="s">
        <v>1023</v>
      </c>
      <c r="O1162" s="44">
        <v>46199.75</v>
      </c>
      <c r="P1162" s="44">
        <v>46199.770833333336</v>
      </c>
      <c r="Q1162" s="44">
        <v>46199.798611111109</v>
      </c>
      <c r="S1162" s="21" t="s">
        <v>4697</v>
      </c>
      <c r="T1162" s="55" t="s">
        <v>2765</v>
      </c>
      <c r="V1162" s="53" t="s">
        <v>3012</v>
      </c>
      <c r="Y1162" t="s">
        <v>158</v>
      </c>
      <c r="Z1162" t="s">
        <v>70</v>
      </c>
    </row>
    <row r="1163" spans="1:26" ht="15.75" hidden="1" customHeight="1">
      <c r="A1163" s="60">
        <f>ROW() - ROW(Table1[[#Headers],[s]])</f>
        <v>1162</v>
      </c>
      <c r="B1163" s="223" t="s">
        <v>4698</v>
      </c>
      <c r="C1163" s="163">
        <v>46174</v>
      </c>
      <c r="D1163" s="52" t="s">
        <v>4699</v>
      </c>
      <c r="E1163" t="e" vm="205">
        <v>#VALUE!</v>
      </c>
      <c r="F1163" t="e" vm="10">
        <v>#VALUE!</v>
      </c>
      <c r="G1163" s="5" t="s">
        <v>174</v>
      </c>
      <c r="H1163" t="s">
        <v>152</v>
      </c>
      <c r="J1163" s="18" t="s">
        <v>153</v>
      </c>
      <c r="K1163" t="s">
        <v>154</v>
      </c>
      <c r="L1163" s="44">
        <v>46199.707638888889</v>
      </c>
      <c r="M1163" s="18" t="s">
        <v>78</v>
      </c>
      <c r="N1163" s="55" t="s">
        <v>78</v>
      </c>
      <c r="O1163" s="44">
        <v>46199.75</v>
      </c>
      <c r="P1163" s="44">
        <v>46199.770833333336</v>
      </c>
      <c r="Q1163" s="44">
        <v>46199.8125</v>
      </c>
      <c r="S1163" s="21" t="s">
        <v>4700</v>
      </c>
      <c r="T1163" s="55" t="s">
        <v>4701</v>
      </c>
      <c r="V1163" s="53" t="s">
        <v>4702</v>
      </c>
      <c r="Y1163" t="s">
        <v>158</v>
      </c>
      <c r="Z1163" t="s">
        <v>70</v>
      </c>
    </row>
    <row r="1164" spans="1:26" ht="15" hidden="1" customHeight="1">
      <c r="A1164" s="60">
        <f>ROW() - ROW(Table1[[#Headers],[s]])</f>
        <v>1163</v>
      </c>
      <c r="B1164" t="s">
        <v>4703</v>
      </c>
      <c r="C1164" s="163">
        <v>46174</v>
      </c>
      <c r="D1164" s="52" t="s">
        <v>4704</v>
      </c>
      <c r="E1164" t="e" vm="245">
        <v>#VALUE!</v>
      </c>
      <c r="F1164" t="e" vm="25">
        <v>#VALUE!</v>
      </c>
      <c r="G1164" s="5" t="s">
        <v>174</v>
      </c>
      <c r="H1164" t="s">
        <v>747</v>
      </c>
      <c r="J1164" s="18" t="s">
        <v>253</v>
      </c>
      <c r="K1164" t="s">
        <v>4705</v>
      </c>
      <c r="L1164" s="44">
        <v>46199.715277777781</v>
      </c>
      <c r="M1164" s="169" t="s">
        <v>72</v>
      </c>
      <c r="N1164" s="169" t="s">
        <v>72</v>
      </c>
      <c r="O1164" s="44">
        <v>46199.739583333336</v>
      </c>
      <c r="P1164" s="44">
        <v>46199.75</v>
      </c>
      <c r="Q1164" s="44">
        <v>46199.77847222222</v>
      </c>
      <c r="S1164" s="21" t="s">
        <v>4706</v>
      </c>
      <c r="T1164" s="55" t="s">
        <v>653</v>
      </c>
      <c r="V1164" s="53" t="s">
        <v>4707</v>
      </c>
      <c r="Y1164" t="s">
        <v>158</v>
      </c>
      <c r="Z1164" t="s">
        <v>158</v>
      </c>
    </row>
    <row r="1165" spans="1:26" ht="15" hidden="1" customHeight="1">
      <c r="A1165" s="60">
        <f>ROW() - ROW(Table1[[#Headers],[s]])</f>
        <v>1164</v>
      </c>
      <c r="B1165" t="s">
        <v>4708</v>
      </c>
      <c r="C1165" s="163">
        <v>46174</v>
      </c>
      <c r="D1165" s="52" t="s">
        <v>4709</v>
      </c>
      <c r="E1165" t="e" vm="60">
        <v>#VALUE!</v>
      </c>
      <c r="F1165" t="e" vm="26">
        <v>#VALUE!</v>
      </c>
      <c r="G1165" s="5" t="s">
        <v>174</v>
      </c>
      <c r="H1165" t="s">
        <v>747</v>
      </c>
      <c r="J1165" s="18" t="s">
        <v>253</v>
      </c>
      <c r="K1165" t="s">
        <v>154</v>
      </c>
      <c r="L1165" s="44">
        <v>46199.811805555553</v>
      </c>
      <c r="M1165" s="55" t="s">
        <v>1023</v>
      </c>
      <c r="N1165" s="55" t="s">
        <v>1023</v>
      </c>
      <c r="O1165" s="44">
        <v>46199.853472222225</v>
      </c>
      <c r="P1165" s="44">
        <v>46199.875</v>
      </c>
      <c r="Q1165" s="58">
        <v>46200.015277777777</v>
      </c>
      <c r="S1165" s="21" t="s">
        <v>4710</v>
      </c>
      <c r="T1165" s="55" t="s">
        <v>478</v>
      </c>
      <c r="V1165" s="53" t="s">
        <v>3744</v>
      </c>
      <c r="Y1165" t="s">
        <v>158</v>
      </c>
      <c r="Z1165" t="s">
        <v>158</v>
      </c>
    </row>
    <row r="1166" spans="1:26" ht="15.75" hidden="1" customHeight="1">
      <c r="A1166" s="60">
        <f>ROW() - ROW(Table1[[#Headers],[s]])</f>
        <v>1165</v>
      </c>
      <c r="B1166" s="223" t="s">
        <v>4711</v>
      </c>
      <c r="C1166" s="163">
        <v>46174</v>
      </c>
      <c r="D1166" s="52" t="s">
        <v>4712</v>
      </c>
      <c r="E1166" t="s">
        <v>4713</v>
      </c>
      <c r="F1166" t="e" vm="1">
        <v>#VALUE!</v>
      </c>
      <c r="G1166" s="5" t="s">
        <v>174</v>
      </c>
      <c r="H1166" t="s">
        <v>152</v>
      </c>
      <c r="J1166" s="18" t="s">
        <v>153</v>
      </c>
      <c r="K1166" t="s">
        <v>154</v>
      </c>
      <c r="L1166" s="44">
        <v>46200.381944444445</v>
      </c>
      <c r="M1166" s="55" t="s">
        <v>73</v>
      </c>
      <c r="N1166" s="55" t="s">
        <v>73</v>
      </c>
      <c r="O1166" s="56">
        <v>46201.333333333336</v>
      </c>
      <c r="P1166" s="56">
        <v>46201.354166666664</v>
      </c>
      <c r="Q1166" s="56">
        <v>46201.375</v>
      </c>
      <c r="S1166" s="21" t="s">
        <v>4714</v>
      </c>
      <c r="T1166" s="55" t="s">
        <v>478</v>
      </c>
      <c r="V1166" s="53" t="s">
        <v>4715</v>
      </c>
      <c r="Y1166" t="s">
        <v>158</v>
      </c>
      <c r="Z1166" t="s">
        <v>70</v>
      </c>
    </row>
    <row r="1167" spans="1:26" ht="15" hidden="1" customHeight="1">
      <c r="A1167" s="60">
        <f>ROW() - ROW(Table1[[#Headers],[s]])</f>
        <v>1166</v>
      </c>
      <c r="B1167" t="s">
        <v>4716</v>
      </c>
      <c r="C1167" s="163">
        <v>46174</v>
      </c>
      <c r="D1167" s="52" t="s">
        <v>4717</v>
      </c>
      <c r="E1167" t="e" vm="53">
        <v>#VALUE!</v>
      </c>
      <c r="F1167" t="e" vm="12">
        <v>#VALUE!</v>
      </c>
      <c r="G1167" s="5" t="s">
        <v>174</v>
      </c>
      <c r="H1167" t="s">
        <v>747</v>
      </c>
      <c r="J1167" s="18" t="s">
        <v>253</v>
      </c>
      <c r="K1167" t="s">
        <v>154</v>
      </c>
      <c r="L1167" s="44">
        <v>46200.689583333333</v>
      </c>
      <c r="M1167" s="55" t="s">
        <v>1716</v>
      </c>
      <c r="N1167" s="55" t="s">
        <v>1716</v>
      </c>
      <c r="O1167" s="44">
        <v>46200.770833333336</v>
      </c>
      <c r="P1167" s="44">
        <v>46200.798611111109</v>
      </c>
      <c r="Q1167" s="58">
        <v>46200.963194444441</v>
      </c>
      <c r="S1167" s="21" t="s">
        <v>4718</v>
      </c>
      <c r="T1167" s="55" t="s">
        <v>478</v>
      </c>
      <c r="V1167" s="53" t="s">
        <v>3744</v>
      </c>
      <c r="Y1167" t="s">
        <v>158</v>
      </c>
      <c r="Z1167" t="s">
        <v>158</v>
      </c>
    </row>
    <row r="1168" spans="1:26" ht="15.75" hidden="1" customHeight="1">
      <c r="A1168" s="60">
        <f>ROW() - ROW(Table1[[#Headers],[s]])</f>
        <v>1167</v>
      </c>
      <c r="B1168" s="223" t="s">
        <v>4719</v>
      </c>
      <c r="C1168" s="163">
        <v>46174</v>
      </c>
      <c r="D1168" s="52" t="s">
        <v>4720</v>
      </c>
      <c r="E1168" t="e" vm="90">
        <v>#VALUE!</v>
      </c>
      <c r="F1168" t="e" vm="25">
        <v>#VALUE!</v>
      </c>
      <c r="G1168" s="5" t="s">
        <v>174</v>
      </c>
      <c r="H1168" t="s">
        <v>152</v>
      </c>
      <c r="J1168" s="18" t="s">
        <v>153</v>
      </c>
      <c r="K1168" t="s">
        <v>154</v>
      </c>
      <c r="L1168" s="44">
        <v>46201.48541666667</v>
      </c>
      <c r="M1168" s="55" t="s">
        <v>72</v>
      </c>
      <c r="N1168" s="55" t="s">
        <v>72</v>
      </c>
      <c r="O1168" s="44">
        <v>46201.534722222219</v>
      </c>
      <c r="P1168" s="44">
        <v>46201.552083333336</v>
      </c>
      <c r="Q1168" s="44">
        <v>46201.590277777781</v>
      </c>
      <c r="S1168" s="21" t="s">
        <v>4721</v>
      </c>
      <c r="T1168" s="55" t="s">
        <v>2765</v>
      </c>
      <c r="V1168" s="53" t="s">
        <v>4225</v>
      </c>
      <c r="Y1168" t="s">
        <v>158</v>
      </c>
      <c r="Z1168" t="s">
        <v>70</v>
      </c>
    </row>
    <row r="1169" spans="1:27" ht="15.75" customHeight="1">
      <c r="A1169" s="60">
        <f>ROW() - ROW(Table1[[#Headers],[s]])</f>
        <v>1168</v>
      </c>
      <c r="B1169" s="223" t="s">
        <v>4722</v>
      </c>
      <c r="C1169" s="163">
        <v>46174</v>
      </c>
      <c r="D1169" s="52" t="s">
        <v>4723</v>
      </c>
      <c r="E1169" t="e" vm="149">
        <v>#VALUE!</v>
      </c>
      <c r="F1169" t="e" vm="40">
        <v>#VALUE!</v>
      </c>
      <c r="G1169" s="43" t="s">
        <v>83</v>
      </c>
      <c r="H1169" t="s">
        <v>152</v>
      </c>
      <c r="I1169" t="s">
        <v>43</v>
      </c>
      <c r="J1169" s="18" t="s">
        <v>153</v>
      </c>
      <c r="K1169" t="s">
        <v>332</v>
      </c>
      <c r="L1169" s="44">
        <v>46201.492361111108</v>
      </c>
      <c r="M1169" s="55" t="s">
        <v>39</v>
      </c>
      <c r="N1169" s="55" t="s">
        <v>39</v>
      </c>
      <c r="O1169" s="56">
        <v>46202.458333333336</v>
      </c>
      <c r="P1169" s="2">
        <v>46202.465277777781</v>
      </c>
      <c r="Q1169" s="58">
        <v>46202.567361111112</v>
      </c>
      <c r="S1169" s="21" t="s">
        <v>4724</v>
      </c>
      <c r="T1169" s="18" t="s">
        <v>164</v>
      </c>
      <c r="V1169" s="53" t="s">
        <v>4725</v>
      </c>
      <c r="Y1169" t="s">
        <v>158</v>
      </c>
      <c r="Z1169" t="s">
        <v>70</v>
      </c>
    </row>
    <row r="1170" spans="1:27" ht="15.75" hidden="1" customHeight="1">
      <c r="A1170" s="60">
        <f>ROW() - ROW(Table1[[#Headers],[s]])</f>
        <v>1169</v>
      </c>
      <c r="B1170" s="223" t="s">
        <v>4726</v>
      </c>
      <c r="C1170" s="163">
        <v>46174</v>
      </c>
      <c r="D1170" s="52" t="s">
        <v>4727</v>
      </c>
      <c r="E1170" t="e" vm="80">
        <v>#VALUE!</v>
      </c>
      <c r="F1170" t="e" vm="10">
        <v>#VALUE!</v>
      </c>
      <c r="G1170" s="5" t="s">
        <v>174</v>
      </c>
      <c r="H1170" t="s">
        <v>152</v>
      </c>
      <c r="J1170" s="18" t="s">
        <v>153</v>
      </c>
      <c r="K1170" t="s">
        <v>332</v>
      </c>
      <c r="L1170" s="44">
        <v>46201.519444444442</v>
      </c>
      <c r="M1170" s="18" t="s">
        <v>78</v>
      </c>
      <c r="N1170" s="55" t="s">
        <v>78</v>
      </c>
      <c r="O1170" s="44">
        <v>46201.5625</v>
      </c>
      <c r="P1170" s="44">
        <v>46201.576388888891</v>
      </c>
      <c r="Q1170" s="44">
        <v>46201.604166666664</v>
      </c>
      <c r="S1170" s="21" t="s">
        <v>4728</v>
      </c>
      <c r="T1170" s="55" t="s">
        <v>2765</v>
      </c>
      <c r="V1170" s="53" t="s">
        <v>4225</v>
      </c>
      <c r="Y1170" t="s">
        <v>158</v>
      </c>
      <c r="Z1170" t="s">
        <v>70</v>
      </c>
    </row>
    <row r="1171" spans="1:27" ht="15.75" customHeight="1">
      <c r="A1171" s="60">
        <f>ROW() - ROW(Table1[[#Headers],[s]])</f>
        <v>1170</v>
      </c>
      <c r="B1171" s="223" t="s">
        <v>4729</v>
      </c>
      <c r="C1171" s="163">
        <v>46174</v>
      </c>
      <c r="D1171" s="52" t="s">
        <v>4730</v>
      </c>
      <c r="E1171" t="e" vm="272">
        <v>#VALUE!</v>
      </c>
      <c r="F1171" t="e" vm="40">
        <v>#VALUE!</v>
      </c>
      <c r="G1171" s="43" t="s">
        <v>83</v>
      </c>
      <c r="H1171" t="s">
        <v>152</v>
      </c>
      <c r="I1171" t="s">
        <v>43</v>
      </c>
      <c r="J1171" s="18" t="s">
        <v>153</v>
      </c>
      <c r="K1171" t="s">
        <v>332</v>
      </c>
      <c r="L1171" s="44">
        <v>46201.519444444442</v>
      </c>
      <c r="M1171" s="55" t="s">
        <v>39</v>
      </c>
      <c r="N1171" s="55" t="s">
        <v>39</v>
      </c>
      <c r="O1171" s="56">
        <v>46202.333333333336</v>
      </c>
      <c r="P1171" s="2">
        <v>46202.340277777781</v>
      </c>
      <c r="Q1171" s="58">
        <v>46202.454861111109</v>
      </c>
      <c r="S1171" s="21" t="s">
        <v>4731</v>
      </c>
      <c r="T1171" s="18" t="s">
        <v>164</v>
      </c>
      <c r="V1171" s="53" t="s">
        <v>4732</v>
      </c>
      <c r="Y1171" t="s">
        <v>158</v>
      </c>
      <c r="Z1171" t="s">
        <v>70</v>
      </c>
    </row>
    <row r="1172" spans="1:27" ht="15.75" hidden="1" customHeight="1">
      <c r="A1172" s="60">
        <f>ROW() - ROW(Table1[[#Headers],[s]])</f>
        <v>1171</v>
      </c>
      <c r="B1172" s="223" t="s">
        <v>4733</v>
      </c>
      <c r="C1172" s="163">
        <v>46174</v>
      </c>
      <c r="D1172" s="52" t="s">
        <v>4734</v>
      </c>
      <c r="E1172" t="e" vm="80">
        <v>#VALUE!</v>
      </c>
      <c r="F1172" t="e" vm="10">
        <v>#VALUE!</v>
      </c>
      <c r="G1172" s="5" t="s">
        <v>174</v>
      </c>
      <c r="H1172" t="s">
        <v>152</v>
      </c>
      <c r="J1172" s="18" t="s">
        <v>153</v>
      </c>
      <c r="K1172" t="s">
        <v>332</v>
      </c>
      <c r="L1172" s="44">
        <v>46201.680555555555</v>
      </c>
      <c r="M1172" s="18" t="s">
        <v>78</v>
      </c>
      <c r="N1172" s="55" t="s">
        <v>78</v>
      </c>
      <c r="O1172" s="44">
        <v>46201.770833333336</v>
      </c>
      <c r="P1172" s="44">
        <v>46201.791666666664</v>
      </c>
      <c r="Q1172" s="44">
        <v>46201.8125</v>
      </c>
      <c r="S1172" s="21" t="s">
        <v>4728</v>
      </c>
      <c r="T1172" s="55" t="s">
        <v>2765</v>
      </c>
      <c r="V1172" s="53" t="s">
        <v>4225</v>
      </c>
      <c r="Y1172" t="s">
        <v>158</v>
      </c>
      <c r="Z1172" t="s">
        <v>70</v>
      </c>
    </row>
    <row r="1173" spans="1:27" ht="15.75" customHeight="1">
      <c r="A1173" s="60">
        <f>ROW() - ROW(Table1[[#Headers],[s]])</f>
        <v>1172</v>
      </c>
      <c r="B1173" s="223" t="s">
        <v>4735</v>
      </c>
      <c r="C1173" s="163">
        <v>46174</v>
      </c>
      <c r="D1173" s="367" t="s">
        <v>4736</v>
      </c>
      <c r="E1173" t="e" vm="69">
        <v>#VALUE!</v>
      </c>
      <c r="F1173" t="e" vm="2">
        <v>#VALUE!</v>
      </c>
      <c r="G1173" s="43" t="s">
        <v>83</v>
      </c>
      <c r="H1173" t="s">
        <v>152</v>
      </c>
      <c r="I1173" t="s">
        <v>43</v>
      </c>
      <c r="J1173" s="18" t="s">
        <v>153</v>
      </c>
      <c r="K1173" t="s">
        <v>332</v>
      </c>
      <c r="L1173" s="44">
        <v>46201.681250000001</v>
      </c>
      <c r="M1173" s="55" t="s">
        <v>162</v>
      </c>
      <c r="N1173" s="55" t="s">
        <v>162</v>
      </c>
      <c r="O1173" s="56">
        <v>46202.333333333336</v>
      </c>
      <c r="P1173" s="2">
        <v>46202.340277777781</v>
      </c>
      <c r="Q1173" s="58">
        <v>46202.429166666669</v>
      </c>
      <c r="S1173" s="21" t="s">
        <v>4737</v>
      </c>
      <c r="T1173" s="55" t="s">
        <v>4738</v>
      </c>
      <c r="V1173" s="53" t="s">
        <v>4739</v>
      </c>
      <c r="Y1173" t="s">
        <v>158</v>
      </c>
      <c r="Z1173" t="s">
        <v>70</v>
      </c>
    </row>
    <row r="1174" spans="1:27" ht="15.75" hidden="1" customHeight="1">
      <c r="A1174" s="60">
        <f>ROW() - ROW(Table1[[#Headers],[s]])</f>
        <v>1173</v>
      </c>
      <c r="B1174" s="223" t="s">
        <v>4740</v>
      </c>
      <c r="C1174" s="163">
        <v>46174</v>
      </c>
      <c r="D1174" s="52" t="s">
        <v>4741</v>
      </c>
      <c r="E1174" t="e" vm="52">
        <v>#VALUE!</v>
      </c>
      <c r="F1174" t="e" vm="25">
        <v>#VALUE!</v>
      </c>
      <c r="G1174" s="5" t="s">
        <v>174</v>
      </c>
      <c r="H1174" t="s">
        <v>152</v>
      </c>
      <c r="J1174" s="18" t="s">
        <v>153</v>
      </c>
      <c r="K1174" t="s">
        <v>332</v>
      </c>
      <c r="L1174" s="44">
        <v>46201.681944444441</v>
      </c>
      <c r="M1174" s="55" t="s">
        <v>72</v>
      </c>
      <c r="N1174" s="55" t="s">
        <v>72</v>
      </c>
      <c r="O1174" s="44">
        <v>46201.770833333336</v>
      </c>
      <c r="P1174" s="44">
        <v>46201.791666666664</v>
      </c>
      <c r="Q1174" s="44">
        <v>46201.8125</v>
      </c>
      <c r="S1174" s="21" t="s">
        <v>4742</v>
      </c>
      <c r="T1174" s="55" t="s">
        <v>2765</v>
      </c>
      <c r="V1174" s="53" t="s">
        <v>4225</v>
      </c>
      <c r="Y1174" t="s">
        <v>158</v>
      </c>
      <c r="Z1174" t="s">
        <v>70</v>
      </c>
    </row>
    <row r="1175" spans="1:27" ht="15.75" hidden="1" customHeight="1">
      <c r="A1175" s="60">
        <f>ROW() - ROW(Table1[[#Headers],[s]])</f>
        <v>1174</v>
      </c>
      <c r="B1175" s="223" t="s">
        <v>4743</v>
      </c>
      <c r="C1175" s="163">
        <v>46174</v>
      </c>
      <c r="D1175" s="52" t="s">
        <v>4744</v>
      </c>
      <c r="E1175" t="e" vm="80">
        <v>#VALUE!</v>
      </c>
      <c r="F1175" t="e" vm="10">
        <v>#VALUE!</v>
      </c>
      <c r="G1175" s="43" t="s">
        <v>174</v>
      </c>
      <c r="H1175" t="s">
        <v>152</v>
      </c>
      <c r="J1175" s="18" t="s">
        <v>153</v>
      </c>
      <c r="K1175" t="s">
        <v>332</v>
      </c>
      <c r="L1175" s="44">
        <v>46201.684027777781</v>
      </c>
      <c r="M1175" s="18" t="s">
        <v>78</v>
      </c>
      <c r="N1175" s="55" t="s">
        <v>78</v>
      </c>
      <c r="O1175" s="44">
        <v>46201.770833333336</v>
      </c>
      <c r="P1175" s="44">
        <v>46201.791666666664</v>
      </c>
      <c r="Q1175" s="44">
        <v>46201.854166666664</v>
      </c>
      <c r="S1175" s="21" t="s">
        <v>4745</v>
      </c>
      <c r="T1175" s="55" t="s">
        <v>3081</v>
      </c>
      <c r="V1175" s="53" t="s">
        <v>4746</v>
      </c>
      <c r="Y1175" t="s">
        <v>158</v>
      </c>
      <c r="Z1175" t="s">
        <v>70</v>
      </c>
    </row>
    <row r="1176" spans="1:27" ht="15.75" hidden="1" customHeight="1">
      <c r="A1176" s="60">
        <f>ROW() - ROW(Table1[[#Headers],[s]])</f>
        <v>1175</v>
      </c>
      <c r="B1176" s="223" t="s">
        <v>4747</v>
      </c>
      <c r="C1176" s="163">
        <v>46174</v>
      </c>
      <c r="D1176" s="52" t="s">
        <v>4748</v>
      </c>
      <c r="E1176" t="e" vm="239">
        <v>#VALUE!</v>
      </c>
      <c r="F1176" t="e" vm="2">
        <v>#VALUE!</v>
      </c>
      <c r="G1176" s="43" t="s">
        <v>174</v>
      </c>
      <c r="H1176" t="s">
        <v>152</v>
      </c>
      <c r="J1176" s="18" t="s">
        <v>153</v>
      </c>
      <c r="K1176" t="s">
        <v>332</v>
      </c>
      <c r="L1176" s="44">
        <v>46201.686111111114</v>
      </c>
      <c r="M1176" s="55" t="s">
        <v>162</v>
      </c>
      <c r="N1176" s="55" t="s">
        <v>162</v>
      </c>
      <c r="O1176" s="44">
        <v>46201.854166666664</v>
      </c>
      <c r="P1176" s="44">
        <v>46201.875</v>
      </c>
      <c r="Q1176" s="44">
        <v>46201.90625</v>
      </c>
      <c r="S1176" s="21" t="s">
        <v>4749</v>
      </c>
      <c r="T1176" s="55" t="s">
        <v>478</v>
      </c>
      <c r="V1176" s="53" t="s">
        <v>4750</v>
      </c>
      <c r="Y1176" t="s">
        <v>158</v>
      </c>
      <c r="Z1176" t="s">
        <v>70</v>
      </c>
    </row>
    <row r="1177" spans="1:27" ht="15.75" hidden="1" customHeight="1">
      <c r="A1177" s="60">
        <f>ROW() - ROW(Table1[[#Headers],[s]])</f>
        <v>1176</v>
      </c>
      <c r="B1177" s="223" t="s">
        <v>4751</v>
      </c>
      <c r="C1177" s="163">
        <v>46174</v>
      </c>
      <c r="D1177" s="52" t="s">
        <v>4752</v>
      </c>
      <c r="E1177" t="e" vm="3">
        <v>#VALUE!</v>
      </c>
      <c r="F1177" t="e" vm="2">
        <v>#VALUE!</v>
      </c>
      <c r="G1177" s="43" t="s">
        <v>174</v>
      </c>
      <c r="H1177" t="s">
        <v>152</v>
      </c>
      <c r="J1177" s="18" t="s">
        <v>153</v>
      </c>
      <c r="K1177" t="s">
        <v>332</v>
      </c>
      <c r="L1177" s="44">
        <v>46201.6875</v>
      </c>
      <c r="M1177" s="55" t="s">
        <v>162</v>
      </c>
      <c r="N1177" s="55" t="s">
        <v>162</v>
      </c>
      <c r="O1177" s="44">
        <v>46201.770833333336</v>
      </c>
      <c r="P1177" s="44">
        <v>46201.791666666664</v>
      </c>
      <c r="Q1177" s="44">
        <v>46201.822916666664</v>
      </c>
      <c r="S1177" s="21" t="s">
        <v>4753</v>
      </c>
      <c r="T1177" s="55" t="s">
        <v>2765</v>
      </c>
      <c r="V1177" s="53" t="s">
        <v>4753</v>
      </c>
      <c r="Y1177" t="s">
        <v>158</v>
      </c>
      <c r="Z1177" t="s">
        <v>70</v>
      </c>
    </row>
    <row r="1178" spans="1:27" ht="15.75" customHeight="1">
      <c r="A1178" s="60">
        <f>ROW() - ROW(Table1[[#Headers],[s]])</f>
        <v>1177</v>
      </c>
      <c r="B1178" s="223" t="s">
        <v>4754</v>
      </c>
      <c r="C1178" s="163">
        <v>46174</v>
      </c>
      <c r="D1178" s="52" t="s">
        <v>4755</v>
      </c>
      <c r="E1178" t="e" vm="296">
        <v>#VALUE!</v>
      </c>
      <c r="F1178" t="e" vm="39">
        <v>#VALUE!</v>
      </c>
      <c r="G1178" s="43" t="s">
        <v>83</v>
      </c>
      <c r="H1178" t="s">
        <v>152</v>
      </c>
      <c r="I1178" t="s">
        <v>43</v>
      </c>
      <c r="J1178" s="18" t="s">
        <v>153</v>
      </c>
      <c r="K1178" t="s">
        <v>332</v>
      </c>
      <c r="L1178" s="44">
        <v>46201.6875</v>
      </c>
      <c r="M1178" s="55" t="s">
        <v>1536</v>
      </c>
      <c r="N1178" s="55" t="s">
        <v>1536</v>
      </c>
      <c r="O1178" s="56">
        <v>46202.333333333336</v>
      </c>
      <c r="P1178" s="2">
        <v>46202.340277777781</v>
      </c>
      <c r="Q1178" s="58">
        <v>46202.420138888891</v>
      </c>
      <c r="S1178" s="21" t="s">
        <v>4756</v>
      </c>
      <c r="T1178" s="18" t="s">
        <v>164</v>
      </c>
      <c r="V1178" s="53" t="s">
        <v>4604</v>
      </c>
      <c r="Y1178" t="s">
        <v>158</v>
      </c>
      <c r="Z1178" t="s">
        <v>70</v>
      </c>
    </row>
    <row r="1179" spans="1:27" ht="15.75" customHeight="1">
      <c r="A1179" s="60">
        <f>ROW() - ROW(Table1[[#Headers],[s]])</f>
        <v>1178</v>
      </c>
      <c r="B1179" s="223" t="s">
        <v>4757</v>
      </c>
      <c r="C1179" s="163">
        <v>46174</v>
      </c>
      <c r="D1179" s="52" t="s">
        <v>4758</v>
      </c>
      <c r="E1179" t="e" vm="209">
        <v>#VALUE!</v>
      </c>
      <c r="F1179" t="e" vm="12">
        <v>#VALUE!</v>
      </c>
      <c r="G1179" s="43" t="s">
        <v>83</v>
      </c>
      <c r="H1179" t="s">
        <v>152</v>
      </c>
      <c r="I1179" t="s">
        <v>43</v>
      </c>
      <c r="J1179" s="18" t="s">
        <v>153</v>
      </c>
      <c r="K1179" t="s">
        <v>332</v>
      </c>
      <c r="L1179" s="44">
        <v>46201.688888888886</v>
      </c>
      <c r="M1179" s="55" t="s">
        <v>4759</v>
      </c>
      <c r="N1179" s="55" t="s">
        <v>4759</v>
      </c>
      <c r="O1179" s="56">
        <v>46202.333333333336</v>
      </c>
      <c r="P1179" s="2">
        <v>46202.340277777781</v>
      </c>
      <c r="Q1179" s="58">
        <v>46202.465277777781</v>
      </c>
      <c r="S1179" s="21" t="s">
        <v>4760</v>
      </c>
      <c r="T1179" s="18" t="s">
        <v>164</v>
      </c>
      <c r="V1179" s="53" t="s">
        <v>4761</v>
      </c>
      <c r="Y1179" t="s">
        <v>158</v>
      </c>
      <c r="Z1179" t="s">
        <v>70</v>
      </c>
    </row>
    <row r="1180" spans="1:27" ht="15" hidden="1" customHeight="1">
      <c r="A1180" s="60">
        <f>ROW() - ROW(Table1[[#Headers],[s]])</f>
        <v>1179</v>
      </c>
      <c r="B1180" t="s">
        <v>4762</v>
      </c>
      <c r="C1180" s="163">
        <v>46174</v>
      </c>
      <c r="D1180" s="52" t="s">
        <v>4763</v>
      </c>
      <c r="E1180" t="e" vm="78">
        <v>#VALUE!</v>
      </c>
      <c r="F1180" t="e" vm="40">
        <v>#VALUE!</v>
      </c>
      <c r="G1180" s="43" t="s">
        <v>36</v>
      </c>
      <c r="H1180" t="s">
        <v>747</v>
      </c>
      <c r="I1180" s="5" t="s">
        <v>43</v>
      </c>
      <c r="J1180" s="18" t="s">
        <v>253</v>
      </c>
      <c r="K1180" t="s">
        <v>332</v>
      </c>
      <c r="L1180" s="44">
        <v>46201.710416666669</v>
      </c>
      <c r="M1180" s="18" t="s">
        <v>4566</v>
      </c>
      <c r="N1180" s="18" t="s">
        <v>4764</v>
      </c>
      <c r="O1180" s="56"/>
      <c r="Q1180" s="58">
        <v>46202.48333333333</v>
      </c>
      <c r="S1180" s="21" t="s">
        <v>4765</v>
      </c>
      <c r="T1180" s="55"/>
      <c r="V1180" s="53" t="s">
        <v>4766</v>
      </c>
      <c r="Y1180" t="s">
        <v>70</v>
      </c>
      <c r="Z1180" t="s">
        <v>70</v>
      </c>
      <c r="AA1180" t="s">
        <v>4767</v>
      </c>
    </row>
    <row r="1181" spans="1:27" ht="15.75" hidden="1" customHeight="1">
      <c r="A1181" s="60">
        <f>ROW() - ROW(Table1[[#Headers],[s]])</f>
        <v>1180</v>
      </c>
      <c r="B1181" s="223" t="s">
        <v>4768</v>
      </c>
      <c r="C1181" s="163">
        <v>46174</v>
      </c>
      <c r="D1181" s="52" t="s">
        <v>4769</v>
      </c>
      <c r="E1181" t="e" vm="27">
        <v>#VALUE!</v>
      </c>
      <c r="F1181" t="e" vm="10">
        <v>#VALUE!</v>
      </c>
      <c r="G1181" s="43" t="s">
        <v>174</v>
      </c>
      <c r="H1181" t="s">
        <v>152</v>
      </c>
      <c r="J1181" s="18" t="s">
        <v>153</v>
      </c>
      <c r="K1181" t="s">
        <v>332</v>
      </c>
      <c r="L1181" s="44">
        <v>46201.755555555559</v>
      </c>
      <c r="M1181" s="18" t="s">
        <v>78</v>
      </c>
      <c r="N1181" s="55" t="s">
        <v>78</v>
      </c>
      <c r="O1181" s="44">
        <v>46201.802083333336</v>
      </c>
      <c r="P1181" s="44">
        <v>46201.819444444445</v>
      </c>
      <c r="Q1181" s="44">
        <v>46201.881944444445</v>
      </c>
      <c r="S1181" s="21" t="s">
        <v>4770</v>
      </c>
      <c r="T1181" s="55" t="s">
        <v>4685</v>
      </c>
      <c r="V1181" s="53" t="s">
        <v>3744</v>
      </c>
      <c r="Y1181" t="s">
        <v>158</v>
      </c>
      <c r="Z1181" t="s">
        <v>158</v>
      </c>
    </row>
    <row r="1182" spans="1:27" ht="15" customHeight="1">
      <c r="A1182" s="60">
        <f>ROW() - ROW(Table1[[#Headers],[s]])</f>
        <v>1181</v>
      </c>
      <c r="B1182" t="s">
        <v>4771</v>
      </c>
      <c r="C1182" s="163">
        <v>46204</v>
      </c>
      <c r="D1182" s="52" t="s">
        <v>4772</v>
      </c>
      <c r="E1182" t="e" vm="27">
        <v>#VALUE!</v>
      </c>
      <c r="F1182" t="e" vm="10">
        <v>#VALUE!</v>
      </c>
      <c r="G1182" s="43" t="s">
        <v>83</v>
      </c>
      <c r="H1182" t="s">
        <v>152</v>
      </c>
      <c r="I1182" t="s">
        <v>43</v>
      </c>
      <c r="J1182" s="18" t="s">
        <v>153</v>
      </c>
      <c r="K1182" t="s">
        <v>332</v>
      </c>
      <c r="L1182" s="44">
        <v>46201.978472222225</v>
      </c>
      <c r="M1182" s="18" t="s">
        <v>78</v>
      </c>
      <c r="N1182" s="55" t="s">
        <v>78</v>
      </c>
      <c r="O1182" s="56">
        <v>46202.4375</v>
      </c>
      <c r="P1182" s="2">
        <v>46202.444444444445</v>
      </c>
      <c r="Q1182" s="58">
        <v>46202.496527777781</v>
      </c>
      <c r="S1182" s="21" t="s">
        <v>4773</v>
      </c>
      <c r="T1182" s="18" t="s">
        <v>164</v>
      </c>
      <c r="V1182" s="53" t="s">
        <v>4774</v>
      </c>
      <c r="Y1182" t="s">
        <v>158</v>
      </c>
      <c r="Z1182" t="s">
        <v>70</v>
      </c>
    </row>
    <row r="1183" spans="1:27" ht="15.75" customHeight="1">
      <c r="A1183" s="60">
        <f>ROW() - ROW(Table1[[#Headers],[s]])</f>
        <v>1182</v>
      </c>
      <c r="B1183" s="357" t="s">
        <v>4775</v>
      </c>
      <c r="C1183" s="163">
        <v>46174</v>
      </c>
      <c r="D1183" s="368" t="s">
        <v>4776</v>
      </c>
      <c r="E1183" t="e" vm="297">
        <v>#VALUE!</v>
      </c>
      <c r="F1183" t="e" vm="12">
        <v>#VALUE!</v>
      </c>
      <c r="G1183" s="43" t="s">
        <v>83</v>
      </c>
      <c r="H1183" t="s">
        <v>747</v>
      </c>
      <c r="I1183" t="s">
        <v>43</v>
      </c>
      <c r="J1183" s="18" t="s">
        <v>253</v>
      </c>
      <c r="K1183" t="s">
        <v>332</v>
      </c>
      <c r="L1183" s="44">
        <v>46201.972916666666</v>
      </c>
      <c r="M1183" s="55" t="s">
        <v>566</v>
      </c>
      <c r="N1183" s="55" t="s">
        <v>566</v>
      </c>
      <c r="O1183" s="56">
        <v>46202.333333333336</v>
      </c>
      <c r="P1183" s="2">
        <v>46202.354166666664</v>
      </c>
      <c r="Q1183" s="58">
        <v>46202.624305555553</v>
      </c>
      <c r="S1183" s="388" t="s">
        <v>4777</v>
      </c>
      <c r="T1183" s="18" t="s">
        <v>164</v>
      </c>
      <c r="V1183" s="388" t="s">
        <v>4778</v>
      </c>
      <c r="Y1183" t="s">
        <v>70</v>
      </c>
      <c r="Z1183" t="s">
        <v>70</v>
      </c>
    </row>
    <row r="1184" spans="1:27" ht="15" customHeight="1">
      <c r="A1184" s="60">
        <f>ROW() - ROW(Table1[[#Headers],[s]])</f>
        <v>1183</v>
      </c>
      <c r="B1184" t="s">
        <v>4779</v>
      </c>
      <c r="C1184" s="163">
        <v>46204</v>
      </c>
      <c r="D1184" s="52" t="s">
        <v>4780</v>
      </c>
      <c r="E1184" t="e" vm="231">
        <v>#VALUE!</v>
      </c>
      <c r="F1184" t="e" vm="25">
        <v>#VALUE!</v>
      </c>
      <c r="G1184" s="43" t="s">
        <v>83</v>
      </c>
      <c r="H1184" t="s">
        <v>152</v>
      </c>
      <c r="I1184" t="s">
        <v>43</v>
      </c>
      <c r="J1184" s="18" t="s">
        <v>153</v>
      </c>
      <c r="K1184" t="s">
        <v>332</v>
      </c>
      <c r="L1184" s="44">
        <v>46202.466666666667</v>
      </c>
      <c r="M1184" s="55" t="s">
        <v>4781</v>
      </c>
      <c r="N1184" s="55" t="s">
        <v>4781</v>
      </c>
      <c r="O1184" s="56">
        <v>46202.583333333336</v>
      </c>
      <c r="P1184" s="2">
        <v>46202.590277777781</v>
      </c>
      <c r="Q1184" s="58">
        <v>46202.731249999997</v>
      </c>
      <c r="S1184" s="21" t="s">
        <v>4367</v>
      </c>
      <c r="T1184" s="18" t="s">
        <v>164</v>
      </c>
      <c r="V1184" s="53" t="s">
        <v>4782</v>
      </c>
      <c r="Y1184" t="s">
        <v>158</v>
      </c>
      <c r="Z1184" t="s">
        <v>70</v>
      </c>
    </row>
    <row r="1185" spans="1:26" ht="15.75" customHeight="1">
      <c r="A1185" s="60">
        <f>ROW() - ROW(Table1[[#Headers],[s]])</f>
        <v>1184</v>
      </c>
      <c r="B1185" t="s">
        <v>4783</v>
      </c>
      <c r="C1185" s="163">
        <v>46174</v>
      </c>
      <c r="D1185" s="52" t="s">
        <v>4784</v>
      </c>
      <c r="E1185" t="e" vm="121">
        <v>#VALUE!</v>
      </c>
      <c r="F1185" t="e" vm="17">
        <v>#VALUE!</v>
      </c>
      <c r="G1185" s="43" t="s">
        <v>83</v>
      </c>
      <c r="H1185" t="s">
        <v>245</v>
      </c>
      <c r="I1185" t="s">
        <v>43</v>
      </c>
      <c r="J1185" s="18" t="s">
        <v>253</v>
      </c>
      <c r="K1185" t="s">
        <v>4785</v>
      </c>
      <c r="L1185" s="44">
        <v>46202.535416666666</v>
      </c>
      <c r="M1185" s="169" t="s">
        <v>1484</v>
      </c>
      <c r="N1185" s="169" t="s">
        <v>1484</v>
      </c>
      <c r="O1185" s="56">
        <v>46202.625</v>
      </c>
      <c r="P1185" s="2">
        <v>46202.645833333336</v>
      </c>
      <c r="Q1185" s="58">
        <v>46202.77847222222</v>
      </c>
      <c r="S1185" s="389" t="s">
        <v>4786</v>
      </c>
      <c r="T1185" s="18" t="s">
        <v>164</v>
      </c>
      <c r="V1185" s="389" t="s">
        <v>4787</v>
      </c>
      <c r="Y1185" t="s">
        <v>158</v>
      </c>
      <c r="Z1185" t="s">
        <v>67</v>
      </c>
    </row>
    <row r="1186" spans="1:26" ht="15" hidden="1" customHeight="1">
      <c r="A1186" s="60">
        <f>ROW() - ROW(Table1[[#Headers],[s]])</f>
        <v>1185</v>
      </c>
      <c r="B1186" t="s">
        <v>4788</v>
      </c>
      <c r="C1186" s="181" t="s">
        <v>60</v>
      </c>
      <c r="D1186" s="52" t="s">
        <v>4789</v>
      </c>
      <c r="E1186" t="e" vm="147">
        <v>#VALUE!</v>
      </c>
      <c r="F1186" t="e" vm="16">
        <v>#VALUE!</v>
      </c>
      <c r="G1186" s="43" t="s">
        <v>4790</v>
      </c>
      <c r="H1186" t="s">
        <v>152</v>
      </c>
      <c r="I1186" s="5" t="s">
        <v>60</v>
      </c>
      <c r="J1186" s="18" t="s">
        <v>153</v>
      </c>
      <c r="K1186" s="42" t="s">
        <v>154</v>
      </c>
      <c r="L1186" s="44">
        <v>46202.518055555556</v>
      </c>
      <c r="M1186" s="55" t="s">
        <v>58</v>
      </c>
      <c r="N1186" s="55" t="s">
        <v>58</v>
      </c>
      <c r="O1186" s="56"/>
      <c r="Q1186" s="56">
        <v>46203.454861111109</v>
      </c>
      <c r="S1186" s="53" t="s">
        <v>4791</v>
      </c>
      <c r="T1186" s="55" t="s">
        <v>50</v>
      </c>
      <c r="V1186" s="53" t="s">
        <v>4791</v>
      </c>
      <c r="Y1186" t="s">
        <v>179</v>
      </c>
      <c r="Z1186" t="s">
        <v>179</v>
      </c>
    </row>
    <row r="1187" spans="1:26" ht="15" hidden="1" customHeight="1">
      <c r="A1187" s="60">
        <f>ROW() - ROW(Table1[[#Headers],[s]])</f>
        <v>1186</v>
      </c>
      <c r="B1187" t="s">
        <v>4792</v>
      </c>
      <c r="C1187" s="163">
        <v>46204</v>
      </c>
      <c r="D1187" s="52" t="s">
        <v>4793</v>
      </c>
      <c r="E1187" t="e" vm="167">
        <v>#VALUE!</v>
      </c>
      <c r="F1187" t="e" vm="7">
        <v>#VALUE!</v>
      </c>
      <c r="G1187" s="43" t="s">
        <v>4790</v>
      </c>
      <c r="H1187" t="s">
        <v>152</v>
      </c>
      <c r="I1187" t="s">
        <v>43</v>
      </c>
      <c r="J1187" s="18" t="s">
        <v>153</v>
      </c>
      <c r="K1187" t="s">
        <v>332</v>
      </c>
      <c r="L1187" s="44">
        <v>46202.520138888889</v>
      </c>
      <c r="M1187" s="169" t="s">
        <v>1484</v>
      </c>
      <c r="N1187" s="169" t="s">
        <v>1484</v>
      </c>
      <c r="O1187" s="56">
        <v>46202.602777777778</v>
      </c>
      <c r="P1187" s="56">
        <v>46202.616666666669</v>
      </c>
      <c r="Q1187" s="56">
        <v>46203.818749999999</v>
      </c>
      <c r="R1187" s="56"/>
      <c r="S1187" s="21" t="s">
        <v>4794</v>
      </c>
      <c r="T1187" s="55" t="s">
        <v>516</v>
      </c>
      <c r="V1187" s="53" t="s">
        <v>4795</v>
      </c>
      <c r="Y1187" t="s">
        <v>158</v>
      </c>
      <c r="Z1187" t="s">
        <v>158</v>
      </c>
    </row>
    <row r="1188" spans="1:26" ht="15" customHeight="1">
      <c r="A1188" s="60">
        <f>ROW() - ROW(Table1[[#Headers],[s]])</f>
        <v>1187</v>
      </c>
      <c r="B1188" t="s">
        <v>4796</v>
      </c>
      <c r="C1188" s="163">
        <v>46204</v>
      </c>
      <c r="D1188" s="52" t="s">
        <v>4797</v>
      </c>
      <c r="E1188" t="e" vm="117">
        <v>#VALUE!</v>
      </c>
      <c r="F1188" t="e" vm="2">
        <v>#VALUE!</v>
      </c>
      <c r="G1188" s="43" t="s">
        <v>83</v>
      </c>
      <c r="H1188" t="s">
        <v>152</v>
      </c>
      <c r="I1188" t="s">
        <v>43</v>
      </c>
      <c r="J1188" s="18" t="s">
        <v>153</v>
      </c>
      <c r="K1188" t="s">
        <v>332</v>
      </c>
      <c r="L1188" s="44">
        <v>46202.661111111112</v>
      </c>
      <c r="M1188" s="55" t="s">
        <v>162</v>
      </c>
      <c r="N1188" s="55" t="s">
        <v>162</v>
      </c>
      <c r="O1188" s="56">
        <v>46202.708333333336</v>
      </c>
      <c r="P1188" s="2">
        <v>46202.729166666664</v>
      </c>
      <c r="Q1188" s="58">
        <v>46202.777777777781</v>
      </c>
      <c r="S1188" s="21" t="s">
        <v>4798</v>
      </c>
      <c r="T1188" s="18" t="s">
        <v>164</v>
      </c>
      <c r="V1188" s="53" t="s">
        <v>4799</v>
      </c>
      <c r="Y1188" t="s">
        <v>158</v>
      </c>
      <c r="Z1188" t="s">
        <v>70</v>
      </c>
    </row>
    <row r="1189" spans="1:26" ht="15" hidden="1" customHeight="1">
      <c r="A1189" s="60">
        <f>ROW() - ROW(Table1[[#Headers],[s]])</f>
        <v>1188</v>
      </c>
      <c r="B1189" t="s">
        <v>4800</v>
      </c>
      <c r="C1189" s="163">
        <v>46204</v>
      </c>
      <c r="D1189" s="52" t="s">
        <v>4801</v>
      </c>
      <c r="E1189" t="e" vm="147">
        <v>#VALUE!</v>
      </c>
      <c r="F1189" t="e" vm="16">
        <v>#VALUE!</v>
      </c>
      <c r="G1189" s="43" t="s">
        <v>4790</v>
      </c>
      <c r="H1189" t="s">
        <v>152</v>
      </c>
      <c r="I1189" t="s">
        <v>43</v>
      </c>
      <c r="J1189" s="18" t="s">
        <v>153</v>
      </c>
      <c r="K1189" t="s">
        <v>332</v>
      </c>
      <c r="L1189" s="44">
        <v>46202.647916666669</v>
      </c>
      <c r="M1189" s="55" t="s">
        <v>58</v>
      </c>
      <c r="N1189" s="55" t="s">
        <v>58</v>
      </c>
      <c r="O1189" s="56">
        <v>46203.416666666664</v>
      </c>
      <c r="P1189" s="56">
        <v>46203.423611111109</v>
      </c>
      <c r="Q1189" s="56">
        <v>46203.454861111109</v>
      </c>
      <c r="S1189" s="21" t="s">
        <v>4802</v>
      </c>
      <c r="T1189" s="18" t="s">
        <v>164</v>
      </c>
      <c r="V1189" s="53" t="s">
        <v>4803</v>
      </c>
      <c r="W1189" t="s">
        <v>4804</v>
      </c>
      <c r="Y1189" t="s">
        <v>158</v>
      </c>
      <c r="Z1189" t="s">
        <v>70</v>
      </c>
    </row>
    <row r="1190" spans="1:26" ht="15" customHeight="1">
      <c r="A1190" s="60">
        <f>ROW() - ROW(Table1[[#Headers],[s]])</f>
        <v>1189</v>
      </c>
      <c r="B1190" t="s">
        <v>4805</v>
      </c>
      <c r="C1190" s="163">
        <v>46204</v>
      </c>
      <c r="D1190" s="52" t="s">
        <v>4806</v>
      </c>
      <c r="E1190" t="e" vm="129">
        <v>#VALUE!</v>
      </c>
      <c r="F1190" t="e" vm="35">
        <v>#VALUE!</v>
      </c>
      <c r="G1190" s="43" t="s">
        <v>83</v>
      </c>
      <c r="H1190" t="s">
        <v>152</v>
      </c>
      <c r="I1190" t="s">
        <v>43</v>
      </c>
      <c r="J1190" s="18" t="s">
        <v>153</v>
      </c>
      <c r="K1190" t="s">
        <v>332</v>
      </c>
      <c r="L1190" s="44">
        <v>46202.65</v>
      </c>
      <c r="M1190" s="55" t="s">
        <v>454</v>
      </c>
      <c r="N1190" s="55" t="s">
        <v>454</v>
      </c>
      <c r="O1190" s="56">
        <v>46202.75</v>
      </c>
      <c r="P1190" s="2">
        <v>46202.756944444445</v>
      </c>
      <c r="Q1190" s="58">
        <v>46202.929166666669</v>
      </c>
      <c r="S1190" s="21" t="s">
        <v>4807</v>
      </c>
      <c r="T1190" s="18" t="s">
        <v>164</v>
      </c>
      <c r="V1190" s="53" t="s">
        <v>4808</v>
      </c>
      <c r="Y1190" t="s">
        <v>158</v>
      </c>
      <c r="Z1190" t="s">
        <v>158</v>
      </c>
    </row>
    <row r="1191" spans="1:26" ht="15" hidden="1" customHeight="1">
      <c r="A1191" s="60">
        <f>ROW() - ROW(Table1[[#Headers],[s]])</f>
        <v>1190</v>
      </c>
      <c r="B1191" t="s">
        <v>4809</v>
      </c>
      <c r="C1191" s="163">
        <v>46204</v>
      </c>
      <c r="D1191" s="52" t="s">
        <v>4810</v>
      </c>
      <c r="E1191" t="e" vm="155">
        <v>#VALUE!</v>
      </c>
      <c r="F1191" t="e" vm="21">
        <v>#VALUE!</v>
      </c>
      <c r="G1191" s="43" t="s">
        <v>4790</v>
      </c>
      <c r="H1191" t="s">
        <v>152</v>
      </c>
      <c r="I1191" t="s">
        <v>43</v>
      </c>
      <c r="J1191" s="18" t="s">
        <v>153</v>
      </c>
      <c r="K1191" t="s">
        <v>332</v>
      </c>
      <c r="L1191" s="44">
        <v>46202.654861111114</v>
      </c>
      <c r="M1191" s="55" t="s">
        <v>39</v>
      </c>
      <c r="N1191" s="55" t="s">
        <v>39</v>
      </c>
      <c r="O1191" s="56">
        <v>46202.854166666664</v>
      </c>
      <c r="P1191" s="2">
        <v>46202.873611111114</v>
      </c>
      <c r="Q1191" s="58">
        <v>46202.895138888889</v>
      </c>
      <c r="S1191" s="21" t="s">
        <v>4811</v>
      </c>
      <c r="T1191" s="55" t="s">
        <v>2765</v>
      </c>
      <c r="V1191" s="53" t="s">
        <v>4812</v>
      </c>
      <c r="Y1191" t="s">
        <v>158</v>
      </c>
      <c r="Z1191" t="s">
        <v>70</v>
      </c>
    </row>
    <row r="1192" spans="1:26" ht="15" hidden="1" customHeight="1">
      <c r="A1192" s="60">
        <f>ROW() - ROW(Table1[[#Headers],[s]])</f>
        <v>1191</v>
      </c>
      <c r="B1192" s="52" t="s">
        <v>4813</v>
      </c>
      <c r="C1192" s="163">
        <v>46204</v>
      </c>
      <c r="D1192" s="52" t="s">
        <v>4814</v>
      </c>
      <c r="E1192" t="e" vm="276">
        <v>#VALUE!</v>
      </c>
      <c r="F1192" t="e" vm="25">
        <v>#VALUE!</v>
      </c>
      <c r="G1192" s="43" t="s">
        <v>4790</v>
      </c>
      <c r="H1192" t="s">
        <v>152</v>
      </c>
      <c r="I1192" t="s">
        <v>43</v>
      </c>
      <c r="J1192" s="18" t="s">
        <v>153</v>
      </c>
      <c r="K1192" t="s">
        <v>332</v>
      </c>
      <c r="L1192" s="44">
        <v>46202.657638888886</v>
      </c>
      <c r="M1192" s="55" t="s">
        <v>4815</v>
      </c>
      <c r="N1192" s="55" t="s">
        <v>4815</v>
      </c>
      <c r="O1192" s="44">
        <v>46203.5</v>
      </c>
      <c r="P1192" s="2">
        <v>46203.510416666664</v>
      </c>
      <c r="Q1192" s="58">
        <v>46203.51666666667</v>
      </c>
      <c r="S1192" s="21" t="s">
        <v>4816</v>
      </c>
      <c r="T1192" s="55" t="s">
        <v>2765</v>
      </c>
      <c r="V1192" s="53" t="s">
        <v>4817</v>
      </c>
      <c r="Y1192" t="s">
        <v>158</v>
      </c>
      <c r="Z1192" t="s">
        <v>70</v>
      </c>
    </row>
    <row r="1193" spans="1:26" ht="15" hidden="1" customHeight="1">
      <c r="A1193" s="60">
        <f>ROW() - ROW(Table1[[#Headers],[s]])</f>
        <v>1192</v>
      </c>
      <c r="B1193" s="19" t="s">
        <v>4818</v>
      </c>
      <c r="C1193" s="23" t="s">
        <v>60</v>
      </c>
      <c r="D1193" s="52" t="s">
        <v>4819</v>
      </c>
      <c r="E1193" t="e" vm="42">
        <v>#VALUE!</v>
      </c>
      <c r="F1193" t="e" vm="42">
        <v>#VALUE!</v>
      </c>
      <c r="G1193" s="5" t="s">
        <v>1057</v>
      </c>
      <c r="H1193" t="s">
        <v>747</v>
      </c>
      <c r="I1193" s="5" t="s">
        <v>60</v>
      </c>
      <c r="J1193" s="18" t="s">
        <v>253</v>
      </c>
      <c r="K1193" s="42" t="s">
        <v>4820</v>
      </c>
      <c r="L1193" s="44">
        <v>46202.580555555556</v>
      </c>
      <c r="M1193" s="55"/>
      <c r="N1193" s="55"/>
      <c r="O1193" s="56"/>
      <c r="Q1193" s="58">
        <v>46203.347222222219</v>
      </c>
      <c r="S1193" s="21" t="s">
        <v>4821</v>
      </c>
      <c r="T1193" s="55"/>
      <c r="V1193" s="53"/>
      <c r="Y1193" t="s">
        <v>179</v>
      </c>
      <c r="Z1193" t="s">
        <v>179</v>
      </c>
    </row>
    <row r="1194" spans="1:26" ht="15" hidden="1" customHeight="1">
      <c r="A1194" s="60">
        <f>ROW() - ROW(Table1[[#Headers],[s]])</f>
        <v>1193</v>
      </c>
      <c r="B1194" s="19" t="s">
        <v>4822</v>
      </c>
      <c r="C1194" s="23" t="s">
        <v>60</v>
      </c>
      <c r="D1194" s="52" t="s">
        <v>4823</v>
      </c>
      <c r="E1194" t="e" vm="110">
        <v>#VALUE!</v>
      </c>
      <c r="F1194" t="e" vm="49">
        <v>#VALUE!</v>
      </c>
      <c r="G1194" s="5" t="s">
        <v>1057</v>
      </c>
      <c r="H1194" t="s">
        <v>747</v>
      </c>
      <c r="I1194" s="5" t="s">
        <v>60</v>
      </c>
      <c r="J1194" s="18" t="s">
        <v>253</v>
      </c>
      <c r="K1194" s="42" t="s">
        <v>4824</v>
      </c>
      <c r="L1194" s="44">
        <v>46203.263888888891</v>
      </c>
      <c r="M1194" s="55"/>
      <c r="N1194" s="55"/>
      <c r="O1194" s="56"/>
      <c r="Q1194" s="58">
        <v>46203.427083333336</v>
      </c>
      <c r="S1194" s="21" t="s">
        <v>4825</v>
      </c>
      <c r="T1194" s="55"/>
      <c r="V1194" s="53"/>
      <c r="Y1194" t="s">
        <v>179</v>
      </c>
      <c r="Z1194" t="s">
        <v>179</v>
      </c>
    </row>
    <row r="1195" spans="1:26" ht="15" hidden="1" customHeight="1">
      <c r="A1195" s="60">
        <f>ROW() - ROW(Table1[[#Headers],[s]])</f>
        <v>1194</v>
      </c>
      <c r="B1195" s="19" t="s">
        <v>4826</v>
      </c>
      <c r="C1195" s="163">
        <v>46204</v>
      </c>
      <c r="D1195" s="52" t="s">
        <v>4827</v>
      </c>
      <c r="E1195" t="e" vm="209">
        <v>#VALUE!</v>
      </c>
      <c r="F1195" t="e" vm="12">
        <v>#VALUE!</v>
      </c>
      <c r="G1195" s="5" t="s">
        <v>1057</v>
      </c>
      <c r="H1195" t="s">
        <v>152</v>
      </c>
      <c r="I1195" t="s">
        <v>43</v>
      </c>
      <c r="J1195" s="18" t="s">
        <v>153</v>
      </c>
      <c r="K1195" t="s">
        <v>332</v>
      </c>
      <c r="L1195" s="44">
        <v>46203.350694444445</v>
      </c>
      <c r="M1195" s="55" t="s">
        <v>4759</v>
      </c>
      <c r="N1195" s="55" t="s">
        <v>4759</v>
      </c>
      <c r="O1195" s="44">
        <v>46203.416666666664</v>
      </c>
      <c r="P1195" s="44">
        <v>46203.4375</v>
      </c>
      <c r="Q1195" s="44">
        <v>46203.611111111109</v>
      </c>
      <c r="S1195" s="21" t="s">
        <v>4828</v>
      </c>
      <c r="T1195" s="55" t="s">
        <v>2765</v>
      </c>
      <c r="V1195" s="53" t="s">
        <v>4829</v>
      </c>
      <c r="Y1195" t="s">
        <v>158</v>
      </c>
      <c r="Z1195" t="s">
        <v>70</v>
      </c>
    </row>
    <row r="1196" spans="1:26" ht="15" hidden="1" customHeight="1">
      <c r="A1196" s="60">
        <f>ROW() - ROW(Table1[[#Headers],[s]])</f>
        <v>1195</v>
      </c>
      <c r="B1196" s="19" t="s">
        <v>4830</v>
      </c>
      <c r="C1196" s="163">
        <v>46204</v>
      </c>
      <c r="D1196" s="52" t="s">
        <v>4831</v>
      </c>
      <c r="E1196" t="e" vm="115">
        <v>#VALUE!</v>
      </c>
      <c r="F1196" t="e" vm="12">
        <v>#VALUE!</v>
      </c>
      <c r="G1196" s="5" t="s">
        <v>1057</v>
      </c>
      <c r="H1196" t="s">
        <v>152</v>
      </c>
      <c r="I1196" t="s">
        <v>43</v>
      </c>
      <c r="J1196" s="18" t="s">
        <v>153</v>
      </c>
      <c r="K1196" t="s">
        <v>332</v>
      </c>
      <c r="L1196" s="44">
        <v>46203.42083333333</v>
      </c>
      <c r="M1196" s="358" t="s">
        <v>53</v>
      </c>
      <c r="N1196" s="358" t="s">
        <v>53</v>
      </c>
      <c r="O1196" s="44">
        <v>46204.305555555555</v>
      </c>
      <c r="P1196" s="44">
        <v>46204.319444444445</v>
      </c>
      <c r="Q1196" s="44">
        <v>46204.40625</v>
      </c>
      <c r="S1196" s="21" t="s">
        <v>4832</v>
      </c>
      <c r="T1196" s="55" t="s">
        <v>516</v>
      </c>
      <c r="V1196" s="53" t="s">
        <v>4833</v>
      </c>
      <c r="Y1196" t="s">
        <v>158</v>
      </c>
      <c r="Z1196" t="s">
        <v>158</v>
      </c>
    </row>
    <row r="1197" spans="1:26" ht="15" hidden="1" customHeight="1">
      <c r="A1197" s="60">
        <f>ROW() - ROW(Table1[[#Headers],[s]])</f>
        <v>1196</v>
      </c>
      <c r="B1197" s="19" t="s">
        <v>4834</v>
      </c>
      <c r="C1197" s="163">
        <v>46204</v>
      </c>
      <c r="D1197" s="52" t="s">
        <v>4835</v>
      </c>
      <c r="E1197" t="e" vm="116">
        <v>#VALUE!</v>
      </c>
      <c r="F1197" t="e" vm="42">
        <v>#VALUE!</v>
      </c>
      <c r="G1197" s="5" t="s">
        <v>1057</v>
      </c>
      <c r="H1197" t="s">
        <v>152</v>
      </c>
      <c r="I1197" t="s">
        <v>43</v>
      </c>
      <c r="J1197" s="18" t="s">
        <v>153</v>
      </c>
      <c r="K1197" t="s">
        <v>332</v>
      </c>
      <c r="L1197" s="44">
        <v>46203.531944444447</v>
      </c>
      <c r="M1197" s="18" t="s">
        <v>3868</v>
      </c>
      <c r="N1197" s="18" t="s">
        <v>3868</v>
      </c>
      <c r="O1197" s="44">
        <v>46203.645833333336</v>
      </c>
      <c r="P1197" s="44">
        <v>46203.666666666664</v>
      </c>
      <c r="Q1197" s="44">
        <v>46203.678472222222</v>
      </c>
      <c r="S1197" s="21" t="s">
        <v>4836</v>
      </c>
      <c r="T1197" s="18" t="s">
        <v>164</v>
      </c>
      <c r="V1197" s="53" t="s">
        <v>4837</v>
      </c>
      <c r="Y1197" t="s">
        <v>158</v>
      </c>
      <c r="Z1197" t="s">
        <v>70</v>
      </c>
    </row>
    <row r="1198" spans="1:26" ht="15" hidden="1" customHeight="1">
      <c r="A1198" s="60">
        <f>ROW() - ROW(Table1[[#Headers],[s]])</f>
        <v>1197</v>
      </c>
      <c r="B1198" s="19" t="s">
        <v>4838</v>
      </c>
      <c r="C1198" s="163">
        <v>46174</v>
      </c>
      <c r="D1198" s="52" t="s">
        <v>4839</v>
      </c>
      <c r="E1198" t="e" vm="105">
        <v>#VALUE!</v>
      </c>
      <c r="F1198" t="e" vm="30">
        <v>#VALUE!</v>
      </c>
      <c r="G1198" s="5" t="s">
        <v>1057</v>
      </c>
      <c r="H1198" t="s">
        <v>747</v>
      </c>
      <c r="I1198" t="s">
        <v>43</v>
      </c>
      <c r="J1198" s="18" t="s">
        <v>253</v>
      </c>
      <c r="K1198" t="s">
        <v>4785</v>
      </c>
      <c r="L1198" s="44">
        <v>46203.534722222219</v>
      </c>
      <c r="M1198" s="55" t="s">
        <v>4815</v>
      </c>
      <c r="N1198" s="55" t="s">
        <v>4815</v>
      </c>
      <c r="O1198" s="44">
        <v>46203.625</v>
      </c>
      <c r="P1198" s="44">
        <v>46203.708333333336</v>
      </c>
      <c r="Q1198" s="44">
        <v>46203.8125</v>
      </c>
      <c r="S1198" s="21" t="s">
        <v>4840</v>
      </c>
      <c r="T1198" s="55" t="s">
        <v>4841</v>
      </c>
      <c r="V1198" s="53" t="s">
        <v>4842</v>
      </c>
      <c r="Y1198" t="s">
        <v>158</v>
      </c>
      <c r="Z1198" t="s">
        <v>158</v>
      </c>
    </row>
    <row r="1199" spans="1:26" ht="15" hidden="1" customHeight="1">
      <c r="A1199" s="60">
        <f>ROW() - ROW(Table1[[#Headers],[s]])</f>
        <v>1198</v>
      </c>
      <c r="B1199" s="19" t="s">
        <v>4843</v>
      </c>
      <c r="C1199" s="163">
        <v>46204</v>
      </c>
      <c r="D1199" s="52" t="s">
        <v>4844</v>
      </c>
      <c r="E1199" t="e" vm="298">
        <v>#VALUE!</v>
      </c>
      <c r="F1199" t="e" vm="10">
        <v>#VALUE!</v>
      </c>
      <c r="G1199" s="5" t="s">
        <v>1057</v>
      </c>
      <c r="H1199" t="s">
        <v>152</v>
      </c>
      <c r="I1199" t="s">
        <v>43</v>
      </c>
      <c r="J1199" s="18" t="s">
        <v>153</v>
      </c>
      <c r="K1199" t="s">
        <v>332</v>
      </c>
      <c r="L1199" s="44">
        <v>46203.547222222223</v>
      </c>
      <c r="M1199" s="18" t="s">
        <v>78</v>
      </c>
      <c r="N1199" s="55" t="s">
        <v>78</v>
      </c>
      <c r="O1199" s="44">
        <v>46203.708333333336</v>
      </c>
      <c r="P1199" s="44">
        <v>46203.71597222222</v>
      </c>
      <c r="Q1199" s="44">
        <v>46203.726388888892</v>
      </c>
      <c r="S1199" s="21" t="s">
        <v>4845</v>
      </c>
      <c r="T1199" s="55" t="s">
        <v>2765</v>
      </c>
      <c r="V1199" s="53" t="s">
        <v>4846</v>
      </c>
      <c r="Y1199" t="s">
        <v>158</v>
      </c>
      <c r="Z1199" t="s">
        <v>158</v>
      </c>
    </row>
    <row r="1200" spans="1:26" ht="15" hidden="1" customHeight="1">
      <c r="A1200" s="60">
        <f>ROW() - ROW(Table1[[#Headers],[s]])</f>
        <v>1199</v>
      </c>
      <c r="B1200" s="19" t="s">
        <v>4847</v>
      </c>
      <c r="C1200" s="181" t="s">
        <v>60</v>
      </c>
      <c r="D1200" s="52" t="s">
        <v>4848</v>
      </c>
      <c r="E1200" t="e" vm="209">
        <v>#VALUE!</v>
      </c>
      <c r="F1200" t="e" vm="12">
        <v>#VALUE!</v>
      </c>
      <c r="G1200" s="5" t="s">
        <v>1057</v>
      </c>
      <c r="H1200" t="s">
        <v>152</v>
      </c>
      <c r="I1200" s="5" t="s">
        <v>60</v>
      </c>
      <c r="J1200" s="18" t="s">
        <v>153</v>
      </c>
      <c r="K1200" s="42" t="s">
        <v>154</v>
      </c>
      <c r="L1200" s="44">
        <v>46203.623611111114</v>
      </c>
      <c r="M1200" s="55" t="s">
        <v>4759</v>
      </c>
      <c r="N1200" s="55" t="s">
        <v>4759</v>
      </c>
      <c r="O1200" s="56"/>
      <c r="Q1200" s="44">
        <v>46203.611111111109</v>
      </c>
      <c r="S1200" s="21" t="s">
        <v>4849</v>
      </c>
      <c r="T1200" s="55" t="s">
        <v>50</v>
      </c>
      <c r="V1200" s="21" t="s">
        <v>4849</v>
      </c>
      <c r="Y1200" t="s">
        <v>179</v>
      </c>
      <c r="Z1200" t="s">
        <v>179</v>
      </c>
    </row>
    <row r="1201" spans="1:26" ht="15.75" hidden="1" customHeight="1">
      <c r="A1201" s="60">
        <f>ROW() - ROW(Table1[[#Headers],[s]])</f>
        <v>1200</v>
      </c>
      <c r="B1201" s="19" t="s">
        <v>4850</v>
      </c>
      <c r="C1201" s="163">
        <v>46204</v>
      </c>
      <c r="D1201" s="52" t="s">
        <v>4851</v>
      </c>
      <c r="E1201" s="230" t="e" vm="62">
        <v>#VALUE!</v>
      </c>
      <c r="F1201" t="e" vm="26">
        <v>#VALUE!</v>
      </c>
      <c r="G1201" s="5" t="s">
        <v>1057</v>
      </c>
      <c r="H1201" t="s">
        <v>152</v>
      </c>
      <c r="I1201" t="s">
        <v>43</v>
      </c>
      <c r="J1201" s="18" t="s">
        <v>153</v>
      </c>
      <c r="K1201" t="s">
        <v>332</v>
      </c>
      <c r="L1201" s="44">
        <v>46203.67083333333</v>
      </c>
      <c r="M1201" s="55" t="s">
        <v>4852</v>
      </c>
      <c r="N1201" s="55" t="s">
        <v>4852</v>
      </c>
      <c r="O1201" s="44">
        <v>46203.958333333336</v>
      </c>
      <c r="P1201" s="44">
        <v>46203.961805555555</v>
      </c>
      <c r="Q1201" s="44">
        <v>46203.973611111112</v>
      </c>
      <c r="S1201" s="21" t="s">
        <v>4853</v>
      </c>
      <c r="T1201" s="55" t="s">
        <v>2765</v>
      </c>
      <c r="V1201" s="53" t="s">
        <v>4854</v>
      </c>
      <c r="Y1201" t="s">
        <v>158</v>
      </c>
      <c r="Z1201" t="s">
        <v>70</v>
      </c>
    </row>
    <row r="1202" spans="1:26" ht="15" hidden="1" customHeight="1">
      <c r="A1202" s="60">
        <f>ROW() - ROW(Table1[[#Headers],[s]])</f>
        <v>1201</v>
      </c>
      <c r="B1202" s="19" t="s">
        <v>4855</v>
      </c>
      <c r="C1202" s="163">
        <v>46204</v>
      </c>
      <c r="D1202" s="52" t="s">
        <v>4856</v>
      </c>
      <c r="E1202" t="e" vm="299">
        <v>#VALUE!</v>
      </c>
      <c r="F1202" t="e" vm="21">
        <v>#VALUE!</v>
      </c>
      <c r="G1202" s="5" t="s">
        <v>1057</v>
      </c>
      <c r="H1202" t="s">
        <v>152</v>
      </c>
      <c r="I1202" t="s">
        <v>43</v>
      </c>
      <c r="J1202" s="18" t="s">
        <v>153</v>
      </c>
      <c r="K1202" t="s">
        <v>332</v>
      </c>
      <c r="L1202" s="44">
        <v>46203.67291666667</v>
      </c>
      <c r="M1202" s="55" t="s">
        <v>39</v>
      </c>
      <c r="N1202" s="55" t="s">
        <v>39</v>
      </c>
      <c r="O1202" s="44">
        <v>46204.486111111109</v>
      </c>
      <c r="P1202" s="44">
        <v>46204.489583333336</v>
      </c>
      <c r="Q1202" s="44">
        <v>46204.494444444441</v>
      </c>
      <c r="S1202" s="21" t="s">
        <v>4857</v>
      </c>
      <c r="T1202" s="55" t="s">
        <v>2765</v>
      </c>
      <c r="V1202" s="53" t="s">
        <v>4858</v>
      </c>
      <c r="Y1202" t="s">
        <v>158</v>
      </c>
      <c r="Z1202" t="s">
        <v>70</v>
      </c>
    </row>
    <row r="1203" spans="1:26" ht="15" hidden="1" customHeight="1">
      <c r="A1203" s="60">
        <f>ROW() - ROW(Table1[[#Headers],[s]])</f>
        <v>1202</v>
      </c>
      <c r="B1203" s="19" t="s">
        <v>4859</v>
      </c>
      <c r="C1203" s="163">
        <v>46204</v>
      </c>
      <c r="D1203" s="52" t="s">
        <v>4860</v>
      </c>
      <c r="E1203" t="e" vm="120">
        <v>#VALUE!</v>
      </c>
      <c r="F1203" t="e" vm="12">
        <v>#VALUE!</v>
      </c>
      <c r="G1203" s="5" t="s">
        <v>1057</v>
      </c>
      <c r="H1203" t="s">
        <v>152</v>
      </c>
      <c r="I1203" t="s">
        <v>43</v>
      </c>
      <c r="J1203" s="18" t="s">
        <v>153</v>
      </c>
      <c r="K1203" t="s">
        <v>332</v>
      </c>
      <c r="L1203" s="44">
        <v>46203.67291666667</v>
      </c>
      <c r="M1203" s="55" t="s">
        <v>4759</v>
      </c>
      <c r="N1203" s="55" t="s">
        <v>4759</v>
      </c>
      <c r="O1203" s="44">
        <v>46204.416666666664</v>
      </c>
      <c r="P1203" s="44">
        <v>46204.458333333336</v>
      </c>
      <c r="Q1203" s="44">
        <v>46204.510416666664</v>
      </c>
      <c r="S1203" s="21" t="s">
        <v>4861</v>
      </c>
      <c r="T1203" s="55" t="s">
        <v>2765</v>
      </c>
      <c r="V1203" s="53" t="s">
        <v>4862</v>
      </c>
      <c r="Y1203" t="s">
        <v>158</v>
      </c>
      <c r="Z1203" t="s">
        <v>70</v>
      </c>
    </row>
    <row r="1204" spans="1:26" ht="15" hidden="1" customHeight="1">
      <c r="A1204" s="60">
        <f>ROW() - ROW(Table1[[#Headers],[s]])</f>
        <v>1203</v>
      </c>
      <c r="B1204" s="19" t="s">
        <v>4863</v>
      </c>
      <c r="C1204" s="163">
        <v>46204</v>
      </c>
      <c r="D1204" s="52" t="s">
        <v>4864</v>
      </c>
      <c r="E1204" t="e" vm="75">
        <v>#VALUE!</v>
      </c>
      <c r="F1204" t="e" vm="21">
        <v>#VALUE!</v>
      </c>
      <c r="G1204" s="5" t="s">
        <v>1057</v>
      </c>
      <c r="H1204" t="s">
        <v>152</v>
      </c>
      <c r="I1204" t="s">
        <v>43</v>
      </c>
      <c r="J1204" s="18" t="s">
        <v>153</v>
      </c>
      <c r="K1204" t="s">
        <v>332</v>
      </c>
      <c r="L1204" s="44">
        <v>46203.677083333336</v>
      </c>
      <c r="M1204" s="55" t="s">
        <v>39</v>
      </c>
      <c r="N1204" s="55" t="s">
        <v>39</v>
      </c>
      <c r="O1204" s="44">
        <v>46204.395833333336</v>
      </c>
      <c r="P1204" s="44">
        <v>46204.405555555553</v>
      </c>
      <c r="Q1204" s="44">
        <v>46204.472222222219</v>
      </c>
      <c r="S1204" s="21" t="s">
        <v>4865</v>
      </c>
      <c r="T1204" s="55" t="s">
        <v>653</v>
      </c>
      <c r="V1204" s="53" t="s">
        <v>4866</v>
      </c>
      <c r="Y1204" t="s">
        <v>158</v>
      </c>
      <c r="Z1204" t="s">
        <v>70</v>
      </c>
    </row>
    <row r="1205" spans="1:26" ht="15" hidden="1" customHeight="1">
      <c r="A1205" s="60">
        <f>ROW() - ROW(Table1[[#Headers],[s]])</f>
        <v>1204</v>
      </c>
      <c r="B1205" s="19" t="s">
        <v>4867</v>
      </c>
      <c r="C1205" s="163">
        <v>46204</v>
      </c>
      <c r="D1205" s="52" t="s">
        <v>4868</v>
      </c>
      <c r="E1205" t="e" vm="6">
        <v>#VALUE!</v>
      </c>
      <c r="F1205" t="e" vm="7">
        <v>#VALUE!</v>
      </c>
      <c r="G1205" s="5" t="s">
        <v>174</v>
      </c>
      <c r="H1205" t="s">
        <v>152</v>
      </c>
      <c r="J1205" s="18" t="s">
        <v>153</v>
      </c>
      <c r="K1205" t="s">
        <v>332</v>
      </c>
      <c r="L1205" s="44">
        <v>46203.680555555555</v>
      </c>
      <c r="M1205" s="55" t="s">
        <v>2185</v>
      </c>
      <c r="N1205" s="55" t="s">
        <v>2185</v>
      </c>
      <c r="O1205" s="44">
        <v>46204.333333333336</v>
      </c>
      <c r="P1205" s="44">
        <v>46204.354166666664</v>
      </c>
      <c r="Q1205" s="44">
        <v>46204.375</v>
      </c>
      <c r="S1205" s="21" t="s">
        <v>4869</v>
      </c>
      <c r="T1205" s="55"/>
      <c r="V1205" s="53" t="s">
        <v>4870</v>
      </c>
      <c r="Y1205" t="s">
        <v>158</v>
      </c>
      <c r="Z1205" t="s">
        <v>70</v>
      </c>
    </row>
    <row r="1206" spans="1:26" ht="15" hidden="1" customHeight="1">
      <c r="A1206" s="60">
        <f>ROW() - ROW(Table1[[#Headers],[s]])</f>
        <v>1205</v>
      </c>
      <c r="B1206" t="s">
        <v>4871</v>
      </c>
      <c r="C1206" s="163">
        <v>46204</v>
      </c>
      <c r="D1206" s="52" t="s">
        <v>4872</v>
      </c>
      <c r="E1206" t="e" vm="178">
        <v>#VALUE!</v>
      </c>
      <c r="F1206" t="e" vm="19">
        <v>#VALUE!</v>
      </c>
      <c r="G1206" s="5" t="s">
        <v>1057</v>
      </c>
      <c r="H1206" t="s">
        <v>152</v>
      </c>
      <c r="I1206" t="s">
        <v>43</v>
      </c>
      <c r="J1206" s="18" t="s">
        <v>153</v>
      </c>
      <c r="K1206" t="s">
        <v>332</v>
      </c>
      <c r="L1206" s="44">
        <v>46203.701388888891</v>
      </c>
      <c r="M1206" s="55" t="s">
        <v>4873</v>
      </c>
      <c r="N1206" s="55" t="s">
        <v>4873</v>
      </c>
      <c r="O1206" s="44">
        <v>46203.864583333336</v>
      </c>
      <c r="P1206" s="44">
        <v>46203.871527777781</v>
      </c>
      <c r="Q1206" s="44">
        <v>46203.895833333336</v>
      </c>
      <c r="S1206" s="21" t="s">
        <v>4874</v>
      </c>
      <c r="T1206" s="55" t="s">
        <v>2765</v>
      </c>
      <c r="V1206" s="53" t="s">
        <v>4875</v>
      </c>
      <c r="Y1206" t="s">
        <v>158</v>
      </c>
      <c r="Z1206" t="s">
        <v>70</v>
      </c>
    </row>
    <row r="1207" spans="1:26" ht="15" hidden="1" customHeight="1">
      <c r="A1207" s="60">
        <f>ROW() - ROW(Table1[[#Headers],[s]])</f>
        <v>1206</v>
      </c>
      <c r="B1207" t="s">
        <v>4876</v>
      </c>
      <c r="C1207" s="163">
        <v>46204</v>
      </c>
      <c r="D1207" s="52" t="s">
        <v>4877</v>
      </c>
      <c r="E1207" t="e" vm="223">
        <v>#VALUE!</v>
      </c>
      <c r="F1207" t="e" vm="26">
        <v>#VALUE!</v>
      </c>
      <c r="G1207" s="5" t="s">
        <v>1057</v>
      </c>
      <c r="H1207" t="s">
        <v>152</v>
      </c>
      <c r="I1207" t="s">
        <v>43</v>
      </c>
      <c r="J1207" s="18" t="s">
        <v>153</v>
      </c>
      <c r="K1207" t="s">
        <v>332</v>
      </c>
      <c r="L1207" s="44">
        <v>46203.73541666667</v>
      </c>
      <c r="M1207" s="55" t="s">
        <v>4852</v>
      </c>
      <c r="N1207" s="55" t="s">
        <v>4852</v>
      </c>
      <c r="O1207" s="44">
        <v>46203.864583333336</v>
      </c>
      <c r="P1207" s="44">
        <v>46203.871527777781</v>
      </c>
      <c r="Q1207" s="44">
        <v>46203.886111111111</v>
      </c>
      <c r="S1207" s="21" t="s">
        <v>4878</v>
      </c>
      <c r="T1207" s="55" t="s">
        <v>2765</v>
      </c>
      <c r="V1207" s="53" t="s">
        <v>4879</v>
      </c>
      <c r="Y1207" t="s">
        <v>158</v>
      </c>
      <c r="Z1207" t="s">
        <v>70</v>
      </c>
    </row>
    <row r="1208" spans="1:26" ht="15" hidden="1" customHeight="1">
      <c r="A1208" s="60">
        <f>ROW() - ROW(Table1[[#Headers],[s]])</f>
        <v>1207</v>
      </c>
      <c r="B1208" t="s">
        <v>4880</v>
      </c>
      <c r="C1208" s="163">
        <v>46204</v>
      </c>
      <c r="D1208" s="52" t="s">
        <v>4881</v>
      </c>
      <c r="E1208" t="e" vm="286">
        <v>#VALUE!</v>
      </c>
      <c r="F1208" t="e" vm="49">
        <v>#VALUE!</v>
      </c>
      <c r="G1208" s="5" t="s">
        <v>1057</v>
      </c>
      <c r="H1208" t="s">
        <v>152</v>
      </c>
      <c r="I1208" t="s">
        <v>43</v>
      </c>
      <c r="J1208" s="18" t="s">
        <v>153</v>
      </c>
      <c r="K1208" t="s">
        <v>332</v>
      </c>
      <c r="L1208" s="44">
        <v>46203.743055555555</v>
      </c>
      <c r="M1208" s="55" t="s">
        <v>1255</v>
      </c>
      <c r="N1208" s="55" t="s">
        <v>1255</v>
      </c>
      <c r="O1208" s="44">
        <v>46203.8125</v>
      </c>
      <c r="P1208" s="44">
        <v>46203.816666666666</v>
      </c>
      <c r="Q1208" s="44">
        <v>46203.890972222223</v>
      </c>
      <c r="S1208" s="21" t="s">
        <v>4882</v>
      </c>
      <c r="T1208" s="55" t="s">
        <v>4883</v>
      </c>
      <c r="V1208" s="164" t="s">
        <v>4884</v>
      </c>
      <c r="Y1208" t="s">
        <v>158</v>
      </c>
      <c r="Z1208" t="s">
        <v>70</v>
      </c>
    </row>
    <row r="1209" spans="1:26" ht="15" hidden="1" customHeight="1">
      <c r="A1209" s="60">
        <f>ROW() - ROW(Table1[[#Headers],[s]])</f>
        <v>1208</v>
      </c>
      <c r="B1209" t="s">
        <v>4885</v>
      </c>
      <c r="C1209" s="163">
        <v>46204</v>
      </c>
      <c r="D1209" s="52" t="s">
        <v>4886</v>
      </c>
      <c r="E1209" t="e" vm="170">
        <v>#VALUE!</v>
      </c>
      <c r="F1209" t="e" vm="2">
        <v>#VALUE!</v>
      </c>
      <c r="G1209" s="5" t="s">
        <v>1057</v>
      </c>
      <c r="H1209" t="s">
        <v>152</v>
      </c>
      <c r="I1209" t="s">
        <v>43</v>
      </c>
      <c r="J1209" s="18" t="s">
        <v>153</v>
      </c>
      <c r="K1209" t="s">
        <v>332</v>
      </c>
      <c r="L1209" s="44">
        <v>46203.796527777777</v>
      </c>
      <c r="M1209" s="55" t="s">
        <v>162</v>
      </c>
      <c r="N1209" s="55" t="s">
        <v>162</v>
      </c>
      <c r="O1209" s="44">
        <v>46203.875</v>
      </c>
      <c r="P1209" s="44">
        <v>46203.881944444445</v>
      </c>
      <c r="Q1209" s="44">
        <v>46203.915277777778</v>
      </c>
      <c r="S1209" s="21" t="s">
        <v>4887</v>
      </c>
      <c r="T1209" s="55" t="s">
        <v>2765</v>
      </c>
      <c r="V1209" s="53" t="s">
        <v>4888</v>
      </c>
      <c r="Y1209" t="s">
        <v>158</v>
      </c>
      <c r="Z1209" t="s">
        <v>70</v>
      </c>
    </row>
    <row r="1210" spans="1:26" ht="15" hidden="1" customHeight="1">
      <c r="A1210" s="60">
        <f>ROW() - ROW(Table1[[#Headers],[s]])</f>
        <v>1209</v>
      </c>
      <c r="B1210" t="s">
        <v>4889</v>
      </c>
      <c r="C1210" s="163">
        <v>46204</v>
      </c>
      <c r="D1210" s="52" t="s">
        <v>4890</v>
      </c>
      <c r="E1210" t="e" vm="162">
        <v>#VALUE!</v>
      </c>
      <c r="F1210" t="e" vm="22">
        <v>#VALUE!</v>
      </c>
      <c r="G1210" s="5" t="s">
        <v>174</v>
      </c>
      <c r="H1210" t="s">
        <v>747</v>
      </c>
      <c r="J1210" s="18" t="s">
        <v>253</v>
      </c>
      <c r="K1210" t="s">
        <v>332</v>
      </c>
      <c r="L1210" s="44">
        <v>46204.163888888892</v>
      </c>
      <c r="M1210" s="55" t="s">
        <v>72</v>
      </c>
      <c r="N1210" s="55" t="s">
        <v>72</v>
      </c>
      <c r="O1210" s="44">
        <v>46204.333333333336</v>
      </c>
      <c r="P1210" s="44">
        <v>46204.357638888891</v>
      </c>
      <c r="Q1210" s="44">
        <v>46204.56527777778</v>
      </c>
      <c r="S1210" s="21" t="s">
        <v>4891</v>
      </c>
      <c r="T1210" s="55" t="s">
        <v>516</v>
      </c>
      <c r="V1210" s="53" t="s">
        <v>4892</v>
      </c>
      <c r="Y1210" t="s">
        <v>158</v>
      </c>
      <c r="Z1210" t="s">
        <v>70</v>
      </c>
    </row>
    <row r="1211" spans="1:26" ht="15" hidden="1" customHeight="1">
      <c r="A1211" s="60">
        <f>ROW() - ROW(Table1[[#Headers],[s]])</f>
        <v>1210</v>
      </c>
      <c r="B1211" t="s">
        <v>4893</v>
      </c>
      <c r="C1211" s="181" t="s">
        <v>60</v>
      </c>
      <c r="D1211" s="52" t="s">
        <v>4894</v>
      </c>
      <c r="E1211" t="e" vm="291">
        <v>#VALUE!</v>
      </c>
      <c r="F1211" t="e" vm="1">
        <v>#VALUE!</v>
      </c>
      <c r="G1211" s="5" t="s">
        <v>174</v>
      </c>
      <c r="H1211" t="s">
        <v>747</v>
      </c>
      <c r="J1211" s="18" t="s">
        <v>253</v>
      </c>
      <c r="K1211" s="42" t="s">
        <v>548</v>
      </c>
      <c r="L1211" s="44">
        <v>46204.320138888892</v>
      </c>
      <c r="M1211" s="55" t="s">
        <v>4895</v>
      </c>
      <c r="N1211" s="55" t="s">
        <v>3736</v>
      </c>
      <c r="O1211" s="56"/>
      <c r="P1211" s="20"/>
      <c r="Q1211" s="58">
        <v>46204.613888888889</v>
      </c>
      <c r="S1211" s="21" t="s">
        <v>4896</v>
      </c>
      <c r="T1211" s="55" t="s">
        <v>50</v>
      </c>
      <c r="V1211" s="53" t="s">
        <v>4897</v>
      </c>
      <c r="Y1211" t="s">
        <v>179</v>
      </c>
      <c r="Z1211" t="s">
        <v>179</v>
      </c>
    </row>
    <row r="1212" spans="1:26" ht="15" hidden="1" customHeight="1">
      <c r="A1212" s="60">
        <f>ROW() - ROW(Table1[[#Headers],[s]])</f>
        <v>1211</v>
      </c>
      <c r="B1212" t="s">
        <v>4898</v>
      </c>
      <c r="C1212" s="163">
        <v>46204</v>
      </c>
      <c r="D1212" s="52" t="s">
        <v>4899</v>
      </c>
      <c r="E1212" t="e" vm="89">
        <v>#VALUE!</v>
      </c>
      <c r="F1212" t="e" vm="2">
        <v>#VALUE!</v>
      </c>
      <c r="G1212" s="5" t="s">
        <v>174</v>
      </c>
      <c r="H1212" t="s">
        <v>152</v>
      </c>
      <c r="J1212" s="18" t="s">
        <v>153</v>
      </c>
      <c r="K1212" t="s">
        <v>332</v>
      </c>
      <c r="L1212" s="44">
        <v>46204.489583333336</v>
      </c>
      <c r="M1212" s="55" t="s">
        <v>162</v>
      </c>
      <c r="N1212" s="55" t="s">
        <v>162</v>
      </c>
      <c r="O1212" s="44">
        <v>46204.53125</v>
      </c>
      <c r="P1212" s="44">
        <v>46204.572916666664</v>
      </c>
      <c r="Q1212" s="44">
        <v>46204.604166666664</v>
      </c>
      <c r="S1212" s="21" t="s">
        <v>4900</v>
      </c>
      <c r="T1212" s="55" t="s">
        <v>2765</v>
      </c>
      <c r="V1212" s="53" t="s">
        <v>4639</v>
      </c>
      <c r="Y1212" t="s">
        <v>158</v>
      </c>
      <c r="Z1212" t="s">
        <v>70</v>
      </c>
    </row>
    <row r="1213" spans="1:26" ht="15" hidden="1" customHeight="1">
      <c r="A1213" s="60">
        <f>ROW() - ROW(Table1[[#Headers],[s]])</f>
        <v>1212</v>
      </c>
      <c r="B1213" t="s">
        <v>4901</v>
      </c>
      <c r="C1213" s="163">
        <v>46204</v>
      </c>
      <c r="D1213" s="52" t="s">
        <v>4902</v>
      </c>
      <c r="E1213" t="e" vm="117">
        <v>#VALUE!</v>
      </c>
      <c r="F1213" t="e" vm="2">
        <v>#VALUE!</v>
      </c>
      <c r="G1213" s="5" t="s">
        <v>174</v>
      </c>
      <c r="H1213" t="s">
        <v>152</v>
      </c>
      <c r="J1213" s="18" t="s">
        <v>153</v>
      </c>
      <c r="K1213" t="s">
        <v>332</v>
      </c>
      <c r="L1213" s="44">
        <v>46204.513888888891</v>
      </c>
      <c r="M1213" s="55" t="s">
        <v>162</v>
      </c>
      <c r="N1213" s="55" t="s">
        <v>162</v>
      </c>
      <c r="O1213" s="44">
        <v>46204.572916666664</v>
      </c>
      <c r="P1213" s="44">
        <v>46204.597222222219</v>
      </c>
      <c r="Q1213" s="44">
        <v>46204.638888888891</v>
      </c>
      <c r="S1213" s="21" t="s">
        <v>4903</v>
      </c>
      <c r="T1213" s="55" t="s">
        <v>478</v>
      </c>
      <c r="V1213" s="53" t="s">
        <v>4904</v>
      </c>
      <c r="Y1213" t="s">
        <v>158</v>
      </c>
      <c r="Z1213" t="s">
        <v>70</v>
      </c>
    </row>
    <row r="1214" spans="1:26" ht="15" hidden="1" customHeight="1">
      <c r="A1214" s="60">
        <f>ROW() - ROW(Table1[[#Headers],[s]])</f>
        <v>1213</v>
      </c>
      <c r="B1214" t="s">
        <v>4905</v>
      </c>
      <c r="C1214" s="181" t="s">
        <v>60</v>
      </c>
      <c r="D1214" s="52" t="s">
        <v>4906</v>
      </c>
      <c r="E1214" t="e" vm="6">
        <v>#VALUE!</v>
      </c>
      <c r="F1214" t="e" vm="7">
        <v>#VALUE!</v>
      </c>
      <c r="G1214" s="5" t="s">
        <v>174</v>
      </c>
      <c r="H1214" t="s">
        <v>152</v>
      </c>
      <c r="J1214" s="18" t="s">
        <v>153</v>
      </c>
      <c r="K1214" s="42" t="s">
        <v>154</v>
      </c>
      <c r="L1214" s="44">
        <v>46204.518750000003</v>
      </c>
      <c r="M1214" s="55" t="s">
        <v>2185</v>
      </c>
      <c r="N1214" s="55" t="s">
        <v>2185</v>
      </c>
      <c r="O1214" s="44"/>
      <c r="P1214" s="44"/>
      <c r="Q1214" s="44"/>
      <c r="S1214" s="21" t="s">
        <v>4907</v>
      </c>
      <c r="T1214" s="55" t="s">
        <v>50</v>
      </c>
      <c r="V1214" s="21" t="s">
        <v>4907</v>
      </c>
      <c r="Y1214" t="s">
        <v>179</v>
      </c>
      <c r="Z1214" t="s">
        <v>179</v>
      </c>
    </row>
    <row r="1215" spans="1:26" ht="15" hidden="1" customHeight="1">
      <c r="A1215" s="60">
        <f>ROW() - ROW(Table1[[#Headers],[s]])</f>
        <v>1214</v>
      </c>
      <c r="B1215" t="s">
        <v>4908</v>
      </c>
      <c r="C1215" s="163">
        <v>46204</v>
      </c>
      <c r="D1215" s="52" t="s">
        <v>4909</v>
      </c>
      <c r="E1215" t="e" vm="110">
        <v>#VALUE!</v>
      </c>
      <c r="F1215" t="e" vm="49">
        <v>#VALUE!</v>
      </c>
      <c r="G1215" s="5" t="s">
        <v>174</v>
      </c>
      <c r="H1215" t="s">
        <v>152</v>
      </c>
      <c r="J1215" s="18" t="s">
        <v>153</v>
      </c>
      <c r="K1215" t="s">
        <v>332</v>
      </c>
      <c r="L1215" s="44">
        <v>46204.580555555556</v>
      </c>
      <c r="M1215" s="55" t="s">
        <v>3214</v>
      </c>
      <c r="N1215" s="55" t="s">
        <v>3214</v>
      </c>
      <c r="O1215" s="44">
        <v>46204.645833333336</v>
      </c>
      <c r="P1215" s="44">
        <v>46204.673611111109</v>
      </c>
      <c r="Q1215" s="44">
        <v>46204.736111111109</v>
      </c>
      <c r="S1215" s="21" t="s">
        <v>4910</v>
      </c>
      <c r="T1215" s="55" t="s">
        <v>478</v>
      </c>
      <c r="V1215" s="53" t="s">
        <v>4911</v>
      </c>
      <c r="Y1215" t="s">
        <v>158</v>
      </c>
      <c r="Z1215" t="s">
        <v>70</v>
      </c>
    </row>
    <row r="1216" spans="1:26" ht="15" hidden="1" customHeight="1">
      <c r="A1216" s="60">
        <f>ROW() - ROW(Table1[[#Headers],[s]])</f>
        <v>1215</v>
      </c>
      <c r="B1216" t="s">
        <v>4912</v>
      </c>
      <c r="C1216" s="163">
        <v>46204</v>
      </c>
      <c r="D1216" s="52" t="s">
        <v>4913</v>
      </c>
      <c r="E1216" t="e" vm="161">
        <v>#VALUE!</v>
      </c>
      <c r="F1216" t="e" vm="39">
        <v>#VALUE!</v>
      </c>
      <c r="G1216" s="5" t="s">
        <v>174</v>
      </c>
      <c r="H1216" t="s">
        <v>747</v>
      </c>
      <c r="J1216" s="18" t="s">
        <v>253</v>
      </c>
      <c r="K1216" t="s">
        <v>4914</v>
      </c>
      <c r="L1216" s="44">
        <v>46204.582638888889</v>
      </c>
      <c r="M1216" s="55" t="s">
        <v>4915</v>
      </c>
      <c r="N1216" s="55" t="s">
        <v>4915</v>
      </c>
      <c r="O1216" s="44">
        <v>46204.645833333336</v>
      </c>
      <c r="P1216" s="44">
        <v>46204.666666666664</v>
      </c>
      <c r="Q1216" s="44">
        <v>46204.8125</v>
      </c>
      <c r="S1216" s="21" t="s">
        <v>473</v>
      </c>
      <c r="T1216" s="55" t="s">
        <v>516</v>
      </c>
      <c r="V1216" s="53" t="s">
        <v>4916</v>
      </c>
      <c r="Y1216" t="s">
        <v>158</v>
      </c>
      <c r="Z1216" t="s">
        <v>158</v>
      </c>
    </row>
    <row r="1217" spans="1:26" ht="15" hidden="1" customHeight="1">
      <c r="A1217" s="60">
        <f>ROW() - ROW(Table1[[#Headers],[s]])</f>
        <v>1216</v>
      </c>
      <c r="B1217" t="s">
        <v>4917</v>
      </c>
      <c r="C1217" s="163">
        <v>46235</v>
      </c>
      <c r="D1217" s="52" t="s">
        <v>4918</v>
      </c>
      <c r="E1217" t="e" vm="79">
        <v>#VALUE!</v>
      </c>
      <c r="F1217" t="e" vm="25">
        <v>#VALUE!</v>
      </c>
      <c r="G1217" s="5" t="s">
        <v>174</v>
      </c>
      <c r="H1217" t="s">
        <v>152</v>
      </c>
      <c r="J1217" s="18" t="s">
        <v>153</v>
      </c>
      <c r="K1217" t="s">
        <v>332</v>
      </c>
      <c r="L1217" s="44">
        <v>46204.673611111109</v>
      </c>
      <c r="M1217" s="55" t="s">
        <v>72</v>
      </c>
      <c r="N1217" s="55" t="s">
        <v>72</v>
      </c>
      <c r="O1217" s="44">
        <v>46204.715277777781</v>
      </c>
      <c r="P1217" s="44">
        <v>46204.756944444445</v>
      </c>
      <c r="Q1217" s="44">
        <v>46204.78125</v>
      </c>
      <c r="S1217" s="21" t="s">
        <v>4919</v>
      </c>
      <c r="T1217" s="55" t="s">
        <v>478</v>
      </c>
      <c r="V1217" s="53" t="s">
        <v>4920</v>
      </c>
      <c r="Y1217" t="s">
        <v>158</v>
      </c>
      <c r="Z1217" t="s">
        <v>70</v>
      </c>
    </row>
    <row r="1218" spans="1:26" ht="15" hidden="1" customHeight="1">
      <c r="A1218" s="60">
        <f>ROW() - ROW(Table1[[#Headers],[s]])</f>
        <v>1217</v>
      </c>
      <c r="B1218" t="s">
        <v>2641</v>
      </c>
      <c r="C1218" s="163">
        <v>46204</v>
      </c>
      <c r="D1218" s="182" t="s">
        <v>4921</v>
      </c>
      <c r="E1218" t="e" vm="9">
        <v>#VALUE!</v>
      </c>
      <c r="F1218" t="e" vm="10">
        <v>#VALUE!</v>
      </c>
      <c r="G1218" s="5" t="s">
        <v>174</v>
      </c>
      <c r="H1218" t="s">
        <v>152</v>
      </c>
      <c r="J1218" s="18" t="s">
        <v>153</v>
      </c>
      <c r="K1218" t="s">
        <v>332</v>
      </c>
      <c r="L1218" s="44">
        <v>46204.668055555558</v>
      </c>
      <c r="M1218" s="55" t="s">
        <v>78</v>
      </c>
      <c r="N1218" s="55" t="s">
        <v>78</v>
      </c>
      <c r="O1218" s="44">
        <v>46204.715277777781</v>
      </c>
      <c r="P1218" s="44">
        <v>46204.756944444445</v>
      </c>
      <c r="Q1218" s="44">
        <v>46204.770833333336</v>
      </c>
      <c r="S1218" s="21" t="s">
        <v>4922</v>
      </c>
      <c r="T1218" s="55" t="s">
        <v>478</v>
      </c>
      <c r="V1218" s="53" t="s">
        <v>183</v>
      </c>
      <c r="Y1218" t="s">
        <v>158</v>
      </c>
      <c r="Z1218" t="s">
        <v>70</v>
      </c>
    </row>
    <row r="1219" spans="1:26" ht="15" hidden="1" customHeight="1">
      <c r="A1219" s="60">
        <f>ROW() - ROW(Table1[[#Headers],[s]])</f>
        <v>1218</v>
      </c>
      <c r="B1219" t="s">
        <v>4923</v>
      </c>
      <c r="C1219" s="163">
        <v>46204</v>
      </c>
      <c r="D1219" s="52" t="s">
        <v>4924</v>
      </c>
      <c r="E1219" t="e" vm="246">
        <v>#VALUE!</v>
      </c>
      <c r="F1219" t="e" vm="12">
        <v>#VALUE!</v>
      </c>
      <c r="G1219" s="5" t="s">
        <v>200</v>
      </c>
      <c r="H1219" t="s">
        <v>152</v>
      </c>
      <c r="I1219" t="s">
        <v>1221</v>
      </c>
      <c r="J1219" s="18" t="s">
        <v>153</v>
      </c>
      <c r="K1219" t="s">
        <v>154</v>
      </c>
      <c r="L1219" s="44">
        <v>46204.669444444444</v>
      </c>
      <c r="M1219" s="55" t="s">
        <v>72</v>
      </c>
      <c r="N1219" s="55" t="s">
        <v>72</v>
      </c>
      <c r="O1219" s="56">
        <v>46205.333333333336</v>
      </c>
      <c r="P1219" s="20">
        <v>46205.354166666664</v>
      </c>
      <c r="Q1219" s="58">
        <v>46205.395833333336</v>
      </c>
      <c r="S1219" s="21" t="s">
        <v>4925</v>
      </c>
      <c r="T1219" s="55" t="s">
        <v>50</v>
      </c>
      <c r="V1219" s="53" t="s">
        <v>4925</v>
      </c>
      <c r="Y1219" t="s">
        <v>203</v>
      </c>
      <c r="Z1219" t="s">
        <v>70</v>
      </c>
    </row>
    <row r="1220" spans="1:26" ht="15" hidden="1" customHeight="1">
      <c r="A1220" s="60">
        <f>ROW() - ROW(Table1[[#Headers],[s]])</f>
        <v>1219</v>
      </c>
      <c r="B1220" t="s">
        <v>4926</v>
      </c>
      <c r="C1220" s="163">
        <v>46204</v>
      </c>
      <c r="D1220" s="182" t="s">
        <v>4927</v>
      </c>
      <c r="E1220" t="e" vm="80">
        <v>#VALUE!</v>
      </c>
      <c r="F1220" t="e" vm="10">
        <v>#VALUE!</v>
      </c>
      <c r="G1220" s="5" t="s">
        <v>174</v>
      </c>
      <c r="H1220" t="s">
        <v>152</v>
      </c>
      <c r="J1220" s="18" t="s">
        <v>153</v>
      </c>
      <c r="K1220" t="s">
        <v>332</v>
      </c>
      <c r="L1220" s="44">
        <v>46204.679166666669</v>
      </c>
      <c r="M1220" s="55" t="s">
        <v>78</v>
      </c>
      <c r="N1220" s="55" t="s">
        <v>78</v>
      </c>
      <c r="O1220" s="44">
        <v>46204.722222222219</v>
      </c>
      <c r="P1220" s="44">
        <v>46204.736111111109</v>
      </c>
      <c r="Q1220" s="44">
        <v>46204.770833333336</v>
      </c>
      <c r="S1220" s="21" t="s">
        <v>4928</v>
      </c>
      <c r="T1220" s="55" t="s">
        <v>478</v>
      </c>
      <c r="V1220" s="53" t="s">
        <v>4929</v>
      </c>
      <c r="Y1220" t="s">
        <v>158</v>
      </c>
      <c r="Z1220" t="s">
        <v>70</v>
      </c>
    </row>
    <row r="1221" spans="1:26" ht="15" hidden="1" customHeight="1">
      <c r="A1221" s="60">
        <f>ROW() - ROW(Table1[[#Headers],[s]])</f>
        <v>1220</v>
      </c>
      <c r="B1221" t="s">
        <v>4930</v>
      </c>
      <c r="C1221" s="163">
        <v>46204</v>
      </c>
      <c r="D1221" s="52" t="s">
        <v>4931</v>
      </c>
      <c r="E1221" t="e" vm="272">
        <v>#VALUE!</v>
      </c>
      <c r="F1221" t="e" vm="40">
        <v>#VALUE!</v>
      </c>
      <c r="G1221" s="5" t="s">
        <v>174</v>
      </c>
      <c r="H1221" t="s">
        <v>152</v>
      </c>
      <c r="J1221" s="18" t="s">
        <v>153</v>
      </c>
      <c r="K1221" t="s">
        <v>332</v>
      </c>
      <c r="L1221" s="44">
        <v>46204.628472222219</v>
      </c>
      <c r="M1221" s="55" t="s">
        <v>39</v>
      </c>
      <c r="N1221" s="55" t="s">
        <v>39</v>
      </c>
      <c r="O1221" s="44">
        <v>46204.666666666664</v>
      </c>
      <c r="P1221" s="44">
        <v>46204.6875</v>
      </c>
      <c r="Q1221" s="44">
        <v>46204.75</v>
      </c>
      <c r="S1221" s="21" t="s">
        <v>3010</v>
      </c>
      <c r="T1221" s="55" t="s">
        <v>2765</v>
      </c>
      <c r="V1221" s="53" t="s">
        <v>3012</v>
      </c>
      <c r="Y1221" t="s">
        <v>158</v>
      </c>
      <c r="Z1221" t="s">
        <v>70</v>
      </c>
    </row>
    <row r="1222" spans="1:26" ht="15" hidden="1" customHeight="1">
      <c r="A1222" s="60">
        <f>ROW() - ROW(Table1[[#Headers],[s]])</f>
        <v>1221</v>
      </c>
      <c r="B1222" t="s">
        <v>4932</v>
      </c>
      <c r="C1222" s="163">
        <v>46204</v>
      </c>
      <c r="D1222" s="182" t="s">
        <v>4933</v>
      </c>
      <c r="E1222" t="e" vm="38">
        <v>#VALUE!</v>
      </c>
      <c r="F1222" t="e" vm="10">
        <v>#VALUE!</v>
      </c>
      <c r="G1222" s="5" t="s">
        <v>174</v>
      </c>
      <c r="H1222" t="s">
        <v>152</v>
      </c>
      <c r="J1222" s="18" t="s">
        <v>153</v>
      </c>
      <c r="K1222" t="s">
        <v>332</v>
      </c>
      <c r="L1222" s="44">
        <v>46204.6875</v>
      </c>
      <c r="M1222" s="55" t="s">
        <v>78</v>
      </c>
      <c r="N1222" s="55" t="s">
        <v>78</v>
      </c>
      <c r="O1222" s="44">
        <v>46204.729166666664</v>
      </c>
      <c r="P1222" s="44">
        <v>46204.770833333336</v>
      </c>
      <c r="Q1222" s="44">
        <v>46204.8125</v>
      </c>
      <c r="S1222" s="21" t="s">
        <v>4934</v>
      </c>
      <c r="T1222" s="55" t="s">
        <v>2765</v>
      </c>
      <c r="V1222" s="53" t="s">
        <v>4746</v>
      </c>
      <c r="Y1222" t="s">
        <v>158</v>
      </c>
      <c r="Z1222" t="s">
        <v>70</v>
      </c>
    </row>
    <row r="1223" spans="1:26" ht="15" hidden="1" customHeight="1">
      <c r="A1223" s="60">
        <f>ROW() - ROW(Table1[[#Headers],[s]])</f>
        <v>1222</v>
      </c>
      <c r="B1223" t="s">
        <v>4935</v>
      </c>
      <c r="C1223" s="163">
        <v>46204</v>
      </c>
      <c r="D1223" s="182" t="s">
        <v>4936</v>
      </c>
      <c r="E1223" t="e" vm="9">
        <v>#VALUE!</v>
      </c>
      <c r="F1223" t="e" vm="10">
        <v>#VALUE!</v>
      </c>
      <c r="G1223" s="5" t="s">
        <v>174</v>
      </c>
      <c r="H1223" t="s">
        <v>152</v>
      </c>
      <c r="J1223" s="18" t="s">
        <v>153</v>
      </c>
      <c r="K1223" t="s">
        <v>332</v>
      </c>
      <c r="L1223" s="44">
        <v>46204.695138888892</v>
      </c>
      <c r="M1223" s="55" t="s">
        <v>78</v>
      </c>
      <c r="N1223" s="55" t="s">
        <v>78</v>
      </c>
      <c r="O1223" s="44">
        <v>46204.756944444445</v>
      </c>
      <c r="P1223" s="44">
        <v>46204.777777777781</v>
      </c>
      <c r="Q1223" s="44">
        <v>46204.815972222219</v>
      </c>
      <c r="S1223" s="21" t="s">
        <v>4937</v>
      </c>
      <c r="T1223" s="55" t="s">
        <v>478</v>
      </c>
      <c r="V1223" s="53" t="s">
        <v>4746</v>
      </c>
      <c r="Y1223" t="s">
        <v>158</v>
      </c>
      <c r="Z1223" t="s">
        <v>70</v>
      </c>
    </row>
    <row r="1224" spans="1:26" ht="15" hidden="1" customHeight="1">
      <c r="A1224" s="60">
        <f>ROW() - ROW(Table1[[#Headers],[s]])</f>
        <v>1223</v>
      </c>
      <c r="B1224" t="s">
        <v>4938</v>
      </c>
      <c r="C1224" s="163">
        <v>46204</v>
      </c>
      <c r="D1224" s="182" t="s">
        <v>4939</v>
      </c>
      <c r="E1224" t="e" vm="206">
        <v>#VALUE!</v>
      </c>
      <c r="F1224" t="e" vm="10">
        <v>#VALUE!</v>
      </c>
      <c r="G1224" s="5" t="s">
        <v>174</v>
      </c>
      <c r="H1224" t="s">
        <v>152</v>
      </c>
      <c r="J1224" s="18" t="s">
        <v>153</v>
      </c>
      <c r="K1224" t="s">
        <v>332</v>
      </c>
      <c r="L1224" s="44">
        <v>46204.696527777778</v>
      </c>
      <c r="M1224" s="55" t="s">
        <v>78</v>
      </c>
      <c r="N1224" s="55" t="s">
        <v>78</v>
      </c>
      <c r="O1224" s="44">
        <v>46204.729166666664</v>
      </c>
      <c r="P1224" s="44">
        <v>46204.743055555555</v>
      </c>
      <c r="Q1224" s="44">
        <v>46204.784722222219</v>
      </c>
      <c r="S1224" s="21" t="s">
        <v>4940</v>
      </c>
      <c r="T1224" s="55" t="s">
        <v>478</v>
      </c>
      <c r="V1224" s="53" t="s">
        <v>4941</v>
      </c>
      <c r="Y1224" t="s">
        <v>158</v>
      </c>
      <c r="Z1224" t="s">
        <v>70</v>
      </c>
    </row>
    <row r="1225" spans="1:26" ht="15" hidden="1" customHeight="1">
      <c r="A1225" s="60">
        <f>ROW() - ROW(Table1[[#Headers],[s]])</f>
        <v>1224</v>
      </c>
      <c r="B1225" t="s">
        <v>4942</v>
      </c>
      <c r="C1225" s="163">
        <v>46204</v>
      </c>
      <c r="D1225" s="52" t="s">
        <v>4943</v>
      </c>
      <c r="E1225" t="e" vm="193">
        <v>#VALUE!</v>
      </c>
      <c r="F1225" t="e" vm="19">
        <v>#VALUE!</v>
      </c>
      <c r="G1225" s="5" t="s">
        <v>200</v>
      </c>
      <c r="H1225" t="s">
        <v>152</v>
      </c>
      <c r="I1225" t="s">
        <v>1221</v>
      </c>
      <c r="J1225" s="18" t="s">
        <v>153</v>
      </c>
      <c r="K1225" s="60" t="s">
        <v>154</v>
      </c>
      <c r="L1225" s="44">
        <v>46204.699305555558</v>
      </c>
      <c r="M1225" s="55" t="s">
        <v>4944</v>
      </c>
      <c r="N1225" s="55" t="s">
        <v>4944</v>
      </c>
      <c r="O1225" s="56">
        <v>46205.5</v>
      </c>
      <c r="P1225" s="20">
        <v>46205.5</v>
      </c>
      <c r="Q1225" s="58">
        <v>46205.520833333336</v>
      </c>
      <c r="S1225" s="21" t="s">
        <v>4945</v>
      </c>
      <c r="T1225" s="55" t="s">
        <v>50</v>
      </c>
      <c r="V1225" s="53" t="s">
        <v>2310</v>
      </c>
      <c r="Y1225" t="s">
        <v>203</v>
      </c>
      <c r="Z1225" t="s">
        <v>70</v>
      </c>
    </row>
    <row r="1226" spans="1:26" ht="15" hidden="1" customHeight="1">
      <c r="A1226" s="60">
        <f>ROW() - ROW(Table1[[#Headers],[s]])</f>
        <v>1225</v>
      </c>
      <c r="B1226" t="s">
        <v>4946</v>
      </c>
      <c r="C1226" s="163">
        <v>46204</v>
      </c>
      <c r="D1226" s="52" t="s">
        <v>4947</v>
      </c>
      <c r="E1226" t="e" vm="269">
        <v>#VALUE!</v>
      </c>
      <c r="F1226" t="e" vm="2">
        <v>#VALUE!</v>
      </c>
      <c r="G1226" s="5" t="s">
        <v>200</v>
      </c>
      <c r="H1226" t="s">
        <v>245</v>
      </c>
      <c r="J1226" s="18" t="s">
        <v>253</v>
      </c>
      <c r="K1226" t="s">
        <v>4948</v>
      </c>
      <c r="L1226" s="44">
        <v>46205.105555555558</v>
      </c>
      <c r="M1226" s="55" t="s">
        <v>162</v>
      </c>
      <c r="N1226" s="55" t="s">
        <v>4949</v>
      </c>
      <c r="O1226" s="56">
        <v>46205.333333333336</v>
      </c>
      <c r="P1226" s="20">
        <v>46205.354166666664</v>
      </c>
      <c r="Q1226" s="58">
        <v>46205.808333333334</v>
      </c>
      <c r="S1226" s="21" t="s">
        <v>4950</v>
      </c>
      <c r="T1226" s="55" t="s">
        <v>50</v>
      </c>
      <c r="V1226" s="53" t="s">
        <v>4951</v>
      </c>
      <c r="Y1226" t="s">
        <v>52</v>
      </c>
      <c r="Z1226" t="s">
        <v>158</v>
      </c>
    </row>
    <row r="1227" spans="1:26" ht="15" hidden="1" customHeight="1">
      <c r="A1227" s="60">
        <f>ROW() - ROW(Table1[[#Headers],[s]])</f>
        <v>1226</v>
      </c>
      <c r="B1227" t="s">
        <v>4952</v>
      </c>
      <c r="C1227" s="163">
        <v>46204</v>
      </c>
      <c r="D1227" s="52" t="s">
        <v>4953</v>
      </c>
      <c r="E1227" t="e" vm="173">
        <v>#VALUE!</v>
      </c>
      <c r="F1227" t="e" vm="42">
        <v>#VALUE!</v>
      </c>
      <c r="G1227" s="43" t="s">
        <v>200</v>
      </c>
      <c r="H1227" t="s">
        <v>152</v>
      </c>
      <c r="I1227" t="s">
        <v>1221</v>
      </c>
      <c r="J1227" s="18" t="s">
        <v>153</v>
      </c>
      <c r="K1227" s="42" t="s">
        <v>371</v>
      </c>
      <c r="L1227" s="44">
        <v>46205.383333333331</v>
      </c>
      <c r="M1227" s="55" t="s">
        <v>45</v>
      </c>
      <c r="N1227" s="55" t="s">
        <v>45</v>
      </c>
      <c r="O1227" s="56">
        <v>46205.75</v>
      </c>
      <c r="P1227" s="2">
        <v>46205.75</v>
      </c>
      <c r="Q1227" s="58">
        <v>46205.791666666664</v>
      </c>
      <c r="S1227" s="21" t="s">
        <v>2520</v>
      </c>
      <c r="T1227" s="55" t="s">
        <v>478</v>
      </c>
      <c r="V1227" s="53" t="s">
        <v>239</v>
      </c>
      <c r="Y1227" t="s">
        <v>203</v>
      </c>
      <c r="Z1227" t="s">
        <v>158</v>
      </c>
    </row>
    <row r="1228" spans="1:26" ht="15" hidden="1" customHeight="1">
      <c r="A1228" s="60">
        <f>ROW() - ROW(Table1[[#Headers],[s]])</f>
        <v>1227</v>
      </c>
      <c r="B1228" t="s">
        <v>4954</v>
      </c>
      <c r="C1228" s="163">
        <v>46204</v>
      </c>
      <c r="D1228" s="52" t="s">
        <v>4955</v>
      </c>
      <c r="E1228" t="e" vm="93">
        <v>#VALUE!</v>
      </c>
      <c r="F1228" t="e" vm="12">
        <v>#VALUE!</v>
      </c>
      <c r="G1228" s="43" t="s">
        <v>36</v>
      </c>
      <c r="H1228" t="s">
        <v>152</v>
      </c>
      <c r="I1228" t="s">
        <v>43</v>
      </c>
      <c r="J1228" s="18" t="s">
        <v>153</v>
      </c>
      <c r="K1228" t="s">
        <v>332</v>
      </c>
      <c r="L1228" s="44">
        <v>46205.503472222219</v>
      </c>
      <c r="M1228" s="55" t="s">
        <v>55</v>
      </c>
      <c r="N1228" s="55" t="s">
        <v>55</v>
      </c>
      <c r="O1228" s="56"/>
      <c r="Q1228" s="58">
        <v>46205.512499999997</v>
      </c>
      <c r="S1228" s="21" t="s">
        <v>3599</v>
      </c>
      <c r="T1228" s="55" t="s">
        <v>478</v>
      </c>
      <c r="V1228" s="53" t="s">
        <v>4956</v>
      </c>
      <c r="Y1228" t="s">
        <v>158</v>
      </c>
      <c r="Z1228" t="s">
        <v>70</v>
      </c>
    </row>
    <row r="1229" spans="1:26" ht="15" hidden="1" customHeight="1">
      <c r="A1229" s="17">
        <f>ROW() - ROW(Table1[[#Headers],[s]])</f>
        <v>1228</v>
      </c>
      <c r="B1229" t="s">
        <v>4957</v>
      </c>
      <c r="C1229" s="181" t="s">
        <v>60</v>
      </c>
      <c r="D1229" s="19" t="s">
        <v>4958</v>
      </c>
      <c r="E1229" t="e" vm="118">
        <v>#VALUE!</v>
      </c>
      <c r="F1229" t="e" vm="25">
        <v>#VALUE!</v>
      </c>
      <c r="G1229" s="43" t="s">
        <v>200</v>
      </c>
      <c r="H1229" t="s">
        <v>152</v>
      </c>
      <c r="J1229" s="18" t="s">
        <v>153</v>
      </c>
      <c r="K1229" s="42" t="s">
        <v>154</v>
      </c>
      <c r="M1229" s="18" t="s">
        <v>179</v>
      </c>
      <c r="N1229" s="18" t="s">
        <v>179</v>
      </c>
      <c r="O1229" s="18" t="s">
        <v>179</v>
      </c>
      <c r="P1229" s="18" t="s">
        <v>179</v>
      </c>
      <c r="Q1229" s="18" t="s">
        <v>179</v>
      </c>
      <c r="R1229" s="18" t="s">
        <v>179</v>
      </c>
      <c r="S1229" t="s">
        <v>4959</v>
      </c>
      <c r="T1229" s="18" t="s">
        <v>179</v>
      </c>
      <c r="U1229" s="18" t="s">
        <v>179</v>
      </c>
      <c r="V1229" s="21" t="s">
        <v>179</v>
      </c>
      <c r="W1229" s="18" t="s">
        <v>179</v>
      </c>
      <c r="X1229" s="18" t="s">
        <v>179</v>
      </c>
      <c r="Y1229" s="18" t="s">
        <v>179</v>
      </c>
      <c r="Z1229" s="18" t="s">
        <v>179</v>
      </c>
    </row>
    <row r="1230" spans="1:26" ht="15" hidden="1" customHeight="1">
      <c r="A1230" s="17">
        <f>ROW() - ROW(Table1[[#Headers],[s]])</f>
        <v>1229</v>
      </c>
      <c r="B1230" t="s">
        <v>4960</v>
      </c>
      <c r="C1230" s="181" t="s">
        <v>60</v>
      </c>
      <c r="D1230" s="19" t="s">
        <v>4961</v>
      </c>
      <c r="E1230" t="e" vm="86">
        <v>#VALUE!</v>
      </c>
      <c r="F1230" t="e" vm="35">
        <v>#VALUE!</v>
      </c>
      <c r="G1230" s="43" t="s">
        <v>200</v>
      </c>
      <c r="H1230" t="s">
        <v>152</v>
      </c>
      <c r="J1230" s="18" t="s">
        <v>153</v>
      </c>
      <c r="K1230" s="42" t="s">
        <v>154</v>
      </c>
      <c r="M1230" s="18" t="s">
        <v>179</v>
      </c>
      <c r="N1230" s="18" t="s">
        <v>179</v>
      </c>
      <c r="O1230" s="18" t="s">
        <v>179</v>
      </c>
      <c r="P1230" s="18" t="s">
        <v>179</v>
      </c>
      <c r="Q1230" s="18" t="s">
        <v>179</v>
      </c>
      <c r="R1230" s="18" t="s">
        <v>179</v>
      </c>
      <c r="S1230" t="s">
        <v>4962</v>
      </c>
      <c r="T1230" s="18" t="s">
        <v>179</v>
      </c>
      <c r="U1230" s="18" t="s">
        <v>179</v>
      </c>
      <c r="V1230" s="21" t="s">
        <v>179</v>
      </c>
      <c r="W1230" s="18" t="s">
        <v>179</v>
      </c>
      <c r="X1230" s="18" t="s">
        <v>179</v>
      </c>
      <c r="Y1230" s="18" t="s">
        <v>179</v>
      </c>
      <c r="Z1230" s="18" t="s">
        <v>179</v>
      </c>
    </row>
    <row r="1231" spans="1:26" ht="15" hidden="1" customHeight="1">
      <c r="A1231" s="17">
        <f>ROW() - ROW(Table1[[#Headers],[s]])</f>
        <v>1230</v>
      </c>
      <c r="B1231" t="s">
        <v>4963</v>
      </c>
      <c r="C1231" s="272">
        <v>46204</v>
      </c>
      <c r="D1231" s="19" t="s">
        <v>4964</v>
      </c>
      <c r="E1231" t="e" vm="86">
        <v>#VALUE!</v>
      </c>
      <c r="F1231" t="e" vm="35">
        <v>#VALUE!</v>
      </c>
      <c r="G1231" s="43" t="s">
        <v>200</v>
      </c>
      <c r="H1231" t="s">
        <v>152</v>
      </c>
      <c r="I1231" t="s">
        <v>1221</v>
      </c>
      <c r="J1231" s="18" t="s">
        <v>153</v>
      </c>
      <c r="K1231" t="s">
        <v>371</v>
      </c>
      <c r="L1231" s="20">
        <v>46205.458333333336</v>
      </c>
      <c r="M1231" s="18" t="s">
        <v>2185</v>
      </c>
      <c r="N1231" s="18" t="s">
        <v>2185</v>
      </c>
      <c r="O1231" s="3">
        <v>46205.5</v>
      </c>
      <c r="P1231" s="2">
        <v>46205.520833333336</v>
      </c>
      <c r="Q1231" s="22">
        <v>46205.541666666664</v>
      </c>
      <c r="S1231" s="21" t="s">
        <v>4965</v>
      </c>
      <c r="T1231" s="18" t="s">
        <v>50</v>
      </c>
      <c r="V1231" s="21" t="s">
        <v>3965</v>
      </c>
      <c r="Y1231" t="s">
        <v>203</v>
      </c>
      <c r="Z1231" t="s">
        <v>70</v>
      </c>
    </row>
    <row r="1232" spans="1:26" ht="15" hidden="1" customHeight="1">
      <c r="A1232" s="17">
        <f>ROW() - ROW(Table1[[#Headers],[s]])</f>
        <v>1231</v>
      </c>
      <c r="B1232" t="s">
        <v>4966</v>
      </c>
      <c r="C1232" s="272">
        <v>46204</v>
      </c>
      <c r="D1232" s="19" t="s">
        <v>4967</v>
      </c>
      <c r="E1232" t="e" vm="118">
        <v>#VALUE!</v>
      </c>
      <c r="F1232" t="e" vm="25">
        <v>#VALUE!</v>
      </c>
      <c r="G1232" s="43" t="s">
        <v>200</v>
      </c>
      <c r="H1232" t="s">
        <v>152</v>
      </c>
      <c r="I1232" t="s">
        <v>1221</v>
      </c>
      <c r="J1232" s="18" t="s">
        <v>153</v>
      </c>
      <c r="K1232" t="s">
        <v>371</v>
      </c>
      <c r="L1232" s="20">
        <v>46205.523611111108</v>
      </c>
      <c r="M1232" s="18" t="s">
        <v>72</v>
      </c>
      <c r="N1232" s="18" t="s">
        <v>72</v>
      </c>
      <c r="O1232" s="3">
        <v>46205.666666666664</v>
      </c>
      <c r="P1232" s="2">
        <v>46205.666666666664</v>
      </c>
      <c r="Q1232" s="22">
        <v>46205.708333333336</v>
      </c>
      <c r="S1232" s="21" t="s">
        <v>4968</v>
      </c>
      <c r="T1232" s="18" t="s">
        <v>478</v>
      </c>
      <c r="V1232" s="21" t="s">
        <v>2851</v>
      </c>
      <c r="Y1232" t="s">
        <v>203</v>
      </c>
      <c r="Z1232" t="s">
        <v>70</v>
      </c>
    </row>
    <row r="1233" spans="1:26" ht="15" hidden="1" customHeight="1">
      <c r="A1233" s="17">
        <f>ROW() - ROW(Table1[[#Headers],[s]])</f>
        <v>1232</v>
      </c>
      <c r="B1233" t="s">
        <v>4969</v>
      </c>
      <c r="C1233" s="272">
        <v>46204</v>
      </c>
      <c r="D1233" s="308" t="s">
        <v>4970</v>
      </c>
      <c r="E1233" t="e" vm="220">
        <v>#VALUE!</v>
      </c>
      <c r="F1233" t="e" vm="10">
        <v>#VALUE!</v>
      </c>
      <c r="G1233" s="43" t="s">
        <v>200</v>
      </c>
      <c r="H1233" t="s">
        <v>152</v>
      </c>
      <c r="I1233" t="s">
        <v>1221</v>
      </c>
      <c r="J1233" s="18" t="s">
        <v>153</v>
      </c>
      <c r="K1233" t="s">
        <v>154</v>
      </c>
      <c r="L1233" s="20">
        <v>46205.645138888889</v>
      </c>
      <c r="M1233" s="18" t="s">
        <v>78</v>
      </c>
      <c r="N1233" s="55" t="s">
        <v>78</v>
      </c>
      <c r="O1233" s="3">
        <v>46205.75</v>
      </c>
      <c r="P1233" s="2">
        <v>46205.75</v>
      </c>
      <c r="Q1233" s="22">
        <v>46205.770833333336</v>
      </c>
      <c r="S1233" s="21" t="s">
        <v>2290</v>
      </c>
      <c r="T1233" s="18" t="s">
        <v>50</v>
      </c>
      <c r="V1233" s="21" t="s">
        <v>374</v>
      </c>
      <c r="Y1233" t="s">
        <v>203</v>
      </c>
      <c r="Z1233" t="s">
        <v>70</v>
      </c>
    </row>
    <row r="1234" spans="1:26" ht="15" hidden="1" customHeight="1">
      <c r="A1234" s="17">
        <f>ROW() - ROW(Table1[[#Headers],[s]])</f>
        <v>1233</v>
      </c>
      <c r="B1234" t="s">
        <v>4971</v>
      </c>
      <c r="C1234" s="272">
        <v>46204</v>
      </c>
      <c r="D1234" s="19" t="s">
        <v>4972</v>
      </c>
      <c r="E1234" t="e" vm="131">
        <v>#VALUE!</v>
      </c>
      <c r="F1234" t="e" vm="25">
        <v>#VALUE!</v>
      </c>
      <c r="G1234" s="5" t="s">
        <v>174</v>
      </c>
      <c r="H1234" t="s">
        <v>152</v>
      </c>
      <c r="J1234" s="18" t="s">
        <v>153</v>
      </c>
      <c r="K1234" t="s">
        <v>332</v>
      </c>
      <c r="L1234" s="20">
        <v>46205.663194444445</v>
      </c>
      <c r="M1234" s="18" t="s">
        <v>72</v>
      </c>
      <c r="N1234" s="18" t="s">
        <v>72</v>
      </c>
      <c r="O1234" s="3">
        <v>46206.333333333336</v>
      </c>
      <c r="P1234" s="3">
        <v>46206.354166666664</v>
      </c>
      <c r="Q1234" s="3">
        <v>46206.375</v>
      </c>
      <c r="S1234" s="21" t="s">
        <v>386</v>
      </c>
      <c r="T1234" s="55" t="s">
        <v>478</v>
      </c>
      <c r="V1234" s="21" t="s">
        <v>4973</v>
      </c>
      <c r="Y1234" t="s">
        <v>158</v>
      </c>
      <c r="Z1234" t="s">
        <v>70</v>
      </c>
    </row>
    <row r="1235" spans="1:26" ht="15" hidden="1" customHeight="1">
      <c r="A1235" s="17">
        <f>ROW() - ROW(Table1[[#Headers],[s]])</f>
        <v>1234</v>
      </c>
      <c r="B1235" t="s">
        <v>2421</v>
      </c>
      <c r="C1235" s="272">
        <v>46204</v>
      </c>
      <c r="D1235" s="308" t="s">
        <v>4974</v>
      </c>
      <c r="E1235" t="e" vm="205">
        <v>#VALUE!</v>
      </c>
      <c r="F1235" t="e" vm="10">
        <v>#VALUE!</v>
      </c>
      <c r="G1235" s="43" t="s">
        <v>200</v>
      </c>
      <c r="H1235" t="s">
        <v>152</v>
      </c>
      <c r="I1235" t="s">
        <v>1221</v>
      </c>
      <c r="J1235" s="18" t="s">
        <v>153</v>
      </c>
      <c r="K1235" t="s">
        <v>371</v>
      </c>
      <c r="L1235" s="20">
        <v>46205.695833333331</v>
      </c>
      <c r="M1235" s="18" t="s">
        <v>78</v>
      </c>
      <c r="N1235" s="55" t="s">
        <v>78</v>
      </c>
      <c r="O1235" s="3">
        <v>46205.833333333336</v>
      </c>
      <c r="P1235" s="2">
        <v>46205.833333333336</v>
      </c>
      <c r="Q1235" s="22">
        <v>46205.854166666664</v>
      </c>
      <c r="S1235" s="21" t="s">
        <v>2290</v>
      </c>
      <c r="T1235" s="18" t="s">
        <v>50</v>
      </c>
      <c r="V1235" s="21" t="s">
        <v>374</v>
      </c>
      <c r="Y1235" t="s">
        <v>203</v>
      </c>
      <c r="Z1235" t="s">
        <v>70</v>
      </c>
    </row>
    <row r="1236" spans="1:26" ht="15" hidden="1" customHeight="1">
      <c r="A1236" s="17">
        <f>ROW() - ROW(Table1[[#Headers],[s]])</f>
        <v>1235</v>
      </c>
      <c r="B1236" t="s">
        <v>4975</v>
      </c>
      <c r="C1236" s="272">
        <v>46204</v>
      </c>
      <c r="D1236" s="19" t="s">
        <v>4976</v>
      </c>
      <c r="E1236" t="e" vm="24">
        <v>#VALUE!</v>
      </c>
      <c r="F1236" t="e" vm="25">
        <v>#VALUE!</v>
      </c>
      <c r="G1236" s="5" t="s">
        <v>174</v>
      </c>
      <c r="H1236" t="s">
        <v>152</v>
      </c>
      <c r="J1236" s="18" t="s">
        <v>153</v>
      </c>
      <c r="K1236" t="s">
        <v>332</v>
      </c>
      <c r="L1236" s="20">
        <v>46205.713194444441</v>
      </c>
      <c r="M1236" s="18" t="s">
        <v>72</v>
      </c>
      <c r="N1236" s="18" t="s">
        <v>72</v>
      </c>
      <c r="O1236" s="3">
        <v>46206.333333333336</v>
      </c>
      <c r="P1236" s="3">
        <v>46206.354166666664</v>
      </c>
      <c r="Q1236" s="3">
        <v>46206.395833333336</v>
      </c>
      <c r="S1236" s="21" t="s">
        <v>4977</v>
      </c>
      <c r="T1236" s="55" t="s">
        <v>2765</v>
      </c>
      <c r="V1236" s="21" t="s">
        <v>4746</v>
      </c>
      <c r="Y1236" t="s">
        <v>158</v>
      </c>
      <c r="Z1236" t="s">
        <v>70</v>
      </c>
    </row>
    <row r="1237" spans="1:26" ht="15" hidden="1" customHeight="1">
      <c r="A1237" s="60">
        <f>ROW() - ROW(Table1[[#Headers],[s]])</f>
        <v>1236</v>
      </c>
      <c r="B1237" t="s">
        <v>4978</v>
      </c>
      <c r="C1237" s="163">
        <v>46204</v>
      </c>
      <c r="D1237" s="52" t="s">
        <v>4979</v>
      </c>
      <c r="E1237" s="19" t="e" vm="138">
        <v>#VALUE!</v>
      </c>
      <c r="F1237" t="e" vm="5">
        <v>#VALUE!</v>
      </c>
      <c r="G1237" s="90" t="s">
        <v>200</v>
      </c>
      <c r="H1237" t="s">
        <v>747</v>
      </c>
      <c r="I1237" s="5"/>
      <c r="J1237" s="18" t="s">
        <v>253</v>
      </c>
      <c r="K1237" t="s">
        <v>371</v>
      </c>
      <c r="L1237" s="44">
        <v>46205.688194444447</v>
      </c>
      <c r="M1237" s="169" t="s">
        <v>46</v>
      </c>
      <c r="N1237" s="169" t="s">
        <v>46</v>
      </c>
      <c r="O1237" s="56">
        <v>46206.375</v>
      </c>
      <c r="P1237" s="3">
        <v>46206.4375</v>
      </c>
      <c r="Q1237" s="58">
        <v>46206.458333333336</v>
      </c>
      <c r="R1237" s="22">
        <v>12</v>
      </c>
      <c r="S1237" s="21" t="s">
        <v>1213</v>
      </c>
      <c r="T1237" s="55" t="s">
        <v>179</v>
      </c>
      <c r="U1237" s="18"/>
      <c r="V1237" s="53" t="s">
        <v>2851</v>
      </c>
      <c r="W1237" s="21"/>
      <c r="X1237" t="s">
        <v>4980</v>
      </c>
      <c r="Y1237" t="s">
        <v>70</v>
      </c>
      <c r="Z1237" t="s">
        <v>70</v>
      </c>
    </row>
    <row r="1238" spans="1:26" ht="15" hidden="1" customHeight="1">
      <c r="A1238" s="60">
        <f>ROW() - ROW(Table1[[#Headers],[s]])</f>
        <v>1237</v>
      </c>
      <c r="B1238" t="s">
        <v>4981</v>
      </c>
      <c r="C1238" s="163">
        <v>46204</v>
      </c>
      <c r="D1238" s="52" t="s">
        <v>4982</v>
      </c>
      <c r="E1238" s="19" t="e" vm="79">
        <v>#VALUE!</v>
      </c>
      <c r="F1238" t="e" vm="25">
        <v>#VALUE!</v>
      </c>
      <c r="G1238" s="43" t="s">
        <v>200</v>
      </c>
      <c r="H1238" t="s">
        <v>747</v>
      </c>
      <c r="J1238" s="18" t="s">
        <v>253</v>
      </c>
      <c r="K1238" s="60" t="s">
        <v>154</v>
      </c>
      <c r="L1238" s="44">
        <v>46205.447916666664</v>
      </c>
      <c r="M1238" s="55" t="s">
        <v>72</v>
      </c>
      <c r="N1238" s="55" t="s">
        <v>72</v>
      </c>
      <c r="O1238" s="56"/>
      <c r="Q1238" s="58"/>
      <c r="S1238" s="21" t="s">
        <v>4983</v>
      </c>
      <c r="T1238" s="18" t="s">
        <v>50</v>
      </c>
      <c r="V1238" s="53"/>
      <c r="Y1238" t="s">
        <v>179</v>
      </c>
      <c r="Z1238" t="s">
        <v>179</v>
      </c>
    </row>
    <row r="1239" spans="1:26" s="29" customFormat="1" ht="15" hidden="1" customHeight="1">
      <c r="A1239" s="111">
        <f>ROW() - ROW(Table1[[#Headers],[s]])</f>
        <v>1238</v>
      </c>
      <c r="B1239" s="29" t="s">
        <v>4984</v>
      </c>
      <c r="C1239" s="274">
        <v>46204</v>
      </c>
      <c r="D1239" s="150" t="s">
        <v>4985</v>
      </c>
      <c r="E1239" s="234" t="e" vm="177">
        <v>#VALUE!</v>
      </c>
      <c r="F1239" s="29" t="e" vm="37">
        <v>#VALUE!</v>
      </c>
      <c r="G1239" s="114" t="s">
        <v>200</v>
      </c>
      <c r="H1239" s="29" t="s">
        <v>245</v>
      </c>
      <c r="J1239" s="235" t="s">
        <v>253</v>
      </c>
      <c r="K1239" s="148" t="s">
        <v>4986</v>
      </c>
      <c r="L1239" s="151">
        <v>46205.649305555555</v>
      </c>
      <c r="M1239" s="153" t="s">
        <v>59</v>
      </c>
      <c r="N1239" s="153" t="s">
        <v>59</v>
      </c>
      <c r="O1239" s="360">
        <v>46205.6875</v>
      </c>
      <c r="P1239" s="361">
        <v>46205.708333333336</v>
      </c>
      <c r="Q1239" s="152">
        <v>46205.745833333334</v>
      </c>
      <c r="S1239" s="252" t="s">
        <v>2273</v>
      </c>
      <c r="T1239" s="55" t="s">
        <v>478</v>
      </c>
      <c r="V1239" s="154" t="s">
        <v>4987</v>
      </c>
      <c r="Y1239" s="29" t="s">
        <v>203</v>
      </c>
      <c r="Z1239" s="29" t="s">
        <v>158</v>
      </c>
    </row>
    <row r="1240" spans="1:26" ht="15" hidden="1" customHeight="1">
      <c r="A1240" s="60">
        <f>ROW() - ROW(Table1[[#Headers],[s]])</f>
        <v>1239</v>
      </c>
      <c r="B1240" t="s">
        <v>4988</v>
      </c>
      <c r="C1240" s="181" t="s">
        <v>60</v>
      </c>
      <c r="D1240" s="52" t="s">
        <v>4989</v>
      </c>
      <c r="E1240" s="19" t="e" vm="300">
        <v>#VALUE!</v>
      </c>
      <c r="F1240" t="e" vm="25">
        <v>#VALUE!</v>
      </c>
      <c r="G1240" s="43" t="s">
        <v>200</v>
      </c>
      <c r="H1240" t="s">
        <v>747</v>
      </c>
      <c r="J1240" s="18" t="s">
        <v>253</v>
      </c>
      <c r="K1240" t="s">
        <v>371</v>
      </c>
      <c r="L1240" s="44">
        <v>46205.615277777775</v>
      </c>
      <c r="M1240" s="55" t="s">
        <v>53</v>
      </c>
      <c r="N1240" s="55" t="s">
        <v>53</v>
      </c>
      <c r="O1240" s="56">
        <v>46205.708333333336</v>
      </c>
      <c r="P1240" s="2">
        <v>46205.729166666664</v>
      </c>
      <c r="Q1240" s="58">
        <v>46205.729166666664</v>
      </c>
      <c r="S1240" s="21" t="s">
        <v>4990</v>
      </c>
      <c r="T1240" s="18" t="s">
        <v>50</v>
      </c>
      <c r="V1240" s="21" t="s">
        <v>4990</v>
      </c>
      <c r="Y1240" t="s">
        <v>158</v>
      </c>
      <c r="Z1240" t="s">
        <v>70</v>
      </c>
    </row>
    <row r="1241" spans="1:26" ht="15.75" hidden="1" customHeight="1">
      <c r="A1241" s="60">
        <f>ROW() - ROW(Table1[[#Headers],[s]])</f>
        <v>1240</v>
      </c>
      <c r="B1241" s="223" t="s">
        <v>4991</v>
      </c>
      <c r="C1241" s="163">
        <v>46204</v>
      </c>
      <c r="D1241" s="52" t="s">
        <v>4992</v>
      </c>
      <c r="E1241" s="19" t="e" vm="301">
        <v>#VALUE!</v>
      </c>
      <c r="F1241" t="e" vm="40">
        <v>#VALUE!</v>
      </c>
      <c r="G1241" s="5" t="s">
        <v>36</v>
      </c>
      <c r="H1241" t="s">
        <v>152</v>
      </c>
      <c r="I1241" t="s">
        <v>43</v>
      </c>
      <c r="J1241" s="18" t="s">
        <v>153</v>
      </c>
      <c r="K1241" s="42" t="s">
        <v>154</v>
      </c>
      <c r="L1241" s="44">
        <v>46206.621527777781</v>
      </c>
      <c r="M1241" s="55" t="s">
        <v>4671</v>
      </c>
      <c r="N1241" s="55" t="s">
        <v>4671</v>
      </c>
      <c r="O1241" s="56"/>
      <c r="P1241" s="2"/>
      <c r="Q1241" s="58">
        <v>46207.333333333336</v>
      </c>
      <c r="S1241" s="21" t="s">
        <v>4993</v>
      </c>
      <c r="T1241" s="55" t="s">
        <v>2765</v>
      </c>
      <c r="V1241" s="53" t="s">
        <v>4994</v>
      </c>
      <c r="Y1241" t="s">
        <v>158</v>
      </c>
      <c r="Z1241" t="s">
        <v>70</v>
      </c>
    </row>
    <row r="1242" spans="1:26" ht="15.75" customHeight="1">
      <c r="A1242" s="60">
        <f>ROW() - ROW(Table1[[#Headers],[s]])</f>
        <v>1241</v>
      </c>
      <c r="B1242" s="223" t="s">
        <v>4995</v>
      </c>
      <c r="C1242" s="272">
        <v>46204</v>
      </c>
      <c r="D1242" s="19" t="s">
        <v>4996</v>
      </c>
      <c r="E1242" s="19" t="e" vm="147">
        <v>#VALUE!</v>
      </c>
      <c r="F1242" t="e" vm="16">
        <v>#VALUE!</v>
      </c>
      <c r="G1242" s="5" t="s">
        <v>83</v>
      </c>
      <c r="H1242" t="s">
        <v>152</v>
      </c>
      <c r="I1242" t="s">
        <v>43</v>
      </c>
      <c r="J1242" s="18" t="s">
        <v>153</v>
      </c>
      <c r="K1242" s="42" t="s">
        <v>154</v>
      </c>
      <c r="L1242" s="44">
        <v>46206.602777777778</v>
      </c>
      <c r="M1242" s="18" t="s">
        <v>58</v>
      </c>
      <c r="N1242" s="18" t="s">
        <v>85</v>
      </c>
      <c r="O1242" s="3">
        <v>46207.708333333336</v>
      </c>
      <c r="P1242" s="2">
        <v>46207.715277777781</v>
      </c>
      <c r="Q1242" s="22">
        <v>46207.799305555556</v>
      </c>
      <c r="S1242" s="21" t="s">
        <v>4997</v>
      </c>
      <c r="T1242" s="55" t="s">
        <v>478</v>
      </c>
      <c r="V1242" s="21" t="s">
        <v>4998</v>
      </c>
      <c r="Y1242" t="s">
        <v>158</v>
      </c>
      <c r="Z1242" t="s">
        <v>70</v>
      </c>
    </row>
    <row r="1243" spans="1:26" ht="15" hidden="1" customHeight="1">
      <c r="A1243" s="60">
        <f>ROW() - ROW(Table1[[#Headers],[s]])</f>
        <v>1242</v>
      </c>
      <c r="B1243" s="305" t="s">
        <v>4999</v>
      </c>
      <c r="C1243" s="272">
        <v>46204</v>
      </c>
      <c r="D1243" s="18" t="s">
        <v>5000</v>
      </c>
      <c r="E1243" s="18" t="e" vm="246">
        <v>#VALUE!</v>
      </c>
      <c r="F1243" t="e" vm="12">
        <v>#VALUE!</v>
      </c>
      <c r="G1243" s="5" t="s">
        <v>36</v>
      </c>
      <c r="H1243" t="s">
        <v>152</v>
      </c>
      <c r="I1243" t="s">
        <v>43</v>
      </c>
      <c r="J1243" s="18" t="s">
        <v>153</v>
      </c>
      <c r="K1243" s="42" t="s">
        <v>154</v>
      </c>
      <c r="L1243" s="44">
        <v>46206.613194444442</v>
      </c>
      <c r="M1243" s="18" t="s">
        <v>55</v>
      </c>
      <c r="N1243" s="18" t="s">
        <v>55</v>
      </c>
      <c r="O1243" s="3"/>
      <c r="P1243" s="2"/>
      <c r="Q1243" s="22">
        <v>46207.861111111109</v>
      </c>
      <c r="S1243" s="21" t="s">
        <v>5001</v>
      </c>
      <c r="T1243" s="55" t="s">
        <v>2765</v>
      </c>
      <c r="V1243" s="21" t="s">
        <v>5002</v>
      </c>
      <c r="Y1243" t="s">
        <v>158</v>
      </c>
      <c r="Z1243" t="s">
        <v>70</v>
      </c>
    </row>
    <row r="1244" spans="1:26" ht="15.75" hidden="1" customHeight="1">
      <c r="A1244" s="60">
        <f>ROW() - ROW(Table1[[#Headers],[s]])</f>
        <v>1243</v>
      </c>
      <c r="B1244" s="223" t="s">
        <v>5003</v>
      </c>
      <c r="C1244" s="272">
        <v>46204</v>
      </c>
      <c r="D1244" s="308" t="s">
        <v>5004</v>
      </c>
      <c r="E1244" s="19" t="e" vm="80">
        <v>#VALUE!</v>
      </c>
      <c r="F1244" t="e" vm="10">
        <v>#VALUE!</v>
      </c>
      <c r="G1244" s="5" t="s">
        <v>174</v>
      </c>
      <c r="H1244" t="s">
        <v>152</v>
      </c>
      <c r="J1244" s="18" t="s">
        <v>153</v>
      </c>
      <c r="K1244" t="s">
        <v>332</v>
      </c>
      <c r="L1244" s="44">
        <v>46206.615277777775</v>
      </c>
      <c r="M1244" s="18" t="s">
        <v>78</v>
      </c>
      <c r="N1244" s="55" t="s">
        <v>78</v>
      </c>
      <c r="O1244" s="44">
        <v>46206.673611111109</v>
      </c>
      <c r="P1244" s="44">
        <v>46206.690972222219</v>
      </c>
      <c r="Q1244" s="44">
        <v>46206.770833333336</v>
      </c>
      <c r="S1244" s="21" t="s">
        <v>4745</v>
      </c>
      <c r="T1244" s="55" t="s">
        <v>2765</v>
      </c>
      <c r="V1244" s="21" t="s">
        <v>4746</v>
      </c>
      <c r="Y1244" t="s">
        <v>158</v>
      </c>
      <c r="Z1244" t="s">
        <v>70</v>
      </c>
    </row>
    <row r="1245" spans="1:26" ht="15" hidden="1" customHeight="1">
      <c r="A1245" s="60">
        <f>ROW() - ROW(Table1[[#Headers],[s]])</f>
        <v>1244</v>
      </c>
      <c r="B1245" s="305" t="s">
        <v>5005</v>
      </c>
      <c r="C1245" s="181" t="s">
        <v>60</v>
      </c>
      <c r="D1245" s="19" t="s">
        <v>5006</v>
      </c>
      <c r="E1245" s="19" t="e" vm="209">
        <v>#VALUE!</v>
      </c>
      <c r="F1245" t="e" vm="12">
        <v>#VALUE!</v>
      </c>
      <c r="G1245" s="5" t="s">
        <v>174</v>
      </c>
      <c r="H1245" t="s">
        <v>152</v>
      </c>
      <c r="J1245" s="18" t="s">
        <v>153</v>
      </c>
      <c r="K1245" s="42" t="s">
        <v>154</v>
      </c>
      <c r="L1245" s="44">
        <v>46206.617361111108</v>
      </c>
      <c r="M1245" s="18" t="s">
        <v>57</v>
      </c>
      <c r="N1245" s="18" t="s">
        <v>57</v>
      </c>
      <c r="O1245" s="3"/>
      <c r="P1245" s="2"/>
      <c r="S1245" s="21" t="s">
        <v>5007</v>
      </c>
      <c r="T1245" s="18" t="s">
        <v>50</v>
      </c>
      <c r="V1245" s="21" t="s">
        <v>5007</v>
      </c>
      <c r="Y1245" t="s">
        <v>179</v>
      </c>
      <c r="Z1245" t="s">
        <v>179</v>
      </c>
    </row>
    <row r="1246" spans="1:26" ht="15" hidden="1" customHeight="1">
      <c r="A1246" s="60">
        <f>ROW() - ROW(Table1[[#Headers],[s]])</f>
        <v>1245</v>
      </c>
      <c r="B1246" t="s">
        <v>5008</v>
      </c>
      <c r="C1246" s="272">
        <v>46204</v>
      </c>
      <c r="D1246" s="19" t="s">
        <v>5009</v>
      </c>
      <c r="E1246" s="19" t="e" vm="302">
        <v>#VALUE!</v>
      </c>
      <c r="F1246" t="e" vm="21">
        <v>#VALUE!</v>
      </c>
      <c r="G1246" s="5" t="s">
        <v>174</v>
      </c>
      <c r="H1246" t="s">
        <v>152</v>
      </c>
      <c r="J1246" s="18" t="s">
        <v>153</v>
      </c>
      <c r="K1246" t="s">
        <v>332</v>
      </c>
      <c r="L1246" s="44">
        <v>46206.620833333334</v>
      </c>
      <c r="M1246" s="18" t="s">
        <v>39</v>
      </c>
      <c r="N1246" s="18" t="s">
        <v>39</v>
      </c>
      <c r="O1246" s="44">
        <v>46206.65625</v>
      </c>
      <c r="P1246" s="44">
        <v>46206.6875</v>
      </c>
      <c r="Q1246" s="44">
        <v>46206.729166666664</v>
      </c>
      <c r="S1246" s="21" t="s">
        <v>5010</v>
      </c>
      <c r="T1246" s="18" t="s">
        <v>3960</v>
      </c>
      <c r="V1246" s="21" t="s">
        <v>5011</v>
      </c>
      <c r="Y1246" t="s">
        <v>158</v>
      </c>
      <c r="Z1246" t="s">
        <v>158</v>
      </c>
    </row>
    <row r="1247" spans="1:26" ht="15" hidden="1" customHeight="1">
      <c r="A1247" s="60">
        <f>ROW() - ROW(Table1[[#Headers],[s]])</f>
        <v>1246</v>
      </c>
      <c r="B1247" t="s">
        <v>5012</v>
      </c>
      <c r="C1247" s="272">
        <v>46204</v>
      </c>
      <c r="D1247" s="19" t="s">
        <v>5013</v>
      </c>
      <c r="E1247" t="e" vm="209">
        <v>#VALUE!</v>
      </c>
      <c r="F1247" t="e" vm="12">
        <v>#VALUE!</v>
      </c>
      <c r="G1247" s="5" t="s">
        <v>174</v>
      </c>
      <c r="H1247" t="s">
        <v>747</v>
      </c>
      <c r="J1247" s="18" t="s">
        <v>253</v>
      </c>
      <c r="K1247" t="s">
        <v>332</v>
      </c>
      <c r="L1247" s="44">
        <v>46206.54791666667</v>
      </c>
      <c r="M1247" s="18" t="s">
        <v>57</v>
      </c>
      <c r="N1247" s="18" t="s">
        <v>57</v>
      </c>
      <c r="O1247" s="44">
        <v>46206.631944444445</v>
      </c>
      <c r="P1247" s="44">
        <v>46206.770833333336</v>
      </c>
      <c r="Q1247" s="44">
        <v>46207.134722222225</v>
      </c>
      <c r="S1247" s="21" t="s">
        <v>5014</v>
      </c>
      <c r="T1247" s="55" t="s">
        <v>478</v>
      </c>
      <c r="V1247" s="21" t="s">
        <v>322</v>
      </c>
      <c r="Y1247" t="s">
        <v>158</v>
      </c>
      <c r="Z1247" t="s">
        <v>158</v>
      </c>
    </row>
    <row r="1248" spans="1:26" ht="15" hidden="1" customHeight="1">
      <c r="A1248" s="60">
        <f>ROW() - ROW(Table1[[#Headers],[s]])</f>
        <v>1247</v>
      </c>
      <c r="B1248" t="s">
        <v>5015</v>
      </c>
      <c r="C1248" s="272">
        <v>46204</v>
      </c>
      <c r="D1248" s="19" t="s">
        <v>5008</v>
      </c>
      <c r="E1248" s="18" t="e" vm="138">
        <v>#VALUE!</v>
      </c>
      <c r="F1248" t="e" vm="5">
        <v>#VALUE!</v>
      </c>
      <c r="G1248" s="5" t="s">
        <v>174</v>
      </c>
      <c r="H1248" t="s">
        <v>747</v>
      </c>
      <c r="J1248" s="18" t="s">
        <v>253</v>
      </c>
      <c r="K1248" t="s">
        <v>332</v>
      </c>
      <c r="L1248" s="44">
        <v>46206.417361111111</v>
      </c>
      <c r="M1248" s="18" t="s">
        <v>55</v>
      </c>
      <c r="N1248" s="18" t="s">
        <v>55</v>
      </c>
      <c r="O1248" s="44">
        <v>46206.520833333336</v>
      </c>
      <c r="P1248" s="44">
        <v>46206.548611111109</v>
      </c>
      <c r="Q1248" s="44">
        <v>46206.820138888892</v>
      </c>
      <c r="S1248" s="21" t="s">
        <v>5016</v>
      </c>
      <c r="T1248" s="18" t="s">
        <v>50</v>
      </c>
      <c r="V1248" s="21" t="s">
        <v>404</v>
      </c>
      <c r="Y1248" t="s">
        <v>158</v>
      </c>
      <c r="Z1248" t="s">
        <v>158</v>
      </c>
    </row>
    <row r="1249" spans="1:26" ht="15" hidden="1" customHeight="1">
      <c r="A1249" s="60">
        <f>ROW() - ROW(Table1[[#Headers],[s]])</f>
        <v>1248</v>
      </c>
      <c r="B1249" t="s">
        <v>5017</v>
      </c>
      <c r="C1249" s="272">
        <v>46204</v>
      </c>
      <c r="D1249" s="19" t="s">
        <v>5018</v>
      </c>
      <c r="E1249" s="19" t="e" vm="225">
        <v>#VALUE!</v>
      </c>
      <c r="F1249" t="e" vm="21">
        <v>#VALUE!</v>
      </c>
      <c r="G1249" s="5" t="s">
        <v>174</v>
      </c>
      <c r="H1249" t="s">
        <v>747</v>
      </c>
      <c r="J1249" s="18" t="s">
        <v>253</v>
      </c>
      <c r="K1249" t="s">
        <v>332</v>
      </c>
      <c r="L1249" s="44">
        <v>46206.699305555558</v>
      </c>
      <c r="M1249" s="18" t="s">
        <v>39</v>
      </c>
      <c r="N1249" s="18" t="s">
        <v>39</v>
      </c>
      <c r="O1249" s="44">
        <v>46206.770833333336</v>
      </c>
      <c r="P1249" s="44">
        <v>46206.791666666664</v>
      </c>
      <c r="Q1249" s="44">
        <v>46206.820833333331</v>
      </c>
      <c r="S1249" s="21" t="s">
        <v>5019</v>
      </c>
      <c r="T1249" s="18" t="s">
        <v>50</v>
      </c>
      <c r="V1249" s="21" t="s">
        <v>4406</v>
      </c>
      <c r="Y1249" t="s">
        <v>158</v>
      </c>
      <c r="Z1249" t="s">
        <v>70</v>
      </c>
    </row>
    <row r="1250" spans="1:26" ht="15" hidden="1" customHeight="1">
      <c r="A1250" s="60">
        <f>ROW() - ROW(Table1[[#Headers],[s]])</f>
        <v>1249</v>
      </c>
      <c r="B1250" t="s">
        <v>5020</v>
      </c>
      <c r="C1250" s="272">
        <v>46204</v>
      </c>
      <c r="D1250" s="19" t="s">
        <v>5021</v>
      </c>
      <c r="E1250" s="18" t="e" vm="79">
        <v>#VALUE!</v>
      </c>
      <c r="F1250" t="e" vm="25">
        <v>#VALUE!</v>
      </c>
      <c r="G1250" s="5" t="s">
        <v>174</v>
      </c>
      <c r="H1250" t="s">
        <v>747</v>
      </c>
      <c r="J1250" s="18" t="s">
        <v>253</v>
      </c>
      <c r="K1250" t="s">
        <v>332</v>
      </c>
      <c r="L1250" s="44">
        <v>46206.482638888891</v>
      </c>
      <c r="M1250" s="18" t="s">
        <v>72</v>
      </c>
      <c r="N1250" s="18" t="s">
        <v>5022</v>
      </c>
      <c r="O1250" s="44">
        <v>46206.565972222219</v>
      </c>
      <c r="P1250" s="44">
        <v>46206.583333333336</v>
      </c>
      <c r="Q1250" s="44"/>
      <c r="S1250" s="21" t="s">
        <v>5023</v>
      </c>
      <c r="T1250" s="55" t="s">
        <v>478</v>
      </c>
      <c r="V1250" s="21" t="s">
        <v>5024</v>
      </c>
      <c r="X1250" t="s">
        <v>5025</v>
      </c>
      <c r="Y1250" t="s">
        <v>70</v>
      </c>
      <c r="Z1250" t="s">
        <v>70</v>
      </c>
    </row>
    <row r="1251" spans="1:26" ht="15" hidden="1" customHeight="1">
      <c r="A1251" s="60">
        <f>ROW() - ROW(Table1[[#Headers],[s]])</f>
        <v>1250</v>
      </c>
      <c r="B1251" t="s">
        <v>5026</v>
      </c>
      <c r="C1251" s="163">
        <v>46204</v>
      </c>
      <c r="D1251" s="52" t="s">
        <v>5027</v>
      </c>
      <c r="E1251" s="19" t="s">
        <v>5028</v>
      </c>
      <c r="F1251" t="e" vm="21">
        <v>#VALUE!</v>
      </c>
      <c r="G1251" s="5" t="s">
        <v>174</v>
      </c>
      <c r="H1251" t="s">
        <v>747</v>
      </c>
      <c r="J1251" s="18" t="s">
        <v>253</v>
      </c>
      <c r="K1251" t="s">
        <v>332</v>
      </c>
      <c r="L1251" s="44">
        <v>46206.442361111112</v>
      </c>
      <c r="M1251" s="18" t="s">
        <v>39</v>
      </c>
      <c r="N1251" s="18" t="s">
        <v>39</v>
      </c>
      <c r="O1251" s="44">
        <v>46206.520833333336</v>
      </c>
      <c r="P1251" s="44">
        <v>46206.541666666664</v>
      </c>
      <c r="Q1251" s="44">
        <v>46206.604166666664</v>
      </c>
      <c r="S1251" s="21" t="s">
        <v>5029</v>
      </c>
      <c r="T1251" s="55" t="s">
        <v>478</v>
      </c>
      <c r="V1251" s="53" t="s">
        <v>2501</v>
      </c>
      <c r="Y1251" t="s">
        <v>158</v>
      </c>
      <c r="Z1251" t="s">
        <v>158</v>
      </c>
    </row>
    <row r="1252" spans="1:26" ht="15" hidden="1" customHeight="1">
      <c r="A1252" s="60">
        <f>ROW() - ROW(Table1[[#Headers],[s]])</f>
        <v>1251</v>
      </c>
      <c r="B1252" t="s">
        <v>5030</v>
      </c>
      <c r="C1252" s="181" t="s">
        <v>60</v>
      </c>
      <c r="D1252" s="52" t="s">
        <v>5031</v>
      </c>
      <c r="E1252" s="19" t="e" vm="241">
        <v>#VALUE!</v>
      </c>
      <c r="F1252" t="e" vm="2">
        <v>#VALUE!</v>
      </c>
      <c r="G1252" s="5" t="s">
        <v>174</v>
      </c>
      <c r="H1252" t="s">
        <v>747</v>
      </c>
      <c r="J1252" s="18" t="s">
        <v>253</v>
      </c>
      <c r="K1252" t="s">
        <v>3101</v>
      </c>
      <c r="L1252" s="44">
        <v>46206.705555555556</v>
      </c>
      <c r="M1252" s="169" t="s">
        <v>162</v>
      </c>
      <c r="N1252" s="169" t="s">
        <v>162</v>
      </c>
      <c r="O1252" s="56"/>
      <c r="Q1252" s="58"/>
      <c r="S1252" t="s">
        <v>3101</v>
      </c>
      <c r="T1252" s="18" t="s">
        <v>50</v>
      </c>
      <c r="V1252" s="53"/>
      <c r="Y1252" t="s">
        <v>179</v>
      </c>
      <c r="Z1252" t="s">
        <v>179</v>
      </c>
    </row>
    <row r="1253" spans="1:26" ht="15" hidden="1" customHeight="1">
      <c r="A1253" s="60">
        <f>ROW() - ROW(Table1[[#Headers],[s]])</f>
        <v>1252</v>
      </c>
      <c r="B1253" t="s">
        <v>5032</v>
      </c>
      <c r="C1253" s="163">
        <v>46204</v>
      </c>
      <c r="D1253" s="52" t="s">
        <v>5033</v>
      </c>
      <c r="E1253" s="19" t="e" vm="269">
        <v>#VALUE!</v>
      </c>
      <c r="F1253" t="e" vm="2">
        <v>#VALUE!</v>
      </c>
      <c r="G1253" s="5" t="s">
        <v>174</v>
      </c>
      <c r="H1253" t="s">
        <v>747</v>
      </c>
      <c r="I1253" s="5"/>
      <c r="J1253" s="18" t="s">
        <v>253</v>
      </c>
      <c r="K1253" t="s">
        <v>332</v>
      </c>
      <c r="L1253" s="44">
        <v>46206.825694444444</v>
      </c>
      <c r="M1253" s="169" t="s">
        <v>162</v>
      </c>
      <c r="N1253" s="169" t="s">
        <v>162</v>
      </c>
      <c r="O1253" s="44">
        <v>46206.854166666664</v>
      </c>
      <c r="P1253" s="44">
        <v>46206.864583333336</v>
      </c>
      <c r="Q1253" s="44">
        <v>46206.893055555556</v>
      </c>
      <c r="R1253" s="22"/>
      <c r="S1253" s="21" t="s">
        <v>5034</v>
      </c>
      <c r="T1253" s="18" t="s">
        <v>50</v>
      </c>
      <c r="U1253" s="18"/>
      <c r="V1253" s="53" t="s">
        <v>5035</v>
      </c>
      <c r="W1253" s="21"/>
      <c r="Y1253" t="s">
        <v>158</v>
      </c>
      <c r="Z1253" t="s">
        <v>70</v>
      </c>
    </row>
    <row r="1254" spans="1:26" ht="15" hidden="1" customHeight="1">
      <c r="A1254" s="60">
        <f>ROW() - ROW(Table1[[#Headers],[s]])</f>
        <v>1253</v>
      </c>
      <c r="B1254" t="s">
        <v>5036</v>
      </c>
      <c r="C1254" s="163">
        <v>46204</v>
      </c>
      <c r="D1254" s="52" t="s">
        <v>5037</v>
      </c>
      <c r="E1254" s="19" t="e" vm="86">
        <v>#VALUE!</v>
      </c>
      <c r="F1254" t="e" vm="35">
        <v>#VALUE!</v>
      </c>
      <c r="G1254" s="5" t="s">
        <v>36</v>
      </c>
      <c r="H1254" t="s">
        <v>152</v>
      </c>
      <c r="I1254" t="s">
        <v>43</v>
      </c>
      <c r="J1254" s="18" t="s">
        <v>153</v>
      </c>
      <c r="K1254" s="42" t="s">
        <v>154</v>
      </c>
      <c r="L1254" s="44">
        <v>46207.50277777778</v>
      </c>
      <c r="M1254" s="169" t="s">
        <v>227</v>
      </c>
      <c r="N1254" s="55" t="s">
        <v>227</v>
      </c>
      <c r="O1254" s="56"/>
      <c r="P1254" s="5"/>
      <c r="Q1254" s="58">
        <v>46207.666666666664</v>
      </c>
      <c r="R1254" s="22"/>
      <c r="S1254" s="21" t="s">
        <v>5038</v>
      </c>
      <c r="T1254" s="55" t="s">
        <v>4252</v>
      </c>
      <c r="U1254" s="18"/>
      <c r="V1254" s="53" t="s">
        <v>3604</v>
      </c>
      <c r="W1254" s="21"/>
      <c r="Y1254" t="s">
        <v>203</v>
      </c>
      <c r="Z1254" t="s">
        <v>70</v>
      </c>
    </row>
    <row r="1255" spans="1:26" ht="15" hidden="1" customHeight="1">
      <c r="A1255" s="60">
        <f>ROW() - ROW(Table1[[#Headers],[s]])</f>
        <v>1254</v>
      </c>
      <c r="B1255" t="s">
        <v>5039</v>
      </c>
      <c r="C1255" s="163">
        <v>46204</v>
      </c>
      <c r="D1255" s="52" t="s">
        <v>5040</v>
      </c>
      <c r="E1255" s="19" t="e" vm="131">
        <v>#VALUE!</v>
      </c>
      <c r="F1255" t="e" vm="25">
        <v>#VALUE!</v>
      </c>
      <c r="G1255" s="5" t="s">
        <v>36</v>
      </c>
      <c r="H1255" t="s">
        <v>152</v>
      </c>
      <c r="I1255" t="s">
        <v>43</v>
      </c>
      <c r="J1255" s="18" t="s">
        <v>153</v>
      </c>
      <c r="K1255" s="42" t="s">
        <v>154</v>
      </c>
      <c r="L1255" s="44">
        <v>46207.510416666664</v>
      </c>
      <c r="M1255" s="55" t="s">
        <v>872</v>
      </c>
      <c r="N1255" s="55" t="s">
        <v>872</v>
      </c>
      <c r="O1255" s="56"/>
      <c r="P1255" s="5"/>
      <c r="Q1255" s="58">
        <v>46207.729166666664</v>
      </c>
      <c r="R1255" s="22"/>
      <c r="S1255" s="21" t="s">
        <v>5041</v>
      </c>
      <c r="T1255" s="55" t="s">
        <v>4252</v>
      </c>
      <c r="U1255" s="18"/>
      <c r="V1255" s="53" t="s">
        <v>1577</v>
      </c>
      <c r="W1255" s="21"/>
      <c r="Y1255" t="s">
        <v>203</v>
      </c>
      <c r="Z1255" t="s">
        <v>52</v>
      </c>
    </row>
    <row r="1256" spans="1:26" ht="15" hidden="1" customHeight="1">
      <c r="A1256" s="60">
        <f>ROW() - ROW(Table1[[#Headers],[s]])</f>
        <v>1255</v>
      </c>
      <c r="B1256" t="s">
        <v>5042</v>
      </c>
      <c r="C1256" s="163">
        <v>46204</v>
      </c>
      <c r="D1256" s="52" t="s">
        <v>5043</v>
      </c>
      <c r="E1256" s="19" t="e" vm="109">
        <v>#VALUE!</v>
      </c>
      <c r="F1256" t="e" vm="25">
        <v>#VALUE!</v>
      </c>
      <c r="G1256" s="5" t="s">
        <v>36</v>
      </c>
      <c r="H1256" t="s">
        <v>152</v>
      </c>
      <c r="I1256" t="s">
        <v>43</v>
      </c>
      <c r="J1256" s="18" t="s">
        <v>153</v>
      </c>
      <c r="K1256" s="42" t="s">
        <v>154</v>
      </c>
      <c r="L1256" s="44">
        <v>46207.506944444445</v>
      </c>
      <c r="M1256" s="55" t="s">
        <v>872</v>
      </c>
      <c r="N1256" s="55" t="s">
        <v>872</v>
      </c>
      <c r="O1256" s="56"/>
      <c r="P1256" s="5"/>
      <c r="Q1256" s="58">
        <v>46207.679166666669</v>
      </c>
      <c r="R1256" s="22"/>
      <c r="S1256" s="21" t="s">
        <v>5044</v>
      </c>
      <c r="T1256" s="55" t="s">
        <v>2765</v>
      </c>
      <c r="U1256" s="18"/>
      <c r="V1256" s="53" t="s">
        <v>2936</v>
      </c>
      <c r="W1256" s="21"/>
      <c r="Y1256" t="s">
        <v>203</v>
      </c>
      <c r="Z1256" t="s">
        <v>70</v>
      </c>
    </row>
    <row r="1257" spans="1:26" ht="15" hidden="1" customHeight="1">
      <c r="A1257" s="60">
        <f>ROW() - ROW(Table1[[#Headers],[s]])</f>
        <v>1256</v>
      </c>
      <c r="B1257" t="s">
        <v>5045</v>
      </c>
      <c r="C1257" s="163">
        <v>46204</v>
      </c>
      <c r="D1257" s="52" t="s">
        <v>5046</v>
      </c>
      <c r="E1257" s="19" t="e" vm="296">
        <v>#VALUE!</v>
      </c>
      <c r="F1257" t="e" vm="39">
        <v>#VALUE!</v>
      </c>
      <c r="G1257" s="5" t="s">
        <v>36</v>
      </c>
      <c r="H1257" t="s">
        <v>152</v>
      </c>
      <c r="I1257" t="s">
        <v>43</v>
      </c>
      <c r="J1257" s="18" t="s">
        <v>153</v>
      </c>
      <c r="K1257" s="42" t="s">
        <v>154</v>
      </c>
      <c r="L1257" s="44">
        <v>46207.59652777778</v>
      </c>
      <c r="M1257" s="169" t="s">
        <v>3190</v>
      </c>
      <c r="N1257" s="55" t="s">
        <v>3190</v>
      </c>
      <c r="O1257" s="56"/>
      <c r="P1257" s="5"/>
      <c r="Q1257" s="58">
        <v>46207.760416666664</v>
      </c>
      <c r="R1257" s="22"/>
      <c r="S1257" s="21" t="s">
        <v>5047</v>
      </c>
      <c r="T1257" s="55" t="s">
        <v>4252</v>
      </c>
      <c r="U1257" s="18"/>
      <c r="V1257" s="53" t="s">
        <v>5048</v>
      </c>
      <c r="W1257" s="21"/>
      <c r="Y1257" t="s">
        <v>203</v>
      </c>
      <c r="Z1257" t="s">
        <v>52</v>
      </c>
    </row>
    <row r="1258" spans="1:26" ht="15" hidden="1" customHeight="1">
      <c r="A1258" s="60">
        <f>ROW() - ROW(Table1[[#Headers],[s]])</f>
        <v>1257</v>
      </c>
      <c r="B1258" t="s">
        <v>5049</v>
      </c>
      <c r="C1258" s="163">
        <v>46204</v>
      </c>
      <c r="D1258" s="52" t="s">
        <v>5050</v>
      </c>
      <c r="E1258" s="19" t="e" vm="296">
        <v>#VALUE!</v>
      </c>
      <c r="F1258" t="e" vm="39">
        <v>#VALUE!</v>
      </c>
      <c r="G1258" s="5" t="s">
        <v>36</v>
      </c>
      <c r="H1258" t="s">
        <v>152</v>
      </c>
      <c r="I1258" t="s">
        <v>43</v>
      </c>
      <c r="J1258" s="18" t="s">
        <v>153</v>
      </c>
      <c r="K1258" s="42" t="s">
        <v>154</v>
      </c>
      <c r="L1258" s="44">
        <v>46207.613888888889</v>
      </c>
      <c r="M1258" s="169" t="s">
        <v>3190</v>
      </c>
      <c r="N1258" s="55" t="s">
        <v>3190</v>
      </c>
      <c r="O1258" s="56"/>
      <c r="P1258" s="5"/>
      <c r="Q1258" s="58">
        <v>46207.819444444445</v>
      </c>
      <c r="R1258" s="22"/>
      <c r="S1258" s="21" t="s">
        <v>5051</v>
      </c>
      <c r="T1258" s="55" t="s">
        <v>4252</v>
      </c>
      <c r="U1258" s="18"/>
      <c r="V1258" s="53" t="s">
        <v>5052</v>
      </c>
      <c r="W1258" s="21"/>
      <c r="Y1258" t="s">
        <v>203</v>
      </c>
      <c r="Z1258" t="s">
        <v>52</v>
      </c>
    </row>
    <row r="1259" spans="1:26" ht="15" hidden="1" customHeight="1">
      <c r="A1259" s="60">
        <f>ROW() - ROW(Table1[[#Headers],[s]])</f>
        <v>1258</v>
      </c>
      <c r="B1259" t="s">
        <v>5053</v>
      </c>
      <c r="C1259" s="163">
        <v>46204</v>
      </c>
      <c r="D1259" s="52" t="s">
        <v>5054</v>
      </c>
      <c r="E1259" s="19" t="e" vm="9">
        <v>#VALUE!</v>
      </c>
      <c r="F1259" t="e" vm="10">
        <v>#VALUE!</v>
      </c>
      <c r="G1259" s="5" t="s">
        <v>36</v>
      </c>
      <c r="H1259" t="s">
        <v>152</v>
      </c>
      <c r="I1259" t="s">
        <v>43</v>
      </c>
      <c r="J1259" s="18" t="s">
        <v>153</v>
      </c>
      <c r="K1259" s="42" t="s">
        <v>154</v>
      </c>
      <c r="L1259" s="44">
        <v>46207.847916666666</v>
      </c>
      <c r="M1259" s="169" t="s">
        <v>78</v>
      </c>
      <c r="N1259" s="55" t="s">
        <v>78</v>
      </c>
      <c r="O1259" s="56"/>
      <c r="P1259" s="5"/>
      <c r="Q1259" s="58">
        <v>46208.569444444445</v>
      </c>
      <c r="R1259" s="22"/>
      <c r="S1259" s="21" t="s">
        <v>5055</v>
      </c>
      <c r="T1259" s="55" t="s">
        <v>4252</v>
      </c>
      <c r="U1259" s="18"/>
      <c r="V1259" s="53" t="s">
        <v>5056</v>
      </c>
      <c r="W1259" s="21"/>
      <c r="Y1259" t="s">
        <v>203</v>
      </c>
      <c r="Z1259" t="s">
        <v>70</v>
      </c>
    </row>
    <row r="1260" spans="1:26" ht="15" hidden="1" customHeight="1">
      <c r="A1260" s="60">
        <f>ROW() - ROW(Table1[[#Headers],[s]])</f>
        <v>1259</v>
      </c>
      <c r="B1260" t="s">
        <v>5057</v>
      </c>
      <c r="C1260" s="163">
        <v>46204</v>
      </c>
      <c r="D1260" s="52" t="s">
        <v>5058</v>
      </c>
      <c r="E1260" s="19" t="e" vm="194">
        <v>#VALUE!</v>
      </c>
      <c r="F1260" t="e" vm="37">
        <v>#VALUE!</v>
      </c>
      <c r="G1260" s="5" t="s">
        <v>36</v>
      </c>
      <c r="H1260" t="s">
        <v>152</v>
      </c>
      <c r="I1260" t="s">
        <v>43</v>
      </c>
      <c r="J1260" s="18" t="s">
        <v>153</v>
      </c>
      <c r="K1260" s="42" t="s">
        <v>154</v>
      </c>
      <c r="L1260" s="44">
        <v>46208.443055555559</v>
      </c>
      <c r="M1260" s="169" t="s">
        <v>5059</v>
      </c>
      <c r="N1260" s="169" t="s">
        <v>5059</v>
      </c>
      <c r="O1260" s="56"/>
      <c r="P1260" s="5"/>
      <c r="Q1260" s="58">
        <v>46208.541666666664</v>
      </c>
      <c r="R1260" s="22"/>
      <c r="S1260" s="21" t="s">
        <v>5060</v>
      </c>
      <c r="T1260" s="55" t="s">
        <v>4252</v>
      </c>
      <c r="U1260" s="18"/>
      <c r="V1260" s="53" t="s">
        <v>5061</v>
      </c>
      <c r="W1260" s="21"/>
      <c r="Y1260" t="s">
        <v>203</v>
      </c>
      <c r="Z1260" t="s">
        <v>52</v>
      </c>
    </row>
    <row r="1261" spans="1:26" ht="15" hidden="1" customHeight="1">
      <c r="A1261" s="60">
        <f>ROW() - ROW(Table1[[#Headers],[s]])</f>
        <v>1260</v>
      </c>
      <c r="B1261" t="s">
        <v>5062</v>
      </c>
      <c r="C1261" s="163">
        <v>46204</v>
      </c>
      <c r="D1261" s="52" t="s">
        <v>5063</v>
      </c>
      <c r="E1261" s="19" t="e" vm="58">
        <v>#VALUE!</v>
      </c>
      <c r="F1261" t="e" vm="25">
        <v>#VALUE!</v>
      </c>
      <c r="G1261" s="43" t="s">
        <v>36</v>
      </c>
      <c r="H1261" t="s">
        <v>152</v>
      </c>
      <c r="I1261" t="s">
        <v>43</v>
      </c>
      <c r="J1261" s="18" t="s">
        <v>153</v>
      </c>
      <c r="K1261" s="42" t="s">
        <v>154</v>
      </c>
      <c r="L1261" s="44">
        <v>46208.666666666664</v>
      </c>
      <c r="M1261" s="55" t="s">
        <v>872</v>
      </c>
      <c r="N1261" s="55" t="s">
        <v>872</v>
      </c>
      <c r="O1261" s="56"/>
      <c r="Q1261" s="58">
        <v>46208.833333333336</v>
      </c>
      <c r="S1261" s="21" t="s">
        <v>5064</v>
      </c>
      <c r="T1261" s="55" t="s">
        <v>4252</v>
      </c>
      <c r="V1261" s="53" t="s">
        <v>2936</v>
      </c>
      <c r="Y1261" t="s">
        <v>158</v>
      </c>
      <c r="Z1261" t="s">
        <v>70</v>
      </c>
    </row>
    <row r="1262" spans="1:26" ht="15" hidden="1" customHeight="1">
      <c r="A1262" s="60">
        <f>ROW() - ROW(Table1[[#Headers],[s]])</f>
        <v>1261</v>
      </c>
      <c r="B1262" t="s">
        <v>3748</v>
      </c>
      <c r="C1262" s="163">
        <v>46204</v>
      </c>
      <c r="D1262" s="52" t="s">
        <v>5065</v>
      </c>
      <c r="E1262" s="19" t="e" vm="80">
        <v>#VALUE!</v>
      </c>
      <c r="F1262" t="e" vm="10">
        <v>#VALUE!</v>
      </c>
      <c r="G1262" s="43" t="s">
        <v>36</v>
      </c>
      <c r="H1262" t="s">
        <v>152</v>
      </c>
      <c r="I1262" t="s">
        <v>43</v>
      </c>
      <c r="J1262" s="18" t="s">
        <v>153</v>
      </c>
      <c r="K1262" s="42" t="s">
        <v>154</v>
      </c>
      <c r="L1262" s="44">
        <v>46208.665277777778</v>
      </c>
      <c r="M1262" s="55" t="s">
        <v>78</v>
      </c>
      <c r="N1262" s="55" t="s">
        <v>78</v>
      </c>
      <c r="O1262" s="56"/>
      <c r="Q1262" s="58">
        <v>46208.78125</v>
      </c>
      <c r="S1262" s="21" t="s">
        <v>5066</v>
      </c>
      <c r="T1262" s="55" t="s">
        <v>4252</v>
      </c>
      <c r="V1262" s="53" t="s">
        <v>3028</v>
      </c>
      <c r="Y1262" t="s">
        <v>158</v>
      </c>
      <c r="Z1262" t="s">
        <v>70</v>
      </c>
    </row>
    <row r="1263" spans="1:26" ht="15" hidden="1" customHeight="1">
      <c r="A1263" s="60">
        <f>ROW() - ROW(Table1[[#Headers],[s]])</f>
        <v>1262</v>
      </c>
      <c r="B1263" t="s">
        <v>5067</v>
      </c>
      <c r="C1263" s="163">
        <v>46204</v>
      </c>
      <c r="D1263" s="52" t="s">
        <v>5068</v>
      </c>
      <c r="E1263" s="19" t="s">
        <v>5069</v>
      </c>
      <c r="F1263" t="e" vm="2">
        <v>#VALUE!</v>
      </c>
      <c r="G1263" s="43" t="s">
        <v>36</v>
      </c>
      <c r="H1263" t="s">
        <v>152</v>
      </c>
      <c r="I1263" t="s">
        <v>43</v>
      </c>
      <c r="J1263" s="18" t="s">
        <v>153</v>
      </c>
      <c r="K1263" s="42" t="s">
        <v>154</v>
      </c>
      <c r="L1263" s="44">
        <v>46208.664583333331</v>
      </c>
      <c r="M1263" s="55" t="s">
        <v>162</v>
      </c>
      <c r="N1263" s="55" t="s">
        <v>162</v>
      </c>
      <c r="O1263" s="56"/>
      <c r="Q1263" s="58">
        <v>46208.875</v>
      </c>
      <c r="S1263" s="21" t="s">
        <v>5070</v>
      </c>
      <c r="T1263" s="55" t="s">
        <v>4252</v>
      </c>
      <c r="V1263" s="53" t="s">
        <v>5071</v>
      </c>
      <c r="Y1263" t="s">
        <v>158</v>
      </c>
      <c r="Z1263" t="s">
        <v>70</v>
      </c>
    </row>
    <row r="1264" spans="1:26" ht="15" hidden="1" customHeight="1">
      <c r="A1264" s="60">
        <f>ROW() - ROW(Table1[[#Headers],[s]])</f>
        <v>1263</v>
      </c>
      <c r="B1264" t="s">
        <v>5072</v>
      </c>
      <c r="C1264" s="163">
        <v>46204</v>
      </c>
      <c r="D1264" s="52" t="s">
        <v>5073</v>
      </c>
      <c r="E1264" s="19" t="e" vm="206">
        <v>#VALUE!</v>
      </c>
      <c r="F1264" t="e" vm="10">
        <v>#VALUE!</v>
      </c>
      <c r="G1264" s="43" t="s">
        <v>36</v>
      </c>
      <c r="H1264" t="s">
        <v>152</v>
      </c>
      <c r="I1264" t="s">
        <v>43</v>
      </c>
      <c r="J1264" s="18" t="s">
        <v>153</v>
      </c>
      <c r="K1264" s="42" t="s">
        <v>154</v>
      </c>
      <c r="L1264" s="44">
        <v>46208.661805555559</v>
      </c>
      <c r="M1264" s="55" t="s">
        <v>78</v>
      </c>
      <c r="N1264" s="55" t="s">
        <v>78</v>
      </c>
      <c r="O1264" s="56"/>
      <c r="Q1264" s="58">
        <v>46208.729166666664</v>
      </c>
      <c r="S1264" s="21" t="s">
        <v>5074</v>
      </c>
      <c r="T1264" s="55" t="s">
        <v>4252</v>
      </c>
      <c r="V1264" s="53" t="s">
        <v>3039</v>
      </c>
      <c r="Y1264" t="s">
        <v>158</v>
      </c>
      <c r="Z1264" t="s">
        <v>70</v>
      </c>
    </row>
    <row r="1265" spans="1:26" ht="15" hidden="1" customHeight="1">
      <c r="A1265" s="60">
        <f>ROW() - ROW(Table1[[#Headers],[s]])</f>
        <v>1264</v>
      </c>
      <c r="B1265" t="s">
        <v>5075</v>
      </c>
      <c r="C1265" s="163">
        <v>46204</v>
      </c>
      <c r="D1265" s="52" t="s">
        <v>5076</v>
      </c>
      <c r="E1265" s="19" t="e" vm="14">
        <v>#VALUE!</v>
      </c>
      <c r="F1265" t="e" vm="1">
        <v>#VALUE!</v>
      </c>
      <c r="G1265" s="43" t="s">
        <v>36</v>
      </c>
      <c r="H1265" t="s">
        <v>152</v>
      </c>
      <c r="I1265" t="s">
        <v>43</v>
      </c>
      <c r="J1265" s="18" t="s">
        <v>268</v>
      </c>
      <c r="K1265" s="42" t="s">
        <v>154</v>
      </c>
      <c r="L1265" s="44">
        <v>46208.659722222219</v>
      </c>
      <c r="M1265" s="55" t="s">
        <v>1937</v>
      </c>
      <c r="N1265" s="55" t="s">
        <v>1937</v>
      </c>
      <c r="O1265" s="56"/>
      <c r="Q1265" s="58">
        <v>46208.8125</v>
      </c>
      <c r="S1265" s="21" t="s">
        <v>5077</v>
      </c>
      <c r="T1265" s="55" t="s">
        <v>164</v>
      </c>
      <c r="V1265" s="53" t="s">
        <v>5078</v>
      </c>
      <c r="Y1265" t="s">
        <v>158</v>
      </c>
      <c r="Z1265" t="s">
        <v>70</v>
      </c>
    </row>
    <row r="1266" spans="1:26" ht="15" hidden="1" customHeight="1">
      <c r="A1266" s="60">
        <f>ROW() - ROW(Table1[[#Headers],[s]])</f>
        <v>1265</v>
      </c>
      <c r="B1266" t="s">
        <v>5079</v>
      </c>
      <c r="C1266" s="163">
        <v>46204</v>
      </c>
      <c r="D1266" s="52" t="s">
        <v>5080</v>
      </c>
      <c r="E1266" s="19" t="e" vm="274">
        <v>#VALUE!</v>
      </c>
      <c r="F1266" t="e" vm="2">
        <v>#VALUE!</v>
      </c>
      <c r="G1266" s="43" t="s">
        <v>36</v>
      </c>
      <c r="H1266" t="s">
        <v>152</v>
      </c>
      <c r="I1266" t="s">
        <v>43</v>
      </c>
      <c r="J1266" s="18" t="s">
        <v>153</v>
      </c>
      <c r="K1266" s="42" t="s">
        <v>154</v>
      </c>
      <c r="L1266" s="44">
        <v>46208.685416666667</v>
      </c>
      <c r="M1266" s="55" t="s">
        <v>162</v>
      </c>
      <c r="N1266" s="55" t="s">
        <v>162</v>
      </c>
      <c r="O1266" s="56"/>
      <c r="Q1266" s="58">
        <v>46208.819444444445</v>
      </c>
      <c r="S1266" s="21" t="s">
        <v>5081</v>
      </c>
      <c r="T1266" s="55" t="s">
        <v>4252</v>
      </c>
      <c r="V1266" s="53" t="s">
        <v>5082</v>
      </c>
      <c r="Y1266" t="s">
        <v>203</v>
      </c>
      <c r="Z1266" t="s">
        <v>70</v>
      </c>
    </row>
    <row r="1267" spans="1:26" ht="15" hidden="1" customHeight="1">
      <c r="A1267" s="60">
        <f>ROW() - ROW(Table1[[#Headers],[s]])</f>
        <v>1266</v>
      </c>
      <c r="B1267" t="s">
        <v>5083</v>
      </c>
      <c r="C1267" s="163">
        <v>46204</v>
      </c>
      <c r="D1267" s="52" t="s">
        <v>5084</v>
      </c>
      <c r="E1267" s="19" t="e" vm="9">
        <v>#VALUE!</v>
      </c>
      <c r="F1267" t="e" vm="10">
        <v>#VALUE!</v>
      </c>
      <c r="G1267" s="43" t="s">
        <v>36</v>
      </c>
      <c r="H1267" t="s">
        <v>152</v>
      </c>
      <c r="I1267" t="s">
        <v>43</v>
      </c>
      <c r="J1267" s="18" t="s">
        <v>153</v>
      </c>
      <c r="K1267" s="42" t="s">
        <v>154</v>
      </c>
      <c r="L1267" s="44">
        <v>46208.705555555556</v>
      </c>
      <c r="M1267" s="55" t="s">
        <v>78</v>
      </c>
      <c r="N1267" s="55" t="s">
        <v>78</v>
      </c>
      <c r="O1267" s="56"/>
      <c r="Q1267" s="58">
        <v>46208.798611111109</v>
      </c>
      <c r="S1267" s="21" t="s">
        <v>5085</v>
      </c>
      <c r="T1267" s="55" t="s">
        <v>164</v>
      </c>
      <c r="V1267" s="53" t="s">
        <v>858</v>
      </c>
      <c r="Y1267" t="s">
        <v>203</v>
      </c>
      <c r="Z1267" t="s">
        <v>70</v>
      </c>
    </row>
    <row r="1268" spans="1:26" ht="15" customHeight="1">
      <c r="A1268" s="60">
        <f>ROW() - ROW(Table1[[#Headers],[s]])</f>
        <v>1267</v>
      </c>
      <c r="B1268" t="s">
        <v>5086</v>
      </c>
      <c r="C1268" s="163">
        <v>46204</v>
      </c>
      <c r="D1268" s="52" t="s">
        <v>5087</v>
      </c>
      <c r="E1268" s="19" t="e" vm="34">
        <v>#VALUE!</v>
      </c>
      <c r="F1268" t="e" vm="11">
        <v>#VALUE!</v>
      </c>
      <c r="G1268" s="43" t="s">
        <v>186</v>
      </c>
      <c r="H1268" t="s">
        <v>747</v>
      </c>
      <c r="I1268" t="s">
        <v>43</v>
      </c>
      <c r="J1268" s="18" t="s">
        <v>253</v>
      </c>
      <c r="K1268" s="42" t="s">
        <v>154</v>
      </c>
      <c r="L1268" s="44">
        <v>46209.448611111111</v>
      </c>
      <c r="M1268" s="371" t="s">
        <v>155</v>
      </c>
      <c r="N1268" s="400" t="s">
        <v>155</v>
      </c>
      <c r="O1268" s="56">
        <v>46209.5</v>
      </c>
      <c r="P1268" s="2">
        <v>46209.541666666664</v>
      </c>
      <c r="Q1268" s="58">
        <v>46209.595833333333</v>
      </c>
      <c r="S1268" s="393" t="s">
        <v>5088</v>
      </c>
      <c r="T1268" s="55" t="s">
        <v>478</v>
      </c>
      <c r="V1268" s="393" t="s">
        <v>5089</v>
      </c>
      <c r="Y1268" t="s">
        <v>158</v>
      </c>
      <c r="Z1268" t="s">
        <v>70</v>
      </c>
    </row>
    <row r="1269" spans="1:26" ht="15" customHeight="1">
      <c r="A1269" s="60">
        <f>ROW() - ROW(Table1[[#Headers],[s]])</f>
        <v>1268</v>
      </c>
      <c r="B1269" t="s">
        <v>5090</v>
      </c>
      <c r="C1269" s="272">
        <v>46204</v>
      </c>
      <c r="D1269" s="19" t="s">
        <v>5091</v>
      </c>
      <c r="E1269" s="19" t="e" vm="269">
        <v>#VALUE!</v>
      </c>
      <c r="F1269" t="e" vm="2">
        <v>#VALUE!</v>
      </c>
      <c r="G1269" s="43" t="s">
        <v>186</v>
      </c>
      <c r="H1269" t="s">
        <v>152</v>
      </c>
      <c r="I1269" t="s">
        <v>43</v>
      </c>
      <c r="J1269" s="18" t="s">
        <v>153</v>
      </c>
      <c r="K1269" s="42" t="s">
        <v>154</v>
      </c>
      <c r="L1269" s="20">
        <v>46209.477083333331</v>
      </c>
      <c r="M1269" s="55" t="s">
        <v>162</v>
      </c>
      <c r="N1269" s="55" t="s">
        <v>162</v>
      </c>
      <c r="O1269" s="3">
        <v>46209.666666666664</v>
      </c>
      <c r="P1269" s="2">
        <v>46209.673611111109</v>
      </c>
      <c r="Q1269" s="22">
        <v>46209.754166666666</v>
      </c>
      <c r="S1269" s="21" t="s">
        <v>5092</v>
      </c>
      <c r="T1269" s="55" t="s">
        <v>478</v>
      </c>
      <c r="V1269" s="21" t="s">
        <v>581</v>
      </c>
      <c r="Y1269" t="s">
        <v>158</v>
      </c>
      <c r="Z1269" t="s">
        <v>70</v>
      </c>
    </row>
    <row r="1270" spans="1:26" ht="15" customHeight="1">
      <c r="A1270" s="60">
        <f>ROW() - ROW(Table1[[#Headers],[s]])</f>
        <v>1269</v>
      </c>
      <c r="B1270" t="s">
        <v>5093</v>
      </c>
      <c r="C1270" s="272">
        <v>46204</v>
      </c>
      <c r="D1270" s="19" t="s">
        <v>5094</v>
      </c>
      <c r="E1270" s="19" t="e" vm="269">
        <v>#VALUE!</v>
      </c>
      <c r="F1270" t="e" vm="2">
        <v>#VALUE!</v>
      </c>
      <c r="G1270" s="43" t="s">
        <v>186</v>
      </c>
      <c r="H1270" t="s">
        <v>152</v>
      </c>
      <c r="I1270" t="s">
        <v>43</v>
      </c>
      <c r="J1270" s="18" t="s">
        <v>153</v>
      </c>
      <c r="K1270" s="42" t="s">
        <v>154</v>
      </c>
      <c r="L1270" s="20">
        <v>46209.46875</v>
      </c>
      <c r="M1270" s="55" t="s">
        <v>162</v>
      </c>
      <c r="N1270" s="55" t="s">
        <v>162</v>
      </c>
      <c r="O1270" s="3">
        <v>46209.666666666664</v>
      </c>
      <c r="P1270" s="2">
        <v>46209.673611111109</v>
      </c>
      <c r="Q1270" s="22">
        <v>46209.791666666664</v>
      </c>
      <c r="S1270" s="21" t="s">
        <v>5095</v>
      </c>
      <c r="T1270" s="55" t="s">
        <v>478</v>
      </c>
      <c r="V1270" s="21" t="s">
        <v>581</v>
      </c>
      <c r="Y1270" t="s">
        <v>158</v>
      </c>
      <c r="Z1270" t="s">
        <v>70</v>
      </c>
    </row>
    <row r="1271" spans="1:26" ht="15" customHeight="1">
      <c r="A1271" s="60">
        <f>ROW() - ROW(Table1[[#Headers],[s]])</f>
        <v>1270</v>
      </c>
      <c r="B1271" t="s">
        <v>5096</v>
      </c>
      <c r="C1271" s="272">
        <v>46204</v>
      </c>
      <c r="D1271" s="19" t="s">
        <v>5097</v>
      </c>
      <c r="E1271" s="19" t="e" vm="57">
        <v>#VALUE!</v>
      </c>
      <c r="F1271" t="e" vm="25">
        <v>#VALUE!</v>
      </c>
      <c r="G1271" s="43" t="s">
        <v>186</v>
      </c>
      <c r="H1271" t="s">
        <v>152</v>
      </c>
      <c r="I1271" t="s">
        <v>43</v>
      </c>
      <c r="J1271" s="18" t="s">
        <v>153</v>
      </c>
      <c r="K1271" s="42" t="s">
        <v>154</v>
      </c>
      <c r="L1271" s="20">
        <v>46209.533333333333</v>
      </c>
      <c r="M1271" s="18" t="s">
        <v>72</v>
      </c>
      <c r="N1271" s="18" t="s">
        <v>72</v>
      </c>
      <c r="O1271" s="3">
        <v>46209.708333333336</v>
      </c>
      <c r="P1271" s="2">
        <v>46209.715277777781</v>
      </c>
      <c r="Q1271" s="22">
        <v>46209.831250000003</v>
      </c>
      <c r="S1271" s="21" t="s">
        <v>5098</v>
      </c>
      <c r="T1271" s="55" t="s">
        <v>478</v>
      </c>
      <c r="V1271" s="21" t="s">
        <v>3779</v>
      </c>
      <c r="Y1271" t="s">
        <v>158</v>
      </c>
      <c r="Z1271" t="s">
        <v>70</v>
      </c>
    </row>
    <row r="1272" spans="1:26" ht="15" customHeight="1">
      <c r="A1272" s="60">
        <f>ROW() - ROW(Table1[[#Headers],[s]])</f>
        <v>1271</v>
      </c>
      <c r="B1272" t="s">
        <v>5099</v>
      </c>
      <c r="C1272" s="272">
        <v>46204</v>
      </c>
      <c r="D1272" s="19" t="s">
        <v>5100</v>
      </c>
      <c r="E1272" s="19" t="e" vm="224">
        <v>#VALUE!</v>
      </c>
      <c r="F1272" t="e" vm="40">
        <v>#VALUE!</v>
      </c>
      <c r="G1272" s="43" t="s">
        <v>186</v>
      </c>
      <c r="H1272" t="s">
        <v>152</v>
      </c>
      <c r="I1272" t="s">
        <v>43</v>
      </c>
      <c r="J1272" s="18" t="s">
        <v>153</v>
      </c>
      <c r="K1272" s="42" t="s">
        <v>154</v>
      </c>
      <c r="L1272" s="20">
        <v>46209.505555555559</v>
      </c>
      <c r="M1272" s="18" t="s">
        <v>39</v>
      </c>
      <c r="N1272" s="18" t="s">
        <v>39</v>
      </c>
      <c r="O1272" s="3">
        <v>46209.583333333336</v>
      </c>
      <c r="P1272" s="2">
        <v>46209.590277777781</v>
      </c>
      <c r="Q1272" s="22">
        <v>46209.681944444441</v>
      </c>
      <c r="S1272" s="21" t="s">
        <v>5101</v>
      </c>
      <c r="T1272" s="55" t="s">
        <v>478</v>
      </c>
      <c r="V1272" s="21" t="s">
        <v>5102</v>
      </c>
      <c r="Y1272" t="s">
        <v>158</v>
      </c>
      <c r="Z1272" t="s">
        <v>70</v>
      </c>
    </row>
    <row r="1273" spans="1:26" ht="15" customHeight="1">
      <c r="A1273" s="60">
        <f>ROW() - ROW(Table1[[#Headers],[s]])</f>
        <v>1272</v>
      </c>
      <c r="B1273" t="s">
        <v>5103</v>
      </c>
      <c r="C1273" s="272">
        <v>46204</v>
      </c>
      <c r="D1273" s="19" t="s">
        <v>5104</v>
      </c>
      <c r="E1273" s="19" t="s">
        <v>5105</v>
      </c>
      <c r="F1273" t="e" vm="10">
        <v>#VALUE!</v>
      </c>
      <c r="G1273" s="43" t="s">
        <v>186</v>
      </c>
      <c r="H1273" t="s">
        <v>152</v>
      </c>
      <c r="I1273" t="s">
        <v>43</v>
      </c>
      <c r="J1273" s="18" t="s">
        <v>153</v>
      </c>
      <c r="K1273" s="42" t="s">
        <v>154</v>
      </c>
      <c r="L1273" s="20">
        <v>46209.557638888888</v>
      </c>
      <c r="M1273" s="55" t="s">
        <v>78</v>
      </c>
      <c r="N1273" s="55" t="s">
        <v>78</v>
      </c>
      <c r="O1273" s="3">
        <v>46209.666666666664</v>
      </c>
      <c r="P1273" s="2">
        <v>46209.673611111109</v>
      </c>
      <c r="Q1273" s="22">
        <v>46209.798611111109</v>
      </c>
      <c r="S1273" s="21" t="s">
        <v>3152</v>
      </c>
      <c r="T1273" s="55" t="s">
        <v>478</v>
      </c>
      <c r="V1273" s="21" t="s">
        <v>5106</v>
      </c>
      <c r="Y1273" t="s">
        <v>158</v>
      </c>
      <c r="Z1273" t="s">
        <v>70</v>
      </c>
    </row>
    <row r="1274" spans="1:26" ht="15" customHeight="1">
      <c r="A1274" s="60">
        <f>ROW() - ROW(Table1[[#Headers],[s]])</f>
        <v>1273</v>
      </c>
      <c r="B1274" t="s">
        <v>5107</v>
      </c>
      <c r="C1274" s="272">
        <v>46204</v>
      </c>
      <c r="D1274" s="19" t="s">
        <v>5108</v>
      </c>
      <c r="E1274" s="19" t="e" vm="72">
        <v>#VALUE!</v>
      </c>
      <c r="F1274" t="e" vm="25">
        <v>#VALUE!</v>
      </c>
      <c r="G1274" s="43" t="s">
        <v>186</v>
      </c>
      <c r="H1274" t="s">
        <v>152</v>
      </c>
      <c r="I1274" t="s">
        <v>43</v>
      </c>
      <c r="J1274" s="18" t="s">
        <v>153</v>
      </c>
      <c r="K1274" s="42" t="s">
        <v>154</v>
      </c>
      <c r="L1274" s="20">
        <v>46209.611805555556</v>
      </c>
      <c r="M1274" s="18" t="s">
        <v>72</v>
      </c>
      <c r="N1274" s="18" t="s">
        <v>72</v>
      </c>
      <c r="O1274" s="3">
        <v>46209.677083333336</v>
      </c>
      <c r="P1274" s="2">
        <v>46209.684027777781</v>
      </c>
      <c r="Q1274" s="22">
        <v>46209.777083333334</v>
      </c>
      <c r="S1274" s="21" t="s">
        <v>5109</v>
      </c>
      <c r="T1274" s="55" t="s">
        <v>478</v>
      </c>
      <c r="V1274" s="21" t="s">
        <v>5110</v>
      </c>
      <c r="Y1274" t="s">
        <v>158</v>
      </c>
      <c r="Z1274" t="s">
        <v>70</v>
      </c>
    </row>
    <row r="1275" spans="1:26" ht="15" customHeight="1">
      <c r="A1275" s="60">
        <f>ROW() - ROW(Table1[[#Headers],[s]])</f>
        <v>1274</v>
      </c>
      <c r="B1275" t="s">
        <v>5111</v>
      </c>
      <c r="C1275" s="272">
        <v>46204</v>
      </c>
      <c r="D1275" s="19" t="s">
        <v>5112</v>
      </c>
      <c r="E1275" s="19" t="e" vm="161">
        <v>#VALUE!</v>
      </c>
      <c r="F1275" t="e" vm="39">
        <v>#VALUE!</v>
      </c>
      <c r="G1275" s="43" t="s">
        <v>186</v>
      </c>
      <c r="H1275" t="s">
        <v>152</v>
      </c>
      <c r="I1275" t="s">
        <v>43</v>
      </c>
      <c r="J1275" s="18" t="s">
        <v>153</v>
      </c>
      <c r="K1275" s="42" t="s">
        <v>154</v>
      </c>
      <c r="L1275" s="20">
        <v>46209.647222222222</v>
      </c>
      <c r="M1275" s="18" t="s">
        <v>5113</v>
      </c>
      <c r="N1275" s="18" t="s">
        <v>5113</v>
      </c>
      <c r="O1275" s="3">
        <v>46209.708333333336</v>
      </c>
      <c r="P1275" s="2">
        <v>46209.715277777781</v>
      </c>
      <c r="Q1275" s="22">
        <v>46209.782638888886</v>
      </c>
      <c r="S1275" s="21" t="s">
        <v>5114</v>
      </c>
      <c r="T1275" s="55" t="s">
        <v>478</v>
      </c>
      <c r="V1275" s="21" t="s">
        <v>1032</v>
      </c>
      <c r="Y1275" t="s">
        <v>158</v>
      </c>
      <c r="Z1275" t="s">
        <v>70</v>
      </c>
    </row>
    <row r="1276" spans="1:26" ht="15" customHeight="1">
      <c r="A1276" s="60">
        <f>ROW() - ROW(Table1[[#Headers],[s]])</f>
        <v>1275</v>
      </c>
      <c r="B1276" t="s">
        <v>5115</v>
      </c>
      <c r="C1276" s="272">
        <v>46204</v>
      </c>
      <c r="D1276" s="19" t="s">
        <v>5116</v>
      </c>
      <c r="E1276" s="19" t="e" vm="188">
        <v>#VALUE!</v>
      </c>
      <c r="F1276" t="e" vm="25">
        <v>#VALUE!</v>
      </c>
      <c r="G1276" s="43" t="s">
        <v>186</v>
      </c>
      <c r="H1276" t="s">
        <v>152</v>
      </c>
      <c r="I1276" t="s">
        <v>43</v>
      </c>
      <c r="J1276" s="18" t="s">
        <v>153</v>
      </c>
      <c r="K1276" s="42" t="s">
        <v>154</v>
      </c>
      <c r="L1276" s="20">
        <v>46209.650694444441</v>
      </c>
      <c r="M1276" s="18" t="s">
        <v>72</v>
      </c>
      <c r="N1276" s="18" t="s">
        <v>72</v>
      </c>
      <c r="O1276" s="3">
        <v>46209.833333333336</v>
      </c>
      <c r="P1276" s="2">
        <v>46209.840277777781</v>
      </c>
      <c r="Q1276" s="22">
        <v>46209.944444444445</v>
      </c>
      <c r="S1276" s="21" t="s">
        <v>801</v>
      </c>
      <c r="T1276" s="55" t="s">
        <v>478</v>
      </c>
      <c r="V1276" s="21" t="s">
        <v>437</v>
      </c>
      <c r="Y1276" t="s">
        <v>158</v>
      </c>
      <c r="Z1276" t="s">
        <v>70</v>
      </c>
    </row>
    <row r="1277" spans="1:26" ht="15" customHeight="1">
      <c r="A1277" s="60">
        <f>ROW() - ROW(Table1[[#Headers],[s]])</f>
        <v>1276</v>
      </c>
      <c r="B1277" t="s">
        <v>5117</v>
      </c>
      <c r="C1277" s="272">
        <v>46204</v>
      </c>
      <c r="D1277" s="19" t="s">
        <v>5118</v>
      </c>
      <c r="E1277" s="19" t="e" vm="90">
        <v>#VALUE!</v>
      </c>
      <c r="F1277" t="e" vm="25">
        <v>#VALUE!</v>
      </c>
      <c r="G1277" s="43" t="s">
        <v>186</v>
      </c>
      <c r="H1277" t="s">
        <v>152</v>
      </c>
      <c r="I1277" t="s">
        <v>43</v>
      </c>
      <c r="J1277" s="18" t="s">
        <v>153</v>
      </c>
      <c r="K1277" s="42" t="s">
        <v>154</v>
      </c>
      <c r="L1277" s="20">
        <v>46209.710416666669</v>
      </c>
      <c r="M1277" s="18" t="s">
        <v>72</v>
      </c>
      <c r="N1277" s="18" t="s">
        <v>72</v>
      </c>
      <c r="O1277" s="3">
        <v>46209.833333333336</v>
      </c>
      <c r="P1277" s="2">
        <v>46209.840277777781</v>
      </c>
      <c r="Q1277" s="22">
        <v>46209.878472222219</v>
      </c>
      <c r="S1277" s="21" t="s">
        <v>5119</v>
      </c>
      <c r="T1277" s="55" t="s">
        <v>478</v>
      </c>
      <c r="V1277" s="21" t="s">
        <v>1032</v>
      </c>
      <c r="Y1277" t="s">
        <v>158</v>
      </c>
      <c r="Z1277" t="s">
        <v>70</v>
      </c>
    </row>
    <row r="1278" spans="1:26" ht="15" customHeight="1">
      <c r="A1278" s="60">
        <f>ROW() - ROW(Table1[[#Headers],[s]])</f>
        <v>1277</v>
      </c>
      <c r="B1278" t="s">
        <v>5120</v>
      </c>
      <c r="C1278" s="272">
        <v>46204</v>
      </c>
      <c r="D1278" s="19" t="s">
        <v>5121</v>
      </c>
      <c r="E1278" s="19" t="e" vm="269">
        <v>#VALUE!</v>
      </c>
      <c r="F1278" t="e" vm="2">
        <v>#VALUE!</v>
      </c>
      <c r="G1278" s="43" t="s">
        <v>186</v>
      </c>
      <c r="H1278" t="s">
        <v>152</v>
      </c>
      <c r="I1278" t="s">
        <v>43</v>
      </c>
      <c r="J1278" s="18" t="s">
        <v>153</v>
      </c>
      <c r="K1278" s="42" t="s">
        <v>154</v>
      </c>
      <c r="L1278" s="20">
        <v>46209.720833333333</v>
      </c>
      <c r="M1278" s="55" t="s">
        <v>162</v>
      </c>
      <c r="N1278" s="55" t="s">
        <v>162</v>
      </c>
      <c r="O1278" s="3">
        <v>46209.775000000001</v>
      </c>
      <c r="P1278" s="2">
        <v>46209.781944444447</v>
      </c>
      <c r="Q1278" s="22">
        <v>46209.816666666666</v>
      </c>
      <c r="S1278" s="21" t="s">
        <v>5122</v>
      </c>
      <c r="T1278" s="55" t="s">
        <v>478</v>
      </c>
      <c r="V1278" s="21" t="s">
        <v>581</v>
      </c>
      <c r="Y1278" t="s">
        <v>158</v>
      </c>
      <c r="Z1278" t="s">
        <v>70</v>
      </c>
    </row>
    <row r="1279" spans="1:26" ht="15" hidden="1" customHeight="1">
      <c r="A1279" s="60">
        <f>ROW() - ROW(Table1[[#Headers],[s]])</f>
        <v>1278</v>
      </c>
      <c r="B1279" t="s">
        <v>5123</v>
      </c>
      <c r="C1279" s="272">
        <v>46204</v>
      </c>
      <c r="D1279" s="19" t="s">
        <v>5124</v>
      </c>
      <c r="E1279" s="19" t="e" vm="176">
        <v>#VALUE!</v>
      </c>
      <c r="F1279" t="e" vm="49">
        <v>#VALUE!</v>
      </c>
      <c r="G1279" s="5" t="s">
        <v>200</v>
      </c>
      <c r="H1279" t="s">
        <v>747</v>
      </c>
      <c r="J1279" s="18" t="s">
        <v>253</v>
      </c>
      <c r="K1279" s="47" t="s">
        <v>840</v>
      </c>
      <c r="L1279" s="20">
        <v>46210.366666666669</v>
      </c>
      <c r="M1279" s="371" t="s">
        <v>155</v>
      </c>
      <c r="N1279" s="400" t="s">
        <v>155</v>
      </c>
      <c r="O1279" s="3"/>
      <c r="S1279" s="21" t="s">
        <v>5125</v>
      </c>
      <c r="T1279" s="18" t="s">
        <v>5126</v>
      </c>
      <c r="V1279" s="21" t="s">
        <v>5127</v>
      </c>
      <c r="Y1279" t="s">
        <v>70</v>
      </c>
      <c r="Z1279" t="s">
        <v>158</v>
      </c>
    </row>
    <row r="1280" spans="1:26" ht="15" hidden="1" customHeight="1">
      <c r="A1280" s="60">
        <f>ROW() - ROW(Table1[[#Headers],[s]])</f>
        <v>1279</v>
      </c>
      <c r="B1280" t="s">
        <v>5128</v>
      </c>
      <c r="C1280" s="163">
        <v>46204</v>
      </c>
      <c r="D1280" s="182" t="s">
        <v>5129</v>
      </c>
      <c r="E1280" s="19" t="s">
        <v>5130</v>
      </c>
      <c r="F1280" t="e" vm="17">
        <v>#VALUE!</v>
      </c>
      <c r="G1280" s="43" t="s">
        <v>174</v>
      </c>
      <c r="H1280" t="s">
        <v>152</v>
      </c>
      <c r="J1280" s="18" t="s">
        <v>153</v>
      </c>
      <c r="K1280" t="s">
        <v>332</v>
      </c>
      <c r="L1280" s="44">
        <v>46210.493055555555</v>
      </c>
      <c r="M1280" s="18" t="s">
        <v>227</v>
      </c>
      <c r="N1280" s="18" t="s">
        <v>227</v>
      </c>
      <c r="O1280" s="3">
        <v>46211.333333333336</v>
      </c>
      <c r="P1280" s="3">
        <v>46211.354166666664</v>
      </c>
      <c r="Q1280" s="3">
        <v>46211.458333333336</v>
      </c>
      <c r="S1280" s="21" t="s">
        <v>473</v>
      </c>
      <c r="T1280" s="55" t="s">
        <v>5131</v>
      </c>
      <c r="V1280" s="53" t="s">
        <v>5132</v>
      </c>
      <c r="Y1280" t="s">
        <v>158</v>
      </c>
      <c r="Z1280" t="s">
        <v>158</v>
      </c>
    </row>
    <row r="1281" spans="1:27" ht="15" hidden="1" customHeight="1">
      <c r="A1281" s="60">
        <f>ROW() - ROW(Table1[[#Headers],[s]])</f>
        <v>1280</v>
      </c>
      <c r="B1281" t="s">
        <v>5133</v>
      </c>
      <c r="C1281" s="272">
        <v>46204</v>
      </c>
      <c r="D1281" s="19" t="s">
        <v>5134</v>
      </c>
      <c r="E1281" s="19" t="s">
        <v>5135</v>
      </c>
      <c r="F1281" t="e" vm="2">
        <v>#VALUE!</v>
      </c>
      <c r="G1281" s="5" t="s">
        <v>200</v>
      </c>
      <c r="H1281" t="s">
        <v>152</v>
      </c>
      <c r="I1281" t="s">
        <v>43</v>
      </c>
      <c r="J1281" s="18" t="s">
        <v>153</v>
      </c>
      <c r="K1281" s="42" t="s">
        <v>154</v>
      </c>
      <c r="L1281" s="44">
        <v>46210.459722222222</v>
      </c>
      <c r="M1281" s="55" t="s">
        <v>162</v>
      </c>
      <c r="N1281" s="55" t="s">
        <v>162</v>
      </c>
      <c r="O1281" s="3">
        <v>46210.583333333336</v>
      </c>
      <c r="P1281" s="2">
        <v>46210.604166666664</v>
      </c>
      <c r="Q1281" s="22">
        <v>46210.625</v>
      </c>
      <c r="S1281" s="21" t="s">
        <v>5136</v>
      </c>
      <c r="T1281" s="18" t="s">
        <v>50</v>
      </c>
      <c r="V1281" s="21" t="s">
        <v>374</v>
      </c>
      <c r="Y1281" t="s">
        <v>203</v>
      </c>
      <c r="Z1281" t="s">
        <v>70</v>
      </c>
    </row>
    <row r="1282" spans="1:27" ht="15" hidden="1" customHeight="1">
      <c r="A1282" s="60">
        <f>ROW() - ROW(Table1[[#Headers],[s]])</f>
        <v>1281</v>
      </c>
      <c r="B1282" t="s">
        <v>5137</v>
      </c>
      <c r="C1282" s="272">
        <v>46204</v>
      </c>
      <c r="D1282" s="308" t="s">
        <v>5138</v>
      </c>
      <c r="E1282" s="19" t="s">
        <v>5139</v>
      </c>
      <c r="F1282" t="e" vm="10">
        <v>#VALUE!</v>
      </c>
      <c r="G1282" s="5" t="s">
        <v>200</v>
      </c>
      <c r="H1282" t="s">
        <v>152</v>
      </c>
      <c r="I1282" t="s">
        <v>43</v>
      </c>
      <c r="J1282" s="18" t="s">
        <v>153</v>
      </c>
      <c r="K1282" t="s">
        <v>154</v>
      </c>
      <c r="L1282" s="20">
        <v>46210.463194444441</v>
      </c>
      <c r="M1282" s="18" t="s">
        <v>78</v>
      </c>
      <c r="N1282" s="55" t="s">
        <v>78</v>
      </c>
      <c r="O1282" s="3">
        <v>46210.729166666664</v>
      </c>
      <c r="P1282" s="2">
        <v>46210.75</v>
      </c>
      <c r="Q1282" s="22">
        <v>46210.770833333336</v>
      </c>
      <c r="S1282" s="21" t="s">
        <v>5140</v>
      </c>
      <c r="T1282" s="18" t="s">
        <v>50</v>
      </c>
      <c r="V1282" s="21" t="s">
        <v>374</v>
      </c>
      <c r="Y1282" t="s">
        <v>203</v>
      </c>
      <c r="Z1282" t="s">
        <v>70</v>
      </c>
    </row>
    <row r="1283" spans="1:27" ht="15" hidden="1" customHeight="1">
      <c r="A1283" s="60">
        <f>ROW() - ROW(Table1[[#Headers],[s]])</f>
        <v>1282</v>
      </c>
      <c r="B1283" t="s">
        <v>5141</v>
      </c>
      <c r="C1283" s="272">
        <v>46204</v>
      </c>
      <c r="D1283" s="19" t="s">
        <v>5142</v>
      </c>
      <c r="E1283" s="19" t="s">
        <v>5143</v>
      </c>
      <c r="F1283" t="e" vm="40">
        <v>#VALUE!</v>
      </c>
      <c r="G1283" s="5" t="s">
        <v>200</v>
      </c>
      <c r="H1283" t="s">
        <v>152</v>
      </c>
      <c r="I1283" t="s">
        <v>43</v>
      </c>
      <c r="J1283" s="18" t="s">
        <v>153</v>
      </c>
      <c r="K1283" t="s">
        <v>154</v>
      </c>
      <c r="L1283" s="20">
        <v>46210.467361111114</v>
      </c>
      <c r="M1283" s="18" t="s">
        <v>5144</v>
      </c>
      <c r="N1283" s="18" t="s">
        <v>5144</v>
      </c>
      <c r="O1283" s="3">
        <v>46210.541666666664</v>
      </c>
      <c r="P1283" s="2">
        <v>46210.5625</v>
      </c>
      <c r="Q1283" s="22">
        <v>46210.583333333336</v>
      </c>
      <c r="S1283" s="21" t="s">
        <v>5145</v>
      </c>
      <c r="T1283" s="18" t="s">
        <v>478</v>
      </c>
      <c r="V1283" s="21" t="s">
        <v>5146</v>
      </c>
      <c r="Y1283" t="s">
        <v>203</v>
      </c>
      <c r="Z1283" t="s">
        <v>70</v>
      </c>
    </row>
    <row r="1284" spans="1:27" ht="15" hidden="1" customHeight="1">
      <c r="A1284" s="60">
        <f>ROW() - ROW(Table1[[#Headers],[s]])</f>
        <v>1283</v>
      </c>
      <c r="B1284" s="2" t="s">
        <v>5147</v>
      </c>
      <c r="C1284" s="272">
        <v>46204</v>
      </c>
      <c r="D1284" s="308" t="s">
        <v>5148</v>
      </c>
      <c r="E1284" s="19" t="s">
        <v>5149</v>
      </c>
      <c r="F1284" t="e" vm="10">
        <v>#VALUE!</v>
      </c>
      <c r="G1284" s="5" t="s">
        <v>200</v>
      </c>
      <c r="H1284" t="s">
        <v>152</v>
      </c>
      <c r="J1284" s="18" t="s">
        <v>153</v>
      </c>
      <c r="K1284" t="s">
        <v>154</v>
      </c>
      <c r="L1284" s="20">
        <v>46210.476388888892</v>
      </c>
      <c r="M1284" s="18" t="s">
        <v>78</v>
      </c>
      <c r="N1284" s="55" t="s">
        <v>78</v>
      </c>
      <c r="O1284" s="3">
        <v>46210.666666666664</v>
      </c>
      <c r="P1284" s="2">
        <v>46210.6875</v>
      </c>
      <c r="Q1284" s="22">
        <v>46210.729166666664</v>
      </c>
      <c r="S1284" s="21" t="s">
        <v>5150</v>
      </c>
      <c r="T1284" s="18" t="s">
        <v>478</v>
      </c>
      <c r="V1284" s="21" t="s">
        <v>5151</v>
      </c>
      <c r="Y1284" t="s">
        <v>203</v>
      </c>
      <c r="Z1284" t="s">
        <v>70</v>
      </c>
    </row>
    <row r="1285" spans="1:27" s="24" customFormat="1" ht="15" hidden="1" customHeight="1">
      <c r="A1285" s="87">
        <f>ROW() - ROW(Table1[[#Headers],[s]])</f>
        <v>1284</v>
      </c>
      <c r="B1285" s="24" t="s">
        <v>5152</v>
      </c>
      <c r="C1285" s="366">
        <v>46204</v>
      </c>
      <c r="D1285" s="242" t="s">
        <v>5153</v>
      </c>
      <c r="E1285" s="242" t="s">
        <v>5154</v>
      </c>
      <c r="F1285" s="24" t="e" vm="12">
        <v>#VALUE!</v>
      </c>
      <c r="G1285" s="256" t="s">
        <v>200</v>
      </c>
      <c r="H1285" s="24" t="s">
        <v>152</v>
      </c>
      <c r="J1285" s="259" t="s">
        <v>153</v>
      </c>
      <c r="K1285" s="24" t="s">
        <v>154</v>
      </c>
      <c r="L1285" s="258">
        <v>46210.48541666667</v>
      </c>
      <c r="M1285" s="259" t="s">
        <v>72</v>
      </c>
      <c r="N1285" s="259" t="s">
        <v>72</v>
      </c>
      <c r="O1285" s="344">
        <v>46210.75</v>
      </c>
      <c r="P1285" s="362">
        <v>46210.75</v>
      </c>
      <c r="Q1285" s="346">
        <v>46210.770833333336</v>
      </c>
      <c r="S1285" s="345" t="s">
        <v>2609</v>
      </c>
      <c r="T1285" s="18" t="s">
        <v>478</v>
      </c>
      <c r="V1285" s="345" t="s">
        <v>5155</v>
      </c>
      <c r="AA1285"/>
    </row>
    <row r="1286" spans="1:27" ht="15" hidden="1" customHeight="1">
      <c r="A1286" s="60">
        <f>ROW() - ROW(Table1[[#Headers],[s]])</f>
        <v>1285</v>
      </c>
      <c r="B1286" t="s">
        <v>5156</v>
      </c>
      <c r="C1286" s="272">
        <v>46204</v>
      </c>
      <c r="D1286" s="308" t="s">
        <v>5157</v>
      </c>
      <c r="E1286" s="19" t="s">
        <v>5158</v>
      </c>
      <c r="F1286" t="e" vm="35">
        <v>#VALUE!</v>
      </c>
      <c r="G1286" s="43" t="s">
        <v>174</v>
      </c>
      <c r="H1286" t="s">
        <v>152</v>
      </c>
      <c r="J1286" s="18" t="s">
        <v>153</v>
      </c>
      <c r="K1286" t="s">
        <v>332</v>
      </c>
      <c r="L1286" s="20">
        <v>46210.613194444442</v>
      </c>
      <c r="M1286" s="18" t="s">
        <v>227</v>
      </c>
      <c r="N1286" s="18" t="s">
        <v>227</v>
      </c>
      <c r="O1286" s="3">
        <v>46211.333333333336</v>
      </c>
      <c r="P1286" s="3">
        <v>46211.354166666664</v>
      </c>
      <c r="Q1286" s="3">
        <v>46211.375</v>
      </c>
      <c r="S1286" s="21" t="s">
        <v>3010</v>
      </c>
      <c r="T1286" s="18" t="s">
        <v>3081</v>
      </c>
      <c r="V1286" s="21" t="s">
        <v>3012</v>
      </c>
      <c r="Y1286" t="s">
        <v>158</v>
      </c>
      <c r="Z1286" t="s">
        <v>70</v>
      </c>
    </row>
    <row r="1287" spans="1:27" ht="15" hidden="1" customHeight="1">
      <c r="A1287" s="60">
        <f>ROW() - ROW(Table1[[#Headers],[s]])</f>
        <v>1286</v>
      </c>
      <c r="B1287" t="s">
        <v>5159</v>
      </c>
      <c r="C1287" s="272">
        <v>46204</v>
      </c>
      <c r="D1287" s="19" t="s">
        <v>5160</v>
      </c>
      <c r="E1287" s="19" t="s">
        <v>5161</v>
      </c>
      <c r="F1287" t="e" vm="40">
        <v>#VALUE!</v>
      </c>
      <c r="G1287" s="5" t="s">
        <v>200</v>
      </c>
      <c r="H1287" t="s">
        <v>152</v>
      </c>
      <c r="J1287" s="18" t="s">
        <v>153</v>
      </c>
      <c r="K1287" t="s">
        <v>371</v>
      </c>
      <c r="L1287" s="20">
        <v>46210.651388888888</v>
      </c>
      <c r="M1287" s="18" t="s">
        <v>55</v>
      </c>
      <c r="N1287" s="18" t="s">
        <v>55</v>
      </c>
      <c r="O1287" s="3">
        <v>46210.958333333336</v>
      </c>
      <c r="P1287" s="2">
        <v>46211</v>
      </c>
      <c r="Q1287" s="22">
        <v>46211.041666666664</v>
      </c>
      <c r="S1287" s="21" t="s">
        <v>5162</v>
      </c>
      <c r="T1287" s="18" t="s">
        <v>50</v>
      </c>
      <c r="V1287" s="21" t="s">
        <v>5162</v>
      </c>
      <c r="Y1287" t="s">
        <v>158</v>
      </c>
      <c r="Z1287" t="s">
        <v>70</v>
      </c>
    </row>
    <row r="1288" spans="1:27" ht="15" hidden="1" customHeight="1">
      <c r="A1288" s="60">
        <f>ROW() - ROW(Table1[[#Headers],[s]])</f>
        <v>1287</v>
      </c>
      <c r="B1288" t="s">
        <v>5163</v>
      </c>
      <c r="C1288" s="272">
        <v>46204</v>
      </c>
      <c r="D1288" s="19" t="s">
        <v>5164</v>
      </c>
      <c r="E1288" s="19" t="s">
        <v>5165</v>
      </c>
      <c r="F1288" t="e" vm="49">
        <v>#VALUE!</v>
      </c>
      <c r="G1288" s="5" t="s">
        <v>200</v>
      </c>
      <c r="H1288" t="s">
        <v>747</v>
      </c>
      <c r="J1288" s="18" t="s">
        <v>253</v>
      </c>
      <c r="K1288" t="s">
        <v>154</v>
      </c>
      <c r="L1288" s="20">
        <v>46210.45208333333</v>
      </c>
      <c r="M1288" s="371" t="s">
        <v>155</v>
      </c>
      <c r="N1288" s="400" t="s">
        <v>155</v>
      </c>
      <c r="O1288" s="3">
        <v>46210.75</v>
      </c>
      <c r="P1288" s="2">
        <v>46210.760416666664</v>
      </c>
      <c r="Q1288" s="22">
        <v>46210.760416666664</v>
      </c>
      <c r="S1288" s="21" t="s">
        <v>5166</v>
      </c>
      <c r="T1288" s="18" t="s">
        <v>50</v>
      </c>
      <c r="V1288" s="21" t="s">
        <v>5166</v>
      </c>
      <c r="Y1288" t="s">
        <v>158</v>
      </c>
      <c r="Z1288" t="s">
        <v>70</v>
      </c>
    </row>
    <row r="1289" spans="1:27" ht="15" hidden="1" customHeight="1">
      <c r="A1289" s="60">
        <f>ROW() - ROW(Table1[[#Headers],[s]])</f>
        <v>1288</v>
      </c>
      <c r="B1289" t="s">
        <v>5167</v>
      </c>
      <c r="C1289" s="272">
        <v>46204</v>
      </c>
      <c r="D1289" s="19" t="s">
        <v>5168</v>
      </c>
      <c r="E1289" s="19" t="s">
        <v>5169</v>
      </c>
      <c r="F1289" t="e" vm="25">
        <v>#VALUE!</v>
      </c>
      <c r="G1289" s="5" t="s">
        <v>200</v>
      </c>
      <c r="H1289" t="s">
        <v>747</v>
      </c>
      <c r="J1289" s="18" t="s">
        <v>253</v>
      </c>
      <c r="K1289" t="s">
        <v>371</v>
      </c>
      <c r="L1289" s="20">
        <v>46210.55972222222</v>
      </c>
      <c r="M1289" s="18" t="s">
        <v>72</v>
      </c>
      <c r="N1289" s="18" t="s">
        <v>72</v>
      </c>
      <c r="O1289" s="3"/>
      <c r="S1289" s="21" t="s">
        <v>5170</v>
      </c>
      <c r="T1289" s="3" t="s">
        <v>50</v>
      </c>
      <c r="V1289" s="21" t="s">
        <v>5170</v>
      </c>
      <c r="Y1289" t="s">
        <v>158</v>
      </c>
      <c r="Z1289" t="s">
        <v>70</v>
      </c>
    </row>
    <row r="1290" spans="1:27" ht="15" hidden="1" customHeight="1">
      <c r="A1290" s="60">
        <f>ROW() - ROW(Table1[[#Headers],[s]])</f>
        <v>1289</v>
      </c>
      <c r="B1290" t="s">
        <v>5171</v>
      </c>
      <c r="C1290" s="181" t="s">
        <v>60</v>
      </c>
      <c r="D1290" s="19" t="s">
        <v>5172</v>
      </c>
      <c r="E1290" s="19" t="s">
        <v>5173</v>
      </c>
      <c r="F1290" t="e" vm="37">
        <v>#VALUE!</v>
      </c>
      <c r="G1290" s="5" t="s">
        <v>200</v>
      </c>
      <c r="H1290" t="s">
        <v>245</v>
      </c>
      <c r="I1290" t="s">
        <v>5174</v>
      </c>
      <c r="J1290" s="18" t="s">
        <v>253</v>
      </c>
      <c r="K1290" t="s">
        <v>3101</v>
      </c>
      <c r="L1290" s="20">
        <v>46210.604861111111</v>
      </c>
      <c r="M1290" s="18" t="s">
        <v>1023</v>
      </c>
      <c r="N1290" s="18" t="s">
        <v>1023</v>
      </c>
      <c r="O1290" s="3" t="s">
        <v>50</v>
      </c>
      <c r="P1290" s="3" t="s">
        <v>50</v>
      </c>
      <c r="Q1290" s="3" t="s">
        <v>50</v>
      </c>
      <c r="R1290" s="3" t="s">
        <v>50</v>
      </c>
      <c r="S1290" s="394" t="s">
        <v>3101</v>
      </c>
      <c r="T1290" s="3" t="s">
        <v>50</v>
      </c>
      <c r="U1290" s="3" t="s">
        <v>50</v>
      </c>
      <c r="V1290" s="394"/>
      <c r="W1290" s="3"/>
      <c r="X1290" s="3"/>
      <c r="Y1290" t="s">
        <v>179</v>
      </c>
      <c r="Z1290" t="s">
        <v>179</v>
      </c>
    </row>
    <row r="1291" spans="1:27" ht="15" hidden="1" customHeight="1">
      <c r="A1291" s="60">
        <f>ROW() - ROW(Table1[[#Headers],[s]])</f>
        <v>1290</v>
      </c>
      <c r="B1291" t="s">
        <v>5175</v>
      </c>
      <c r="C1291" s="181" t="s">
        <v>60</v>
      </c>
      <c r="D1291" s="19" t="s">
        <v>5176</v>
      </c>
      <c r="E1291" s="19" t="s">
        <v>5177</v>
      </c>
      <c r="F1291" t="e" vm="17">
        <v>#VALUE!</v>
      </c>
      <c r="G1291" s="5" t="s">
        <v>200</v>
      </c>
      <c r="H1291" t="s">
        <v>245</v>
      </c>
      <c r="I1291" t="s">
        <v>5174</v>
      </c>
      <c r="J1291" s="18" t="s">
        <v>253</v>
      </c>
      <c r="K1291" t="s">
        <v>3101</v>
      </c>
      <c r="L1291" s="20">
        <v>46210.638888888891</v>
      </c>
      <c r="M1291" s="18" t="s">
        <v>227</v>
      </c>
      <c r="N1291" s="18" t="s">
        <v>227</v>
      </c>
      <c r="O1291" s="3" t="s">
        <v>50</v>
      </c>
      <c r="P1291" s="3" t="s">
        <v>50</v>
      </c>
      <c r="Q1291" s="3" t="s">
        <v>50</v>
      </c>
      <c r="R1291" s="3" t="s">
        <v>50</v>
      </c>
      <c r="S1291" s="394" t="s">
        <v>3101</v>
      </c>
      <c r="T1291" s="3" t="s">
        <v>50</v>
      </c>
      <c r="U1291" s="3" t="s">
        <v>50</v>
      </c>
      <c r="V1291" s="394"/>
      <c r="W1291" s="3"/>
      <c r="X1291" s="3"/>
      <c r="Y1291" t="s">
        <v>179</v>
      </c>
      <c r="Z1291" t="s">
        <v>179</v>
      </c>
    </row>
    <row r="1292" spans="1:27" ht="15" hidden="1" customHeight="1">
      <c r="A1292" s="60">
        <f>ROW() - ROW(Table1[[#Headers],[s]])</f>
        <v>1291</v>
      </c>
      <c r="B1292" t="s">
        <v>5178</v>
      </c>
      <c r="C1292" s="163">
        <v>46204</v>
      </c>
      <c r="D1292" s="52" t="s">
        <v>5179</v>
      </c>
      <c r="E1292" t="s">
        <v>5180</v>
      </c>
      <c r="F1292" s="5" t="e" vm="23">
        <v>#VALUE!</v>
      </c>
      <c r="G1292" s="43" t="s">
        <v>174</v>
      </c>
      <c r="H1292" t="s">
        <v>245</v>
      </c>
      <c r="J1292" s="18" t="s">
        <v>253</v>
      </c>
      <c r="K1292" t="s">
        <v>332</v>
      </c>
      <c r="L1292" s="44">
        <v>46210.701388888891</v>
      </c>
      <c r="M1292" s="55" t="s">
        <v>5181</v>
      </c>
      <c r="N1292" s="55" t="s">
        <v>58</v>
      </c>
      <c r="O1292" s="56">
        <v>46211.333333333336</v>
      </c>
      <c r="P1292" s="56">
        <v>46211.354166666664</v>
      </c>
      <c r="Q1292" s="56">
        <v>46211.495833333334</v>
      </c>
      <c r="R1292" t="s">
        <v>4467</v>
      </c>
      <c r="S1292" s="21" t="s">
        <v>5182</v>
      </c>
      <c r="T1292" s="55" t="s">
        <v>478</v>
      </c>
      <c r="U1292" s="21"/>
      <c r="V1292" s="53" t="s">
        <v>5183</v>
      </c>
      <c r="Y1292" t="s">
        <v>70</v>
      </c>
      <c r="Z1292" t="s">
        <v>158</v>
      </c>
    </row>
    <row r="1293" spans="1:27" ht="15" hidden="1" customHeight="1">
      <c r="A1293" s="60">
        <f>ROW() - ROW(Table1[[#Headers],[s]])</f>
        <v>1292</v>
      </c>
      <c r="B1293" t="s">
        <v>5184</v>
      </c>
      <c r="C1293" s="163">
        <v>46204</v>
      </c>
      <c r="D1293" s="52" t="s">
        <v>5185</v>
      </c>
      <c r="E1293" t="s">
        <v>5186</v>
      </c>
      <c r="F1293" s="5" t="e" vm="42">
        <v>#VALUE!</v>
      </c>
      <c r="G1293" s="43" t="s">
        <v>200</v>
      </c>
      <c r="H1293" s="18" t="s">
        <v>747</v>
      </c>
      <c r="J1293" s="18" t="s">
        <v>253</v>
      </c>
      <c r="K1293" s="169" t="s">
        <v>371</v>
      </c>
      <c r="L1293" s="44">
        <v>46210.626388888886</v>
      </c>
      <c r="M1293" s="55" t="s">
        <v>45</v>
      </c>
      <c r="N1293" s="55" t="s">
        <v>45</v>
      </c>
      <c r="O1293" s="56">
        <v>46210.6875</v>
      </c>
      <c r="P1293" s="22">
        <v>46210.708333333336</v>
      </c>
      <c r="Q1293" s="58">
        <v>46210.75</v>
      </c>
      <c r="S1293" s="21" t="s">
        <v>3692</v>
      </c>
      <c r="T1293" s="55" t="s">
        <v>478</v>
      </c>
      <c r="U1293" s="21"/>
      <c r="V1293" s="53" t="s">
        <v>5187</v>
      </c>
      <c r="Y1293" t="s">
        <v>158</v>
      </c>
      <c r="Z1293" t="s">
        <v>70</v>
      </c>
    </row>
    <row r="1294" spans="1:27" ht="15" hidden="1" customHeight="1">
      <c r="A1294" s="60">
        <f>ROW() - ROW(Table1[[#Headers],[s]])</f>
        <v>1293</v>
      </c>
      <c r="B1294" t="s">
        <v>5188</v>
      </c>
      <c r="C1294" s="163">
        <v>46204</v>
      </c>
      <c r="D1294" s="52" t="s">
        <v>5189</v>
      </c>
      <c r="E1294" t="s">
        <v>5190</v>
      </c>
      <c r="F1294" s="5" t="e" vm="17">
        <v>#VALUE!</v>
      </c>
      <c r="G1294" s="43" t="s">
        <v>174</v>
      </c>
      <c r="H1294" s="18" t="s">
        <v>747</v>
      </c>
      <c r="J1294" s="18" t="s">
        <v>253</v>
      </c>
      <c r="K1294" s="169" t="s">
        <v>371</v>
      </c>
      <c r="L1294" s="44">
        <v>46210.720138888886</v>
      </c>
      <c r="M1294" s="169" t="s">
        <v>1484</v>
      </c>
      <c r="N1294" s="169" t="s">
        <v>1484</v>
      </c>
      <c r="O1294" s="56">
        <v>46211.333333333336</v>
      </c>
      <c r="P1294" s="56">
        <v>46211.354166666664</v>
      </c>
      <c r="Q1294" s="56">
        <v>46211.333333333336</v>
      </c>
      <c r="S1294" s="21" t="s">
        <v>2902</v>
      </c>
      <c r="T1294" s="55" t="s">
        <v>478</v>
      </c>
      <c r="U1294" s="21"/>
      <c r="V1294" s="53" t="s">
        <v>5191</v>
      </c>
      <c r="Y1294" t="s">
        <v>70</v>
      </c>
      <c r="Z1294" t="s">
        <v>158</v>
      </c>
    </row>
    <row r="1295" spans="1:27" ht="15" hidden="1" customHeight="1">
      <c r="A1295" s="60">
        <f>ROW() - ROW(Table1[[#Headers],[s]])</f>
        <v>1294</v>
      </c>
      <c r="B1295" t="s">
        <v>5192</v>
      </c>
      <c r="C1295" s="181" t="s">
        <v>60</v>
      </c>
      <c r="D1295" s="52" t="s">
        <v>5193</v>
      </c>
      <c r="E1295" t="s">
        <v>5194</v>
      </c>
      <c r="F1295" t="e" vm="12">
        <v>#VALUE!</v>
      </c>
      <c r="G1295" s="43" t="s">
        <v>200</v>
      </c>
      <c r="H1295" s="18" t="s">
        <v>747</v>
      </c>
      <c r="J1295" s="18" t="s">
        <v>253</v>
      </c>
      <c r="K1295" s="169" t="s">
        <v>371</v>
      </c>
      <c r="L1295" s="44">
        <v>46210.793055555558</v>
      </c>
      <c r="M1295" s="55" t="s">
        <v>72</v>
      </c>
      <c r="N1295" s="55" t="s">
        <v>72</v>
      </c>
      <c r="O1295" s="56">
        <v>46210.875</v>
      </c>
      <c r="P1295" s="22">
        <v>46210.895833333336</v>
      </c>
      <c r="Q1295" s="58">
        <v>46210.895833333336</v>
      </c>
      <c r="S1295" s="21" t="s">
        <v>5195</v>
      </c>
      <c r="T1295" s="55" t="s">
        <v>478</v>
      </c>
      <c r="U1295" s="21"/>
      <c r="V1295" s="21" t="s">
        <v>5195</v>
      </c>
      <c r="Y1295" t="s">
        <v>179</v>
      </c>
      <c r="Z1295" t="s">
        <v>70</v>
      </c>
    </row>
    <row r="1296" spans="1:27" ht="15" hidden="1" customHeight="1">
      <c r="A1296" s="60">
        <f>ROW() - ROW(Table1[[#Headers],[s]])</f>
        <v>1295</v>
      </c>
      <c r="B1296" t="s">
        <v>4373</v>
      </c>
      <c r="C1296" s="163">
        <v>46204</v>
      </c>
      <c r="D1296" s="52" t="s">
        <v>5196</v>
      </c>
      <c r="E1296" t="s">
        <v>5197</v>
      </c>
      <c r="F1296" t="e" vm="17">
        <v>#VALUE!</v>
      </c>
      <c r="G1296" s="43" t="s">
        <v>174</v>
      </c>
      <c r="H1296" s="18" t="s">
        <v>152</v>
      </c>
      <c r="J1296" s="18" t="s">
        <v>153</v>
      </c>
      <c r="K1296" t="s">
        <v>332</v>
      </c>
      <c r="L1296" s="20">
        <v>46211.400694444441</v>
      </c>
      <c r="M1296" s="169" t="s">
        <v>1484</v>
      </c>
      <c r="N1296" s="169" t="s">
        <v>1484</v>
      </c>
      <c r="O1296" s="3">
        <v>46211.333333333336</v>
      </c>
      <c r="P1296" s="3">
        <v>46211.354166666664</v>
      </c>
      <c r="Q1296" s="3">
        <v>46211.375</v>
      </c>
      <c r="S1296" s="21" t="s">
        <v>5198</v>
      </c>
      <c r="T1296" s="55" t="s">
        <v>516</v>
      </c>
      <c r="U1296" s="21"/>
      <c r="V1296" s="53" t="s">
        <v>5199</v>
      </c>
      <c r="Y1296" t="s">
        <v>158</v>
      </c>
      <c r="Z1296" t="s">
        <v>158</v>
      </c>
    </row>
    <row r="1297" spans="1:26" ht="15" hidden="1" customHeight="1">
      <c r="A1297" s="60">
        <f>ROW() - ROW(Table1[[#Headers],[s]])</f>
        <v>1296</v>
      </c>
      <c r="B1297" t="s">
        <v>4995</v>
      </c>
      <c r="C1297" s="163">
        <v>46204</v>
      </c>
      <c r="D1297" s="52" t="s">
        <v>5200</v>
      </c>
      <c r="E1297" t="s">
        <v>5201</v>
      </c>
      <c r="F1297" t="e" vm="16">
        <v>#VALUE!</v>
      </c>
      <c r="G1297" s="43" t="s">
        <v>174</v>
      </c>
      <c r="H1297" t="s">
        <v>152</v>
      </c>
      <c r="J1297" s="18" t="s">
        <v>153</v>
      </c>
      <c r="K1297" t="s">
        <v>332</v>
      </c>
      <c r="L1297" s="20">
        <v>46211.611805555556</v>
      </c>
      <c r="M1297" s="55" t="s">
        <v>58</v>
      </c>
      <c r="N1297" s="55" t="s">
        <v>85</v>
      </c>
      <c r="O1297" s="3">
        <v>46212.333333333336</v>
      </c>
      <c r="P1297" s="3">
        <v>46212.354166666664</v>
      </c>
      <c r="Q1297" s="3">
        <v>46212.375</v>
      </c>
      <c r="S1297" s="21" t="s">
        <v>3010</v>
      </c>
      <c r="T1297" s="18" t="s">
        <v>2765</v>
      </c>
      <c r="U1297" s="21"/>
      <c r="V1297" s="21" t="s">
        <v>3012</v>
      </c>
      <c r="Y1297" t="s">
        <v>158</v>
      </c>
      <c r="Z1297" t="s">
        <v>70</v>
      </c>
    </row>
    <row r="1298" spans="1:26" ht="15" hidden="1" customHeight="1">
      <c r="A1298" s="60">
        <f>ROW() - ROW(Table1[[#Headers],[s]])</f>
        <v>1297</v>
      </c>
      <c r="B1298" s="223" t="s">
        <v>5202</v>
      </c>
      <c r="C1298" s="272">
        <v>46204</v>
      </c>
      <c r="D1298" s="308" t="s">
        <v>5203</v>
      </c>
      <c r="E1298" t="s">
        <v>5204</v>
      </c>
      <c r="F1298" t="e" vm="17">
        <v>#VALUE!</v>
      </c>
      <c r="G1298" s="5" t="s">
        <v>174</v>
      </c>
      <c r="H1298" t="s">
        <v>152</v>
      </c>
      <c r="J1298" s="18" t="s">
        <v>153</v>
      </c>
      <c r="K1298" t="s">
        <v>332</v>
      </c>
      <c r="L1298" s="20">
        <v>46211.520833333336</v>
      </c>
      <c r="M1298" s="18" t="s">
        <v>227</v>
      </c>
      <c r="N1298" s="18" t="s">
        <v>227</v>
      </c>
      <c r="O1298" s="20">
        <v>46211.604166666664</v>
      </c>
      <c r="P1298" s="20">
        <v>46211.645833333336</v>
      </c>
      <c r="Q1298" s="20">
        <v>46211.729166666664</v>
      </c>
      <c r="S1298" s="21" t="s">
        <v>5205</v>
      </c>
      <c r="T1298" s="18" t="s">
        <v>5206</v>
      </c>
      <c r="U1298" s="21"/>
      <c r="V1298" s="21" t="s">
        <v>5207</v>
      </c>
      <c r="Y1298" t="s">
        <v>70</v>
      </c>
      <c r="Z1298" t="s">
        <v>158</v>
      </c>
    </row>
    <row r="1299" spans="1:26" ht="15" hidden="1" customHeight="1">
      <c r="A1299" s="60">
        <f>ROW() - ROW(Table1[[#Headers],[s]])</f>
        <v>1298</v>
      </c>
      <c r="B1299" s="223" t="s">
        <v>5208</v>
      </c>
      <c r="C1299" s="181" t="s">
        <v>60</v>
      </c>
      <c r="D1299" s="19" t="s">
        <v>5209</v>
      </c>
      <c r="E1299" t="s">
        <v>5210</v>
      </c>
      <c r="F1299" t="e" vm="17">
        <v>#VALUE!</v>
      </c>
      <c r="G1299" s="5" t="s">
        <v>174</v>
      </c>
      <c r="H1299" t="s">
        <v>152</v>
      </c>
      <c r="J1299" s="18" t="s">
        <v>153</v>
      </c>
      <c r="K1299" s="42" t="s">
        <v>154</v>
      </c>
      <c r="L1299" s="20">
        <v>46211.574999999997</v>
      </c>
      <c r="M1299" s="18" t="s">
        <v>227</v>
      </c>
      <c r="N1299" s="18" t="s">
        <v>227</v>
      </c>
      <c r="O1299" s="3"/>
      <c r="P1299" s="22"/>
      <c r="S1299" s="364" t="s">
        <v>5211</v>
      </c>
      <c r="T1299" s="3" t="s">
        <v>50</v>
      </c>
      <c r="U1299" s="21"/>
      <c r="V1299" s="364" t="s">
        <v>5211</v>
      </c>
      <c r="Y1299" t="s">
        <v>179</v>
      </c>
      <c r="Z1299" t="s">
        <v>179</v>
      </c>
    </row>
    <row r="1300" spans="1:26" ht="15" hidden="1" customHeight="1">
      <c r="A1300" s="60">
        <f>ROW() - ROW(Table1[[#Headers],[s]])</f>
        <v>1299</v>
      </c>
      <c r="B1300" s="223" t="s">
        <v>5212</v>
      </c>
      <c r="C1300" s="181" t="s">
        <v>60</v>
      </c>
      <c r="D1300" s="19" t="s">
        <v>5213</v>
      </c>
      <c r="E1300" t="s">
        <v>5210</v>
      </c>
      <c r="F1300" t="e" vm="17">
        <v>#VALUE!</v>
      </c>
      <c r="G1300" s="5" t="s">
        <v>174</v>
      </c>
      <c r="H1300" t="s">
        <v>152</v>
      </c>
      <c r="J1300" s="18" t="s">
        <v>153</v>
      </c>
      <c r="K1300" s="42" t="s">
        <v>154</v>
      </c>
      <c r="L1300" s="20">
        <v>46211.577777777777</v>
      </c>
      <c r="M1300" s="18" t="s">
        <v>227</v>
      </c>
      <c r="N1300" s="18" t="s">
        <v>227</v>
      </c>
      <c r="O1300" s="3"/>
      <c r="P1300" s="22"/>
      <c r="S1300" s="364" t="s">
        <v>5211</v>
      </c>
      <c r="T1300" s="3" t="s">
        <v>50</v>
      </c>
      <c r="U1300" s="21"/>
      <c r="V1300" s="364" t="s">
        <v>5211</v>
      </c>
      <c r="Y1300" t="s">
        <v>179</v>
      </c>
      <c r="Z1300" t="s">
        <v>179</v>
      </c>
    </row>
    <row r="1301" spans="1:26" ht="15" hidden="1" customHeight="1">
      <c r="A1301" s="60">
        <f>ROW() - ROW(Table1[[#Headers],[s]])</f>
        <v>1300</v>
      </c>
      <c r="B1301" t="s">
        <v>5214</v>
      </c>
      <c r="C1301" s="272">
        <v>46204</v>
      </c>
      <c r="D1301" s="19" t="s">
        <v>5215</v>
      </c>
      <c r="E1301" t="s">
        <v>5216</v>
      </c>
      <c r="F1301" t="e" vm="49">
        <v>#VALUE!</v>
      </c>
      <c r="G1301" s="5" t="s">
        <v>174</v>
      </c>
      <c r="H1301" t="s">
        <v>152</v>
      </c>
      <c r="J1301" s="18" t="s">
        <v>153</v>
      </c>
      <c r="K1301" t="s">
        <v>332</v>
      </c>
      <c r="L1301" s="20">
        <v>46211.634722222225</v>
      </c>
      <c r="M1301" s="18" t="s">
        <v>812</v>
      </c>
      <c r="N1301" s="18" t="s">
        <v>812</v>
      </c>
      <c r="O1301" s="20">
        <v>46211.6875</v>
      </c>
      <c r="P1301" s="20">
        <v>46211.71875</v>
      </c>
      <c r="Q1301" s="20">
        <v>46211.770833333336</v>
      </c>
      <c r="S1301" s="21" t="s">
        <v>4389</v>
      </c>
      <c r="T1301" s="18" t="s">
        <v>2765</v>
      </c>
      <c r="U1301" s="21"/>
      <c r="V1301" s="21" t="s">
        <v>3012</v>
      </c>
      <c r="Y1301" t="s">
        <v>158</v>
      </c>
      <c r="Z1301" t="s">
        <v>70</v>
      </c>
    </row>
    <row r="1302" spans="1:26" ht="15" hidden="1" customHeight="1">
      <c r="A1302" s="60">
        <f>ROW() - ROW(Table1[[#Headers],[s]])</f>
        <v>1301</v>
      </c>
      <c r="B1302" t="s">
        <v>5217</v>
      </c>
      <c r="C1302" s="272">
        <v>46204</v>
      </c>
      <c r="D1302" s="19" t="s">
        <v>5218</v>
      </c>
      <c r="E1302" t="s">
        <v>5219</v>
      </c>
      <c r="F1302" t="e" vm="26">
        <v>#VALUE!</v>
      </c>
      <c r="G1302" s="5" t="s">
        <v>36</v>
      </c>
      <c r="H1302" t="s">
        <v>152</v>
      </c>
      <c r="I1302" t="s">
        <v>43</v>
      </c>
      <c r="J1302" s="18" t="s">
        <v>153</v>
      </c>
      <c r="K1302" t="s">
        <v>332</v>
      </c>
      <c r="L1302" s="20">
        <v>46211.627083333333</v>
      </c>
      <c r="M1302" s="18" t="s">
        <v>78</v>
      </c>
      <c r="N1302" s="55" t="s">
        <v>78</v>
      </c>
      <c r="O1302" s="3"/>
      <c r="P1302" s="22"/>
      <c r="Q1302" s="22">
        <v>46213.697916666664</v>
      </c>
      <c r="S1302" s="21" t="s">
        <v>5220</v>
      </c>
      <c r="T1302" s="55" t="s">
        <v>516</v>
      </c>
      <c r="U1302" s="21"/>
      <c r="V1302" s="21" t="s">
        <v>5221</v>
      </c>
      <c r="Y1302" t="s">
        <v>70</v>
      </c>
      <c r="Z1302" t="s">
        <v>70</v>
      </c>
    </row>
    <row r="1303" spans="1:26" ht="15" hidden="1" customHeight="1">
      <c r="A1303" s="60">
        <f>ROW() - ROW(Table1[[#Headers],[s]])</f>
        <v>1302</v>
      </c>
      <c r="B1303" t="s">
        <v>5222</v>
      </c>
      <c r="C1303" s="272">
        <v>46204</v>
      </c>
      <c r="D1303" s="19" t="s">
        <v>5223</v>
      </c>
      <c r="E1303" t="s">
        <v>5224</v>
      </c>
      <c r="F1303" t="e" vm="26">
        <v>#VALUE!</v>
      </c>
      <c r="G1303" s="5" t="s">
        <v>174</v>
      </c>
      <c r="H1303" t="s">
        <v>152</v>
      </c>
      <c r="J1303" s="18" t="s">
        <v>153</v>
      </c>
      <c r="K1303" t="s">
        <v>332</v>
      </c>
      <c r="L1303" s="20">
        <v>46211.638194444444</v>
      </c>
      <c r="M1303" s="18" t="s">
        <v>1023</v>
      </c>
      <c r="N1303" s="18" t="s">
        <v>1023</v>
      </c>
      <c r="O1303" s="3">
        <v>46212.333333333336</v>
      </c>
      <c r="P1303" s="3">
        <v>46212.354166666664</v>
      </c>
      <c r="Q1303" s="3">
        <v>46212.375</v>
      </c>
      <c r="S1303" s="21" t="s">
        <v>3010</v>
      </c>
      <c r="T1303" s="18" t="s">
        <v>2765</v>
      </c>
      <c r="U1303" s="21"/>
      <c r="V1303" s="21" t="s">
        <v>3012</v>
      </c>
      <c r="Y1303" t="s">
        <v>158</v>
      </c>
      <c r="Z1303" t="s">
        <v>70</v>
      </c>
    </row>
    <row r="1304" spans="1:26" ht="15" hidden="1" customHeight="1">
      <c r="A1304" s="60">
        <f>ROW() - ROW(Table1[[#Headers],[s]])</f>
        <v>1303</v>
      </c>
      <c r="B1304" t="s">
        <v>5225</v>
      </c>
      <c r="C1304" s="163">
        <v>46204</v>
      </c>
      <c r="D1304" s="52" t="s">
        <v>5226</v>
      </c>
      <c r="E1304" t="s">
        <v>5227</v>
      </c>
      <c r="F1304" t="e" vm="40">
        <v>#VALUE!</v>
      </c>
      <c r="G1304" s="5" t="s">
        <v>174</v>
      </c>
      <c r="H1304" s="18" t="s">
        <v>747</v>
      </c>
      <c r="J1304" s="18" t="s">
        <v>253</v>
      </c>
      <c r="K1304" t="s">
        <v>332</v>
      </c>
      <c r="L1304" s="20">
        <v>46211.696527777778</v>
      </c>
      <c r="M1304" s="55" t="s">
        <v>39</v>
      </c>
      <c r="N1304" s="55" t="s">
        <v>39</v>
      </c>
      <c r="O1304" s="3">
        <v>46212.333333333336</v>
      </c>
      <c r="P1304" s="3">
        <v>46212.354166666664</v>
      </c>
      <c r="Q1304" s="3">
        <v>46212.520833333336</v>
      </c>
      <c r="S1304" s="21" t="s">
        <v>5228</v>
      </c>
      <c r="T1304" s="55" t="s">
        <v>5229</v>
      </c>
      <c r="U1304" s="21"/>
      <c r="V1304" s="53" t="s">
        <v>5230</v>
      </c>
      <c r="Y1304" t="s">
        <v>70</v>
      </c>
      <c r="Z1304" t="s">
        <v>158</v>
      </c>
    </row>
    <row r="1305" spans="1:26" ht="15" hidden="1" customHeight="1">
      <c r="A1305" s="60">
        <f>ROW() - ROW(Table1[[#Headers],[s]])</f>
        <v>1304</v>
      </c>
      <c r="B1305" s="223" t="s">
        <v>5231</v>
      </c>
      <c r="C1305" s="163">
        <v>46204</v>
      </c>
      <c r="D1305" s="182" t="s">
        <v>5232</v>
      </c>
      <c r="E1305" t="s">
        <v>5233</v>
      </c>
      <c r="F1305" s="5" t="e" vm="10">
        <v>#VALUE!</v>
      </c>
      <c r="G1305" s="43" t="s">
        <v>174</v>
      </c>
      <c r="H1305" t="s">
        <v>152</v>
      </c>
      <c r="J1305" s="18" t="s">
        <v>153</v>
      </c>
      <c r="K1305" t="s">
        <v>332</v>
      </c>
      <c r="L1305" s="20">
        <v>46211.529861111114</v>
      </c>
      <c r="M1305" s="18" t="s">
        <v>78</v>
      </c>
      <c r="N1305" s="55" t="s">
        <v>78</v>
      </c>
      <c r="O1305" s="20">
        <v>46211.59375</v>
      </c>
      <c r="P1305" s="20">
        <v>46211.614583333336</v>
      </c>
      <c r="Q1305" s="20">
        <v>46211.677083333336</v>
      </c>
      <c r="R1305">
        <v>1</v>
      </c>
      <c r="S1305" s="21" t="s">
        <v>386</v>
      </c>
      <c r="T1305" s="55" t="s">
        <v>653</v>
      </c>
      <c r="U1305" s="21"/>
      <c r="V1305" s="53" t="s">
        <v>5234</v>
      </c>
      <c r="Y1305" t="s">
        <v>158</v>
      </c>
      <c r="Z1305" t="s">
        <v>70</v>
      </c>
    </row>
    <row r="1306" spans="1:26" ht="15" hidden="1" customHeight="1">
      <c r="A1306" s="60">
        <f>ROW() - ROW(Table1[[#Headers],[s]])</f>
        <v>1305</v>
      </c>
      <c r="B1306" t="s">
        <v>5235</v>
      </c>
      <c r="C1306" s="163">
        <v>46204</v>
      </c>
      <c r="D1306" s="52" t="s">
        <v>5236</v>
      </c>
      <c r="E1306" t="s">
        <v>5237</v>
      </c>
      <c r="F1306" s="18" t="e" vm="37">
        <v>#VALUE!</v>
      </c>
      <c r="G1306" s="43" t="s">
        <v>174</v>
      </c>
      <c r="H1306" s="18" t="s">
        <v>747</v>
      </c>
      <c r="J1306" s="18" t="s">
        <v>253</v>
      </c>
      <c r="K1306" t="s">
        <v>332</v>
      </c>
      <c r="L1306" s="44">
        <v>46211.869444444441</v>
      </c>
      <c r="M1306" s="55" t="s">
        <v>1023</v>
      </c>
      <c r="N1306" s="55" t="s">
        <v>1023</v>
      </c>
      <c r="O1306" s="56">
        <v>46210.354166666664</v>
      </c>
      <c r="P1306" s="56">
        <v>46210.395833333336</v>
      </c>
      <c r="Q1306" s="58">
        <v>46212.541666666664</v>
      </c>
      <c r="S1306" s="21" t="s">
        <v>5238</v>
      </c>
      <c r="T1306" s="55" t="s">
        <v>478</v>
      </c>
      <c r="U1306" s="21"/>
      <c r="V1306" s="53" t="s">
        <v>5239</v>
      </c>
      <c r="Y1306" t="s">
        <v>70</v>
      </c>
      <c r="Z1306" t="s">
        <v>70</v>
      </c>
    </row>
    <row r="1307" spans="1:26" ht="15" hidden="1" customHeight="1">
      <c r="A1307" s="60">
        <f>ROW() - ROW(Table1[[#Headers],[s]])</f>
        <v>1306</v>
      </c>
      <c r="B1307" t="s">
        <v>5240</v>
      </c>
      <c r="C1307" s="163">
        <v>46204</v>
      </c>
      <c r="D1307" s="52" t="s">
        <v>5241</v>
      </c>
      <c r="E1307" t="s">
        <v>5242</v>
      </c>
      <c r="F1307" t="e" vm="25">
        <v>#VALUE!</v>
      </c>
      <c r="G1307" s="43" t="s">
        <v>174</v>
      </c>
      <c r="H1307" t="s">
        <v>152</v>
      </c>
      <c r="J1307" s="18" t="s">
        <v>153</v>
      </c>
      <c r="K1307" t="s">
        <v>332</v>
      </c>
      <c r="L1307" s="44">
        <v>46212.546527777777</v>
      </c>
      <c r="M1307" s="55" t="s">
        <v>72</v>
      </c>
      <c r="N1307" s="55" t="s">
        <v>72</v>
      </c>
      <c r="O1307" s="44">
        <v>46212.590277777781</v>
      </c>
      <c r="P1307" s="44">
        <v>46212.604166666664</v>
      </c>
      <c r="Q1307" s="44">
        <v>46212.645833333336</v>
      </c>
      <c r="S1307" s="21" t="s">
        <v>5243</v>
      </c>
      <c r="T1307" s="55" t="s">
        <v>478</v>
      </c>
      <c r="U1307" s="21"/>
      <c r="V1307" s="53" t="s">
        <v>5244</v>
      </c>
      <c r="Y1307" t="s">
        <v>158</v>
      </c>
      <c r="Z1307" t="s">
        <v>70</v>
      </c>
    </row>
    <row r="1308" spans="1:26" ht="15" hidden="1" customHeight="1">
      <c r="A1308" s="60">
        <f>ROW() - ROW(Table1[[#Headers],[s]])</f>
        <v>1307</v>
      </c>
      <c r="B1308" t="s">
        <v>3230</v>
      </c>
      <c r="C1308" s="272">
        <v>46204</v>
      </c>
      <c r="D1308" s="19" t="s">
        <v>5245</v>
      </c>
      <c r="E1308" t="s">
        <v>5246</v>
      </c>
      <c r="F1308" t="e" vm="2">
        <v>#VALUE!</v>
      </c>
      <c r="G1308" s="5" t="s">
        <v>36</v>
      </c>
      <c r="H1308" t="s">
        <v>152</v>
      </c>
      <c r="I1308" t="s">
        <v>43</v>
      </c>
      <c r="J1308" s="18" t="s">
        <v>153</v>
      </c>
      <c r="K1308" s="307" t="s">
        <v>332</v>
      </c>
      <c r="L1308" s="44">
        <v>46212.47152777778</v>
      </c>
      <c r="M1308" s="18" t="s">
        <v>162</v>
      </c>
      <c r="N1308" s="18" t="s">
        <v>162</v>
      </c>
      <c r="O1308" s="3"/>
      <c r="P1308" s="22"/>
      <c r="Q1308" s="22">
        <v>46213.416666666664</v>
      </c>
      <c r="S1308" s="21" t="s">
        <v>5247</v>
      </c>
      <c r="T1308" s="55" t="s">
        <v>478</v>
      </c>
      <c r="U1308" s="21"/>
      <c r="V1308" s="21" t="s">
        <v>5248</v>
      </c>
      <c r="Y1308" t="s">
        <v>158</v>
      </c>
      <c r="Z1308" t="s">
        <v>70</v>
      </c>
    </row>
    <row r="1309" spans="1:26" ht="15" hidden="1" customHeight="1">
      <c r="A1309" s="60">
        <f>ROW() - ROW(Table1[[#Headers],[s]])</f>
        <v>1308</v>
      </c>
      <c r="B1309" t="s">
        <v>5249</v>
      </c>
      <c r="C1309" s="272">
        <v>46204</v>
      </c>
      <c r="D1309" s="19" t="s">
        <v>5250</v>
      </c>
      <c r="E1309" t="s">
        <v>5251</v>
      </c>
      <c r="F1309" t="e" vm="2">
        <v>#VALUE!</v>
      </c>
      <c r="G1309" s="5" t="s">
        <v>174</v>
      </c>
      <c r="H1309" t="s">
        <v>152</v>
      </c>
      <c r="J1309" s="18" t="s">
        <v>153</v>
      </c>
      <c r="K1309" t="s">
        <v>332</v>
      </c>
      <c r="L1309" s="44">
        <v>46212.493750000001</v>
      </c>
      <c r="M1309" s="18" t="s">
        <v>162</v>
      </c>
      <c r="N1309" s="18" t="s">
        <v>162</v>
      </c>
      <c r="O1309" s="44">
        <v>46212.534722222219</v>
      </c>
      <c r="P1309" s="44">
        <v>46212.552083333336</v>
      </c>
      <c r="Q1309" s="44">
        <v>46212.604166666664</v>
      </c>
      <c r="S1309" s="21" t="s">
        <v>5252</v>
      </c>
      <c r="T1309" s="18" t="s">
        <v>2765</v>
      </c>
      <c r="U1309" s="21"/>
      <c r="V1309" s="21" t="s">
        <v>5253</v>
      </c>
      <c r="Y1309" t="s">
        <v>158</v>
      </c>
      <c r="Z1309" t="s">
        <v>70</v>
      </c>
    </row>
    <row r="1310" spans="1:26" ht="15" hidden="1" customHeight="1">
      <c r="A1310" s="60">
        <f>ROW() - ROW(Table1[[#Headers],[s]])</f>
        <v>1309</v>
      </c>
      <c r="B1310" t="s">
        <v>5254</v>
      </c>
      <c r="C1310" s="272">
        <v>46204</v>
      </c>
      <c r="D1310" s="19" t="s">
        <v>5255</v>
      </c>
      <c r="E1310" t="s">
        <v>5242</v>
      </c>
      <c r="F1310" t="e" vm="25">
        <v>#VALUE!</v>
      </c>
      <c r="G1310" s="5" t="s">
        <v>174</v>
      </c>
      <c r="H1310" t="s">
        <v>152</v>
      </c>
      <c r="J1310" s="18" t="s">
        <v>153</v>
      </c>
      <c r="K1310" t="s">
        <v>332</v>
      </c>
      <c r="L1310" s="44">
        <v>46212.547222222223</v>
      </c>
      <c r="M1310" s="55" t="s">
        <v>72</v>
      </c>
      <c r="N1310" s="55" t="s">
        <v>72</v>
      </c>
      <c r="O1310" s="20">
        <v>46211.59375</v>
      </c>
      <c r="P1310" s="20">
        <v>46211.614583333336</v>
      </c>
      <c r="Q1310" s="20">
        <v>46211.677083333336</v>
      </c>
      <c r="S1310" s="21" t="s">
        <v>5256</v>
      </c>
      <c r="T1310" s="55" t="s">
        <v>478</v>
      </c>
      <c r="U1310" s="21"/>
      <c r="V1310" s="21" t="s">
        <v>5257</v>
      </c>
      <c r="Y1310" t="s">
        <v>158</v>
      </c>
      <c r="Z1310" t="s">
        <v>70</v>
      </c>
    </row>
    <row r="1311" spans="1:26" ht="15" hidden="1" customHeight="1">
      <c r="A1311" s="60">
        <f>ROW() - ROW(Table1[[#Headers],[s]])</f>
        <v>1310</v>
      </c>
      <c r="B1311" t="s">
        <v>5258</v>
      </c>
      <c r="C1311" s="272">
        <v>46204</v>
      </c>
      <c r="D1311" s="19" t="s">
        <v>5259</v>
      </c>
      <c r="E1311" t="s">
        <v>5260</v>
      </c>
      <c r="F1311" t="e" vm="2">
        <v>#VALUE!</v>
      </c>
      <c r="G1311" s="5" t="s">
        <v>174</v>
      </c>
      <c r="H1311" t="s">
        <v>152</v>
      </c>
      <c r="J1311" s="18" t="s">
        <v>153</v>
      </c>
      <c r="K1311" t="s">
        <v>332</v>
      </c>
      <c r="L1311" s="44">
        <v>46212.545138888891</v>
      </c>
      <c r="M1311" s="18" t="s">
        <v>162</v>
      </c>
      <c r="N1311" s="18" t="s">
        <v>162</v>
      </c>
      <c r="O1311" s="20">
        <v>46211.59375</v>
      </c>
      <c r="P1311" s="20">
        <v>46211.614583333336</v>
      </c>
      <c r="Q1311" s="20">
        <v>46211.677083333336</v>
      </c>
      <c r="S1311" s="21" t="s">
        <v>5261</v>
      </c>
      <c r="T1311" s="55" t="s">
        <v>478</v>
      </c>
      <c r="U1311" s="21"/>
      <c r="V1311" s="21" t="s">
        <v>5262</v>
      </c>
      <c r="Y1311" t="s">
        <v>158</v>
      </c>
      <c r="Z1311" t="s">
        <v>70</v>
      </c>
    </row>
    <row r="1312" spans="1:26" ht="15" hidden="1" customHeight="1">
      <c r="A1312" s="60">
        <f>ROW() - ROW(Table1[[#Headers],[s]])</f>
        <v>1311</v>
      </c>
      <c r="B1312" t="s">
        <v>5263</v>
      </c>
      <c r="C1312" s="272">
        <v>46204</v>
      </c>
      <c r="D1312" s="19" t="s">
        <v>5264</v>
      </c>
      <c r="E1312" t="s">
        <v>5265</v>
      </c>
      <c r="F1312" t="e" vm="2">
        <v>#VALUE!</v>
      </c>
      <c r="G1312" s="5" t="s">
        <v>36</v>
      </c>
      <c r="H1312" t="s">
        <v>152</v>
      </c>
      <c r="I1312" t="s">
        <v>43</v>
      </c>
      <c r="J1312" s="18" t="s">
        <v>153</v>
      </c>
      <c r="K1312" s="307" t="s">
        <v>332</v>
      </c>
      <c r="L1312" s="44">
        <v>46212.595138888886</v>
      </c>
      <c r="M1312" s="18" t="s">
        <v>162</v>
      </c>
      <c r="N1312" s="18" t="s">
        <v>162</v>
      </c>
      <c r="O1312" s="3"/>
      <c r="P1312" s="22"/>
      <c r="Q1312" s="22">
        <v>46213.416666666664</v>
      </c>
      <c r="S1312" s="21" t="s">
        <v>5266</v>
      </c>
      <c r="T1312" s="55" t="s">
        <v>478</v>
      </c>
      <c r="U1312" s="21"/>
      <c r="V1312" s="21" t="s">
        <v>5267</v>
      </c>
      <c r="Y1312" t="s">
        <v>158</v>
      </c>
      <c r="Z1312" t="s">
        <v>70</v>
      </c>
    </row>
    <row r="1313" spans="1:27" ht="15" hidden="1" customHeight="1">
      <c r="A1313" s="60">
        <f>ROW() - ROW(Table1[[#Headers],[s]])</f>
        <v>1312</v>
      </c>
      <c r="B1313" t="s">
        <v>5268</v>
      </c>
      <c r="C1313" s="272">
        <v>46204</v>
      </c>
      <c r="D1313" s="19" t="s">
        <v>5269</v>
      </c>
      <c r="E1313" t="s">
        <v>5270</v>
      </c>
      <c r="F1313" t="e" vm="16">
        <v>#VALUE!</v>
      </c>
      <c r="G1313" s="5" t="s">
        <v>174</v>
      </c>
      <c r="H1313" t="s">
        <v>152</v>
      </c>
      <c r="J1313" s="18" t="s">
        <v>153</v>
      </c>
      <c r="K1313" t="s">
        <v>332</v>
      </c>
      <c r="L1313" s="44">
        <v>46212.622916666667</v>
      </c>
      <c r="M1313" s="18" t="s">
        <v>85</v>
      </c>
      <c r="N1313" s="18" t="s">
        <v>85</v>
      </c>
      <c r="O1313" s="44">
        <v>46212.673611111109</v>
      </c>
      <c r="P1313" s="44">
        <v>46212.6875</v>
      </c>
      <c r="Q1313" s="44">
        <v>46212.71875</v>
      </c>
      <c r="S1313" s="21" t="s">
        <v>5271</v>
      </c>
      <c r="T1313" s="18" t="s">
        <v>2765</v>
      </c>
      <c r="U1313" s="21"/>
      <c r="V1313" s="21" t="s">
        <v>3012</v>
      </c>
      <c r="Y1313" t="s">
        <v>158</v>
      </c>
      <c r="Z1313" t="s">
        <v>70</v>
      </c>
    </row>
    <row r="1314" spans="1:27" ht="15" hidden="1" customHeight="1">
      <c r="A1314" s="60">
        <f>ROW() - ROW(Table1[[#Headers],[s]])</f>
        <v>1313</v>
      </c>
      <c r="B1314" t="s">
        <v>5272</v>
      </c>
      <c r="C1314" s="272">
        <v>46204</v>
      </c>
      <c r="D1314" s="19" t="s">
        <v>5273</v>
      </c>
      <c r="E1314" t="s">
        <v>5251</v>
      </c>
      <c r="F1314" t="e" vm="2">
        <v>#VALUE!</v>
      </c>
      <c r="G1314" s="5" t="s">
        <v>174</v>
      </c>
      <c r="H1314" t="s">
        <v>152</v>
      </c>
      <c r="J1314" s="18" t="s">
        <v>153</v>
      </c>
      <c r="K1314" t="s">
        <v>332</v>
      </c>
      <c r="L1314" s="44">
        <v>46212.651388888888</v>
      </c>
      <c r="M1314" s="18" t="s">
        <v>162</v>
      </c>
      <c r="N1314" s="18" t="s">
        <v>162</v>
      </c>
      <c r="O1314" s="44">
        <v>46212.71875</v>
      </c>
      <c r="P1314" s="44">
        <v>46212.75</v>
      </c>
      <c r="Q1314" s="44">
        <v>46212.774305555555</v>
      </c>
      <c r="S1314" s="21" t="s">
        <v>5274</v>
      </c>
      <c r="T1314" s="55" t="s">
        <v>478</v>
      </c>
      <c r="U1314" s="21"/>
      <c r="V1314" s="21" t="s">
        <v>5275</v>
      </c>
      <c r="Y1314" t="s">
        <v>158</v>
      </c>
      <c r="Z1314" t="s">
        <v>70</v>
      </c>
    </row>
    <row r="1315" spans="1:27" ht="15" hidden="1" customHeight="1">
      <c r="A1315" s="60">
        <f>ROW() - ROW(Table1[[#Headers],[s]])</f>
        <v>1314</v>
      </c>
      <c r="B1315" s="223" t="s">
        <v>5276</v>
      </c>
      <c r="C1315" s="272">
        <v>46204</v>
      </c>
      <c r="D1315" s="19" t="s">
        <v>5277</v>
      </c>
      <c r="E1315" t="s">
        <v>5278</v>
      </c>
      <c r="F1315" t="e" vm="21">
        <v>#VALUE!</v>
      </c>
      <c r="G1315" s="5" t="s">
        <v>36</v>
      </c>
      <c r="H1315" t="s">
        <v>152</v>
      </c>
      <c r="I1315" t="s">
        <v>43</v>
      </c>
      <c r="J1315" s="18" t="s">
        <v>153</v>
      </c>
      <c r="K1315" t="s">
        <v>332</v>
      </c>
      <c r="L1315" s="44">
        <v>46212.649305555555</v>
      </c>
      <c r="M1315" s="18" t="s">
        <v>39</v>
      </c>
      <c r="N1315" s="18" t="s">
        <v>39</v>
      </c>
      <c r="O1315" s="3"/>
      <c r="P1315" s="22"/>
      <c r="Q1315" s="22">
        <v>46213.46875</v>
      </c>
      <c r="S1315" s="21" t="s">
        <v>5279</v>
      </c>
      <c r="T1315" s="55" t="s">
        <v>478</v>
      </c>
      <c r="U1315" s="21"/>
      <c r="V1315" s="21" t="s">
        <v>5280</v>
      </c>
      <c r="Y1315" t="s">
        <v>158</v>
      </c>
      <c r="Z1315" t="s">
        <v>70</v>
      </c>
    </row>
    <row r="1316" spans="1:27" ht="15" hidden="1" customHeight="1">
      <c r="A1316" s="60">
        <f>ROW() - ROW(Table1[[#Headers],[s]])</f>
        <v>1315</v>
      </c>
      <c r="B1316" s="210" t="s">
        <v>5281</v>
      </c>
      <c r="C1316" s="272">
        <v>46204</v>
      </c>
      <c r="D1316" s="19" t="s">
        <v>5282</v>
      </c>
      <c r="E1316" t="s">
        <v>5283</v>
      </c>
      <c r="F1316" t="e" vm="49">
        <v>#VALUE!</v>
      </c>
      <c r="G1316" s="5" t="s">
        <v>174</v>
      </c>
      <c r="H1316" t="s">
        <v>152</v>
      </c>
      <c r="J1316" s="18" t="s">
        <v>153</v>
      </c>
      <c r="K1316" t="s">
        <v>332</v>
      </c>
      <c r="L1316" s="44">
        <v>46212.647222222222</v>
      </c>
      <c r="M1316" s="371" t="s">
        <v>155</v>
      </c>
      <c r="N1316" s="400" t="s">
        <v>155</v>
      </c>
      <c r="O1316" s="44">
        <v>46212.708333333336</v>
      </c>
      <c r="P1316" s="44">
        <v>46212.71875</v>
      </c>
      <c r="Q1316" s="44">
        <v>46212.802083333336</v>
      </c>
      <c r="S1316" s="21" t="s">
        <v>473</v>
      </c>
      <c r="T1316" s="55" t="s">
        <v>516</v>
      </c>
      <c r="U1316" s="21"/>
      <c r="V1316" s="21" t="s">
        <v>5132</v>
      </c>
      <c r="Y1316" t="s">
        <v>158</v>
      </c>
      <c r="Z1316" t="s">
        <v>158</v>
      </c>
    </row>
    <row r="1317" spans="1:27" ht="15" hidden="1" customHeight="1">
      <c r="A1317" s="60">
        <f>ROW() - ROW(Table1[[#Headers],[s]])</f>
        <v>1316</v>
      </c>
      <c r="B1317" s="19" t="s">
        <v>5284</v>
      </c>
      <c r="C1317" s="272">
        <v>46204</v>
      </c>
      <c r="D1317" s="308" t="s">
        <v>5285</v>
      </c>
      <c r="E1317" t="s">
        <v>5286</v>
      </c>
      <c r="F1317" t="e" vm="49">
        <v>#VALUE!</v>
      </c>
      <c r="G1317" s="5" t="s">
        <v>174</v>
      </c>
      <c r="H1317" t="s">
        <v>152</v>
      </c>
      <c r="J1317" s="18" t="s">
        <v>153</v>
      </c>
      <c r="K1317" t="s">
        <v>332</v>
      </c>
      <c r="L1317" s="44">
        <v>46212.65347222222</v>
      </c>
      <c r="M1317" s="18" t="s">
        <v>227</v>
      </c>
      <c r="N1317" s="18" t="s">
        <v>227</v>
      </c>
      <c r="O1317" s="44">
        <v>46212.71875</v>
      </c>
      <c r="P1317" s="44">
        <v>46212.75</v>
      </c>
      <c r="Q1317" s="44">
        <v>46212.78125</v>
      </c>
      <c r="S1317" s="21" t="s">
        <v>5287</v>
      </c>
      <c r="T1317" s="18" t="s">
        <v>478</v>
      </c>
      <c r="U1317" s="21"/>
      <c r="V1317" s="21" t="s">
        <v>2347</v>
      </c>
      <c r="Y1317" t="s">
        <v>158</v>
      </c>
      <c r="Z1317" t="s">
        <v>70</v>
      </c>
    </row>
    <row r="1318" spans="1:27" ht="15" hidden="1" customHeight="1">
      <c r="A1318" s="60">
        <f>ROW() - ROW(Table1[[#Headers],[s]])</f>
        <v>1317</v>
      </c>
      <c r="B1318" t="s">
        <v>5288</v>
      </c>
      <c r="C1318" s="163">
        <v>46204</v>
      </c>
      <c r="D1318" s="182" t="s">
        <v>5289</v>
      </c>
      <c r="E1318" t="s">
        <v>5290</v>
      </c>
      <c r="F1318" t="e" vm="10">
        <v>#VALUE!</v>
      </c>
      <c r="G1318" s="43" t="s">
        <v>174</v>
      </c>
      <c r="H1318" t="s">
        <v>152</v>
      </c>
      <c r="J1318" s="18" t="s">
        <v>153</v>
      </c>
      <c r="K1318" t="s">
        <v>332</v>
      </c>
      <c r="L1318" s="44">
        <v>46212.643055555556</v>
      </c>
      <c r="M1318" s="55" t="s">
        <v>78</v>
      </c>
      <c r="N1318" s="55" t="s">
        <v>78</v>
      </c>
      <c r="O1318" s="44">
        <v>46212.6875</v>
      </c>
      <c r="P1318" s="44">
        <v>46212.715277777781</v>
      </c>
      <c r="Q1318" s="44">
        <v>46212.75</v>
      </c>
      <c r="S1318" s="21" t="s">
        <v>5291</v>
      </c>
      <c r="T1318" s="18" t="s">
        <v>2765</v>
      </c>
      <c r="U1318" s="21"/>
      <c r="V1318" s="21" t="s">
        <v>3012</v>
      </c>
      <c r="Y1318" t="s">
        <v>158</v>
      </c>
      <c r="Z1318" t="s">
        <v>70</v>
      </c>
    </row>
    <row r="1319" spans="1:27" ht="15" hidden="1" customHeight="1">
      <c r="A1319" s="60">
        <f>ROW() - ROW(Table1[[#Headers],[s]])</f>
        <v>1318</v>
      </c>
      <c r="B1319" t="s">
        <v>5292</v>
      </c>
      <c r="C1319" s="272">
        <v>46204</v>
      </c>
      <c r="D1319" s="19" t="s">
        <v>5293</v>
      </c>
      <c r="E1319" t="s">
        <v>5294</v>
      </c>
      <c r="F1319" t="e" vm="40">
        <v>#VALUE!</v>
      </c>
      <c r="G1319" s="43" t="s">
        <v>36</v>
      </c>
      <c r="H1319" t="s">
        <v>152</v>
      </c>
      <c r="I1319" t="s">
        <v>43</v>
      </c>
      <c r="J1319" s="18" t="s">
        <v>153</v>
      </c>
      <c r="K1319" s="307" t="s">
        <v>332</v>
      </c>
      <c r="L1319" s="20">
        <v>46212.601388888892</v>
      </c>
      <c r="M1319" s="18" t="s">
        <v>39</v>
      </c>
      <c r="N1319" s="18" t="s">
        <v>39</v>
      </c>
      <c r="O1319" s="3"/>
      <c r="P1319" s="22"/>
      <c r="Q1319" s="22">
        <v>46213.385416666664</v>
      </c>
      <c r="S1319" s="21" t="s">
        <v>2580</v>
      </c>
      <c r="T1319" s="18" t="s">
        <v>478</v>
      </c>
      <c r="U1319" s="21"/>
      <c r="V1319" s="21" t="s">
        <v>1875</v>
      </c>
      <c r="Y1319" t="s">
        <v>158</v>
      </c>
      <c r="Z1319" t="s">
        <v>70</v>
      </c>
    </row>
    <row r="1320" spans="1:27" ht="15" hidden="1" customHeight="1">
      <c r="A1320" s="60">
        <f>ROW() - ROW(Table1[[#Headers],[s]])</f>
        <v>1319</v>
      </c>
      <c r="B1320" t="s">
        <v>5295</v>
      </c>
      <c r="C1320" s="272">
        <v>46204</v>
      </c>
      <c r="D1320" s="19" t="s">
        <v>5296</v>
      </c>
      <c r="E1320" t="s">
        <v>5297</v>
      </c>
      <c r="F1320" t="e" vm="49">
        <v>#VALUE!</v>
      </c>
      <c r="G1320" s="43" t="s">
        <v>174</v>
      </c>
      <c r="H1320" s="18" t="s">
        <v>747</v>
      </c>
      <c r="J1320" s="18" t="s">
        <v>253</v>
      </c>
      <c r="K1320" t="s">
        <v>332</v>
      </c>
      <c r="L1320" s="20">
        <v>46212.472222222219</v>
      </c>
      <c r="M1320" s="169" t="s">
        <v>1484</v>
      </c>
      <c r="N1320" s="169" t="s">
        <v>1484</v>
      </c>
      <c r="O1320" s="20">
        <v>46212.520833333336</v>
      </c>
      <c r="P1320" s="20">
        <v>46212.565972222219</v>
      </c>
      <c r="Q1320" s="20">
        <v>46212.820138888892</v>
      </c>
      <c r="S1320" s="21" t="s">
        <v>473</v>
      </c>
      <c r="T1320" s="55" t="s">
        <v>516</v>
      </c>
      <c r="U1320" s="21"/>
      <c r="V1320" s="21" t="s">
        <v>5298</v>
      </c>
      <c r="Y1320" t="s">
        <v>158</v>
      </c>
      <c r="Z1320" t="s">
        <v>70</v>
      </c>
    </row>
    <row r="1321" spans="1:27" ht="15" hidden="1" customHeight="1">
      <c r="A1321" s="60">
        <f>ROW() - ROW(Table1[[#Headers],[s]])</f>
        <v>1320</v>
      </c>
      <c r="B1321" t="s">
        <v>5299</v>
      </c>
      <c r="C1321" s="163" t="s">
        <v>60</v>
      </c>
      <c r="D1321" s="52" t="s">
        <v>5300</v>
      </c>
      <c r="E1321" t="s">
        <v>5301</v>
      </c>
      <c r="F1321" t="e" vm="16">
        <v>#VALUE!</v>
      </c>
      <c r="G1321" s="43" t="s">
        <v>174</v>
      </c>
      <c r="H1321" s="18" t="s">
        <v>245</v>
      </c>
      <c r="J1321" s="18" t="s">
        <v>253</v>
      </c>
      <c r="K1321" s="60" t="s">
        <v>736</v>
      </c>
      <c r="L1321" s="20">
        <v>46212.647916666669</v>
      </c>
      <c r="M1321" s="55"/>
      <c r="N1321" s="55"/>
      <c r="O1321" s="56"/>
      <c r="P1321" s="22"/>
      <c r="Q1321" s="58"/>
      <c r="S1321" s="363" t="s">
        <v>5302</v>
      </c>
      <c r="T1321" s="3" t="s">
        <v>50</v>
      </c>
      <c r="U1321" s="21"/>
      <c r="V1321" s="363" t="s">
        <v>5302</v>
      </c>
      <c r="Y1321" t="s">
        <v>179</v>
      </c>
      <c r="Z1321" t="s">
        <v>179</v>
      </c>
    </row>
    <row r="1322" spans="1:27" ht="15" hidden="1" customHeight="1">
      <c r="A1322" s="60">
        <f>ROW() - ROW(Table1[[#Headers],[s]])</f>
        <v>1321</v>
      </c>
      <c r="B1322" t="s">
        <v>5303</v>
      </c>
      <c r="C1322" s="163" t="s">
        <v>60</v>
      </c>
      <c r="D1322" s="52" t="s">
        <v>5304</v>
      </c>
      <c r="E1322" t="s">
        <v>5301</v>
      </c>
      <c r="F1322" t="e" vm="16">
        <v>#VALUE!</v>
      </c>
      <c r="G1322" s="43" t="s">
        <v>174</v>
      </c>
      <c r="H1322" s="18" t="s">
        <v>245</v>
      </c>
      <c r="J1322" s="18" t="s">
        <v>253</v>
      </c>
      <c r="K1322" s="60" t="s">
        <v>736</v>
      </c>
      <c r="L1322" s="20">
        <v>46212.627083333333</v>
      </c>
      <c r="M1322" s="55"/>
      <c r="N1322" s="55"/>
      <c r="O1322" s="56"/>
      <c r="P1322" s="22"/>
      <c r="Q1322" s="58"/>
      <c r="S1322" s="363" t="s">
        <v>5302</v>
      </c>
      <c r="T1322" s="3" t="s">
        <v>50</v>
      </c>
      <c r="U1322" s="21"/>
      <c r="V1322" s="363" t="s">
        <v>5302</v>
      </c>
      <c r="Y1322" t="s">
        <v>179</v>
      </c>
      <c r="Z1322" t="s">
        <v>179</v>
      </c>
    </row>
    <row r="1323" spans="1:27" ht="15" hidden="1" customHeight="1">
      <c r="A1323" s="60">
        <f>ROW() - ROW(Table1[[#Headers],[s]])</f>
        <v>1322</v>
      </c>
      <c r="B1323" t="s">
        <v>5305</v>
      </c>
      <c r="C1323" s="163">
        <v>46204</v>
      </c>
      <c r="D1323" s="52" t="s">
        <v>5306</v>
      </c>
      <c r="E1323" t="s">
        <v>5307</v>
      </c>
      <c r="F1323" t="e" vm="12">
        <v>#VALUE!</v>
      </c>
      <c r="G1323" s="43" t="s">
        <v>36</v>
      </c>
      <c r="H1323" t="s">
        <v>152</v>
      </c>
      <c r="I1323" t="s">
        <v>43</v>
      </c>
      <c r="J1323" s="18" t="s">
        <v>153</v>
      </c>
      <c r="K1323" t="s">
        <v>332</v>
      </c>
      <c r="L1323" s="44">
        <v>46213.432638888888</v>
      </c>
      <c r="M1323" s="55" t="s">
        <v>72</v>
      </c>
      <c r="N1323" s="55" t="s">
        <v>72</v>
      </c>
      <c r="O1323" s="56"/>
      <c r="P1323" s="22"/>
      <c r="Q1323" s="58">
        <v>46213.916666666664</v>
      </c>
      <c r="S1323" s="364" t="s">
        <v>5308</v>
      </c>
      <c r="T1323" s="55" t="s">
        <v>164</v>
      </c>
      <c r="U1323" s="21"/>
      <c r="V1323" s="363" t="s">
        <v>5309</v>
      </c>
      <c r="Y1323" t="s">
        <v>158</v>
      </c>
      <c r="Z1323" t="s">
        <v>70</v>
      </c>
    </row>
    <row r="1324" spans="1:27" s="29" customFormat="1" ht="15" hidden="1" customHeight="1">
      <c r="A1324" s="60">
        <f>ROW() - ROW(Table1[[#Headers],[s]])</f>
        <v>1323</v>
      </c>
      <c r="B1324" t="s">
        <v>5310</v>
      </c>
      <c r="C1324" s="163">
        <v>46204</v>
      </c>
      <c r="D1324" s="52" t="s">
        <v>5311</v>
      </c>
      <c r="E1324" t="s">
        <v>5233</v>
      </c>
      <c r="F1324" s="5" t="e" vm="10">
        <v>#VALUE!</v>
      </c>
      <c r="G1324" s="43" t="s">
        <v>36</v>
      </c>
      <c r="H1324" s="18" t="s">
        <v>152</v>
      </c>
      <c r="I1324" s="23" t="s">
        <v>43</v>
      </c>
      <c r="J1324" s="18" t="s">
        <v>153</v>
      </c>
      <c r="K1324" s="44" t="s">
        <v>5312</v>
      </c>
      <c r="L1324" s="20">
        <v>46213.40347222222</v>
      </c>
      <c r="M1324" s="55" t="s">
        <v>78</v>
      </c>
      <c r="N1324" s="55" t="s">
        <v>78</v>
      </c>
      <c r="O1324" s="56"/>
      <c r="P1324" s="22"/>
      <c r="Q1324" s="58">
        <v>46184.013888888891</v>
      </c>
      <c r="R1324"/>
      <c r="S1324" s="363" t="s">
        <v>5313</v>
      </c>
      <c r="T1324" s="55" t="s">
        <v>164</v>
      </c>
      <c r="U1324" s="21"/>
      <c r="V1324" s="363" t="s">
        <v>5314</v>
      </c>
      <c r="W1324"/>
      <c r="X1324"/>
      <c r="Y1324" t="s">
        <v>70</v>
      </c>
      <c r="Z1324" t="s">
        <v>158</v>
      </c>
      <c r="AA1324"/>
    </row>
    <row r="1325" spans="1:27" ht="15" hidden="1" customHeight="1">
      <c r="A1325" s="60">
        <f>ROW() - ROW(Table1[[#Headers],[s]])</f>
        <v>1324</v>
      </c>
      <c r="B1325" s="210" t="s">
        <v>5315</v>
      </c>
      <c r="C1325" s="272">
        <v>46204</v>
      </c>
      <c r="D1325" s="19" t="s">
        <v>5316</v>
      </c>
      <c r="E1325" t="s">
        <v>5317</v>
      </c>
      <c r="F1325" s="42" t="e" vm="25">
        <v>#VALUE!</v>
      </c>
      <c r="G1325" s="5" t="s">
        <v>36</v>
      </c>
      <c r="H1325" t="s">
        <v>152</v>
      </c>
      <c r="I1325" s="23" t="s">
        <v>43</v>
      </c>
      <c r="J1325" s="18" t="s">
        <v>153</v>
      </c>
      <c r="K1325" s="20" t="s">
        <v>154</v>
      </c>
      <c r="L1325" s="20">
        <v>46213.481249999997</v>
      </c>
      <c r="M1325" s="55" t="s">
        <v>72</v>
      </c>
      <c r="N1325" s="18" t="s">
        <v>72</v>
      </c>
      <c r="O1325" s="3"/>
      <c r="P1325" s="22"/>
      <c r="Q1325" s="22">
        <v>46213.847222222219</v>
      </c>
      <c r="S1325" s="364" t="s">
        <v>5318</v>
      </c>
      <c r="T1325" s="18" t="s">
        <v>516</v>
      </c>
      <c r="U1325" s="21"/>
      <c r="V1325" s="364" t="s">
        <v>5319</v>
      </c>
      <c r="Y1325" t="s">
        <v>158</v>
      </c>
      <c r="Z1325" t="s">
        <v>70</v>
      </c>
    </row>
    <row r="1326" spans="1:27" ht="15" hidden="1" customHeight="1">
      <c r="A1326" s="60">
        <f>ROW() - ROW(Table1[[#Headers],[s]])</f>
        <v>1325</v>
      </c>
      <c r="B1326" t="s">
        <v>5320</v>
      </c>
      <c r="C1326" s="272">
        <v>46204</v>
      </c>
      <c r="D1326" s="19" t="s">
        <v>5321</v>
      </c>
      <c r="E1326" t="s">
        <v>5322</v>
      </c>
      <c r="F1326" t="e" vm="49">
        <v>#VALUE!</v>
      </c>
      <c r="G1326" s="5" t="s">
        <v>36</v>
      </c>
      <c r="H1326" t="s">
        <v>152</v>
      </c>
      <c r="I1326" t="s">
        <v>43</v>
      </c>
      <c r="J1326" s="18" t="s">
        <v>153</v>
      </c>
      <c r="K1326" s="20" t="s">
        <v>154</v>
      </c>
      <c r="L1326" s="20">
        <v>46213.594444444447</v>
      </c>
      <c r="M1326" s="18" t="s">
        <v>227</v>
      </c>
      <c r="N1326" s="18" t="s">
        <v>227</v>
      </c>
      <c r="O1326" s="3"/>
      <c r="P1326" s="22"/>
      <c r="Q1326" s="22">
        <v>46213.854166666664</v>
      </c>
      <c r="S1326" s="364" t="s">
        <v>5323</v>
      </c>
      <c r="T1326" s="18" t="s">
        <v>164</v>
      </c>
      <c r="U1326" s="21"/>
      <c r="V1326" s="364" t="s">
        <v>5324</v>
      </c>
      <c r="Y1326" t="s">
        <v>158</v>
      </c>
      <c r="Z1326" t="s">
        <v>70</v>
      </c>
    </row>
    <row r="1327" spans="1:27" ht="15" hidden="1" customHeight="1">
      <c r="A1327" s="60">
        <f>ROW() - ROW(Table1[[#Headers],[s]])</f>
        <v>1326</v>
      </c>
      <c r="B1327" t="s">
        <v>4110</v>
      </c>
      <c r="C1327" s="272">
        <v>46204</v>
      </c>
      <c r="D1327" s="19" t="s">
        <v>5325</v>
      </c>
      <c r="E1327" t="s">
        <v>5326</v>
      </c>
      <c r="F1327" s="5" t="e" vm="10">
        <v>#VALUE!</v>
      </c>
      <c r="G1327" s="5" t="s">
        <v>36</v>
      </c>
      <c r="H1327" t="s">
        <v>152</v>
      </c>
      <c r="I1327" t="s">
        <v>43</v>
      </c>
      <c r="J1327" s="18" t="s">
        <v>153</v>
      </c>
      <c r="K1327" s="20" t="s">
        <v>154</v>
      </c>
      <c r="L1327" s="20">
        <v>46213.602777777778</v>
      </c>
      <c r="M1327" s="18" t="s">
        <v>78</v>
      </c>
      <c r="N1327" s="55" t="s">
        <v>78</v>
      </c>
      <c r="O1327" s="3"/>
      <c r="P1327" s="22"/>
      <c r="Q1327" s="22">
        <v>46213.882638888892</v>
      </c>
      <c r="S1327" s="364" t="s">
        <v>5327</v>
      </c>
      <c r="T1327" s="18" t="s">
        <v>164</v>
      </c>
      <c r="U1327" s="21"/>
      <c r="V1327" s="364" t="s">
        <v>5328</v>
      </c>
      <c r="Y1327" t="s">
        <v>158</v>
      </c>
      <c r="Z1327" t="s">
        <v>70</v>
      </c>
    </row>
    <row r="1328" spans="1:27" ht="15" hidden="1" customHeight="1">
      <c r="A1328" s="60">
        <f>ROW() - ROW(Table1[[#Headers],[s]])</f>
        <v>1327</v>
      </c>
      <c r="B1328" t="s">
        <v>5329</v>
      </c>
      <c r="C1328" s="272">
        <v>46204</v>
      </c>
      <c r="D1328" s="19" t="s">
        <v>5330</v>
      </c>
      <c r="E1328" t="s">
        <v>5331</v>
      </c>
      <c r="F1328" s="5" t="e" vm="10">
        <v>#VALUE!</v>
      </c>
      <c r="G1328" s="5" t="s">
        <v>36</v>
      </c>
      <c r="H1328" t="s">
        <v>152</v>
      </c>
      <c r="I1328" t="s">
        <v>43</v>
      </c>
      <c r="J1328" s="18" t="s">
        <v>153</v>
      </c>
      <c r="K1328" s="20" t="s">
        <v>154</v>
      </c>
      <c r="L1328" s="20">
        <v>46213.615277777775</v>
      </c>
      <c r="M1328" s="18" t="s">
        <v>78</v>
      </c>
      <c r="N1328" s="55" t="s">
        <v>78</v>
      </c>
      <c r="O1328" s="3"/>
      <c r="P1328" s="22"/>
      <c r="Q1328" s="22">
        <v>46213.822916666664</v>
      </c>
      <c r="S1328" s="364" t="s">
        <v>5332</v>
      </c>
      <c r="T1328" s="18" t="s">
        <v>164</v>
      </c>
      <c r="U1328" s="21"/>
      <c r="V1328" s="364" t="s">
        <v>5333</v>
      </c>
      <c r="Y1328" t="s">
        <v>158</v>
      </c>
      <c r="Z1328" t="s">
        <v>70</v>
      </c>
    </row>
    <row r="1329" spans="1:26" ht="15" hidden="1" customHeight="1">
      <c r="A1329" s="60">
        <f>ROW() - ROW(Table1[[#Headers],[s]])</f>
        <v>1328</v>
      </c>
      <c r="B1329" t="s">
        <v>5334</v>
      </c>
      <c r="C1329" s="272">
        <v>46204</v>
      </c>
      <c r="D1329" s="19" t="s">
        <v>5335</v>
      </c>
      <c r="E1329" t="s">
        <v>2534</v>
      </c>
      <c r="F1329" t="e" vm="37">
        <v>#VALUE!</v>
      </c>
      <c r="G1329" s="5" t="s">
        <v>1057</v>
      </c>
      <c r="H1329" s="18" t="s">
        <v>747</v>
      </c>
      <c r="I1329" t="s">
        <v>43</v>
      </c>
      <c r="J1329" s="18" t="s">
        <v>253</v>
      </c>
      <c r="K1329" t="s">
        <v>5336</v>
      </c>
      <c r="L1329" s="20">
        <v>46213.990277777775</v>
      </c>
      <c r="M1329" s="18" t="s">
        <v>5337</v>
      </c>
      <c r="N1329" s="18" t="s">
        <v>5337</v>
      </c>
      <c r="O1329" s="44">
        <v>46214.354166666664</v>
      </c>
      <c r="P1329" s="44">
        <v>46214.488194444442</v>
      </c>
      <c r="Q1329" s="44">
        <v>46214.597222222219</v>
      </c>
      <c r="S1329" s="364" t="s">
        <v>5338</v>
      </c>
      <c r="T1329" s="55" t="s">
        <v>516</v>
      </c>
      <c r="U1329" s="21"/>
      <c r="V1329" s="364" t="s">
        <v>5339</v>
      </c>
      <c r="Y1329" t="s">
        <v>70</v>
      </c>
      <c r="Z1329" t="s">
        <v>70</v>
      </c>
    </row>
    <row r="1330" spans="1:26" ht="15" hidden="1" customHeight="1">
      <c r="A1330" s="60">
        <f>ROW() - ROW(Table1[[#Headers],[s]])</f>
        <v>1329</v>
      </c>
      <c r="B1330" t="s">
        <v>5340</v>
      </c>
      <c r="C1330" s="272">
        <v>46204</v>
      </c>
      <c r="D1330" s="19" t="s">
        <v>5341</v>
      </c>
      <c r="E1330" t="s">
        <v>5342</v>
      </c>
      <c r="F1330" t="e" vm="21">
        <v>#VALUE!</v>
      </c>
      <c r="G1330" s="5" t="s">
        <v>1057</v>
      </c>
      <c r="H1330" t="s">
        <v>152</v>
      </c>
      <c r="I1330" t="s">
        <v>43</v>
      </c>
      <c r="J1330" s="18" t="s">
        <v>153</v>
      </c>
      <c r="K1330" t="s">
        <v>332</v>
      </c>
      <c r="L1330" s="20">
        <v>46214.506249999999</v>
      </c>
      <c r="M1330" s="18" t="s">
        <v>39</v>
      </c>
      <c r="N1330" s="18" t="s">
        <v>39</v>
      </c>
      <c r="O1330" s="20">
        <v>46214.71875</v>
      </c>
      <c r="P1330" s="20">
        <v>46214.72152777778</v>
      </c>
      <c r="Q1330" s="20">
        <v>46214.737500000003</v>
      </c>
      <c r="S1330" s="364" t="s">
        <v>5343</v>
      </c>
      <c r="T1330" s="18" t="s">
        <v>164</v>
      </c>
      <c r="U1330" s="21"/>
      <c r="V1330" s="364" t="s">
        <v>5344</v>
      </c>
      <c r="Y1330" t="s">
        <v>158</v>
      </c>
      <c r="Z1330" t="s">
        <v>70</v>
      </c>
    </row>
    <row r="1331" spans="1:26" ht="15" hidden="1" customHeight="1">
      <c r="A1331" s="60">
        <f>ROW() - ROW(Table1[[#Headers],[s]])</f>
        <v>1330</v>
      </c>
      <c r="B1331" t="s">
        <v>5345</v>
      </c>
      <c r="C1331" s="163">
        <v>46204</v>
      </c>
      <c r="D1331" s="52" t="s">
        <v>5346</v>
      </c>
      <c r="E1331" t="s">
        <v>5347</v>
      </c>
      <c r="F1331" t="e" vm="12">
        <v>#VALUE!</v>
      </c>
      <c r="G1331" s="5" t="s">
        <v>1057</v>
      </c>
      <c r="H1331" t="s">
        <v>152</v>
      </c>
      <c r="I1331" t="s">
        <v>43</v>
      </c>
      <c r="J1331" s="18" t="s">
        <v>153</v>
      </c>
      <c r="K1331" t="s">
        <v>332</v>
      </c>
      <c r="L1331" s="20">
        <v>46214.574999999997</v>
      </c>
      <c r="M1331" s="55" t="s">
        <v>72</v>
      </c>
      <c r="N1331" s="55" t="s">
        <v>72</v>
      </c>
      <c r="O1331" s="20">
        <v>46214.729166666664</v>
      </c>
      <c r="P1331" s="20">
        <v>46214.782638888886</v>
      </c>
      <c r="Q1331" s="20">
        <v>46214.809027777781</v>
      </c>
      <c r="S1331" s="364" t="s">
        <v>5348</v>
      </c>
      <c r="T1331" s="3" t="s">
        <v>50</v>
      </c>
      <c r="U1331" s="21"/>
      <c r="V1331" s="363" t="s">
        <v>5349</v>
      </c>
      <c r="Y1331" t="s">
        <v>158</v>
      </c>
      <c r="Z1331" t="s">
        <v>70</v>
      </c>
    </row>
    <row r="1332" spans="1:26" ht="15" hidden="1" customHeight="1">
      <c r="A1332" s="60">
        <f>ROW() - ROW(Table1[[#Headers],[s]])</f>
        <v>1331</v>
      </c>
      <c r="B1332" t="s">
        <v>5350</v>
      </c>
      <c r="C1332" s="272">
        <v>46204</v>
      </c>
      <c r="D1332" s="19" t="s">
        <v>5351</v>
      </c>
      <c r="E1332" t="s">
        <v>5352</v>
      </c>
      <c r="F1332" t="e" vm="16">
        <v>#VALUE!</v>
      </c>
      <c r="G1332" s="5" t="s">
        <v>1057</v>
      </c>
      <c r="H1332" s="18" t="s">
        <v>747</v>
      </c>
      <c r="I1332" t="s">
        <v>43</v>
      </c>
      <c r="J1332" s="18" t="s">
        <v>253</v>
      </c>
      <c r="K1332" t="s">
        <v>332</v>
      </c>
      <c r="L1332" s="20">
        <v>46214.670138888891</v>
      </c>
      <c r="M1332" s="18" t="s">
        <v>58</v>
      </c>
      <c r="N1332" s="18" t="s">
        <v>58</v>
      </c>
      <c r="O1332" s="20">
        <v>46214.75</v>
      </c>
      <c r="P1332" s="20">
        <v>46214.857638888891</v>
      </c>
      <c r="Q1332" s="20">
        <v>46214.927083333336</v>
      </c>
      <c r="S1332" s="365" t="s">
        <v>5353</v>
      </c>
      <c r="T1332" s="3" t="s">
        <v>50</v>
      </c>
      <c r="U1332" s="21"/>
      <c r="V1332" s="364" t="s">
        <v>5354</v>
      </c>
      <c r="Y1332" t="s">
        <v>158</v>
      </c>
      <c r="Z1332" t="s">
        <v>70</v>
      </c>
    </row>
    <row r="1333" spans="1:26" ht="15" hidden="1" customHeight="1">
      <c r="A1333" s="60">
        <f>ROW() - ROW(Table1[[#Headers],[s]])</f>
        <v>1332</v>
      </c>
      <c r="B1333" s="230" t="s">
        <v>5355</v>
      </c>
      <c r="C1333" s="272">
        <v>46204</v>
      </c>
      <c r="D1333" s="19" t="s">
        <v>5356</v>
      </c>
      <c r="E1333" t="s">
        <v>5357</v>
      </c>
      <c r="F1333" t="e" vm="46">
        <v>#VALUE!</v>
      </c>
      <c r="G1333" s="5" t="s">
        <v>1057</v>
      </c>
      <c r="H1333" t="s">
        <v>152</v>
      </c>
      <c r="I1333" t="s">
        <v>43</v>
      </c>
      <c r="J1333" s="18" t="s">
        <v>153</v>
      </c>
      <c r="K1333" t="s">
        <v>332</v>
      </c>
      <c r="L1333" s="20">
        <v>46214.72152777778</v>
      </c>
      <c r="M1333" s="55" t="s">
        <v>5358</v>
      </c>
      <c r="N1333" s="55" t="s">
        <v>5358</v>
      </c>
      <c r="O1333" s="20">
        <v>46215.3125</v>
      </c>
      <c r="P1333" s="20">
        <v>46215.319444444445</v>
      </c>
      <c r="Q1333" s="20">
        <v>46215.361111111109</v>
      </c>
      <c r="R1333" t="s">
        <v>3232</v>
      </c>
      <c r="S1333" s="364" t="s">
        <v>5359</v>
      </c>
      <c r="T1333" s="18" t="s">
        <v>164</v>
      </c>
      <c r="U1333" s="21"/>
      <c r="V1333" s="364" t="s">
        <v>5360</v>
      </c>
      <c r="Y1333" t="s">
        <v>158</v>
      </c>
      <c r="Z1333" t="s">
        <v>158</v>
      </c>
    </row>
    <row r="1334" spans="1:26" ht="15" hidden="1" customHeight="1">
      <c r="A1334" s="60">
        <f>ROW() - ROW(Table1[[#Headers],[s]])</f>
        <v>1333</v>
      </c>
      <c r="B1334" s="230" t="s">
        <v>5361</v>
      </c>
      <c r="C1334" s="272">
        <v>46204</v>
      </c>
      <c r="D1334" s="19" t="s">
        <v>5362</v>
      </c>
      <c r="E1334" t="s">
        <v>5363</v>
      </c>
      <c r="F1334" t="e" vm="21">
        <v>#VALUE!</v>
      </c>
      <c r="G1334" s="5" t="s">
        <v>1057</v>
      </c>
      <c r="H1334" t="s">
        <v>152</v>
      </c>
      <c r="I1334" t="s">
        <v>43</v>
      </c>
      <c r="J1334" s="18" t="s">
        <v>153</v>
      </c>
      <c r="K1334" t="s">
        <v>332</v>
      </c>
      <c r="L1334" s="20">
        <v>46214.726388888892</v>
      </c>
      <c r="M1334" s="18" t="s">
        <v>39</v>
      </c>
      <c r="N1334" s="18" t="s">
        <v>39</v>
      </c>
      <c r="O1334" s="20">
        <v>46214.788194444445</v>
      </c>
      <c r="P1334" s="20">
        <v>46214.793055555558</v>
      </c>
      <c r="Q1334" s="20">
        <v>46214.804861111108</v>
      </c>
      <c r="S1334" s="21" t="s">
        <v>5364</v>
      </c>
      <c r="T1334" s="18" t="s">
        <v>2765</v>
      </c>
      <c r="U1334" s="21"/>
      <c r="V1334" s="364" t="s">
        <v>5365</v>
      </c>
      <c r="Y1334" t="s">
        <v>158</v>
      </c>
      <c r="Z1334" t="s">
        <v>70</v>
      </c>
    </row>
    <row r="1335" spans="1:26" ht="15" hidden="1" customHeight="1">
      <c r="A1335" s="60">
        <f>ROW() - ROW(Table1[[#Headers],[s]])</f>
        <v>1334</v>
      </c>
      <c r="B1335" t="s">
        <v>5366</v>
      </c>
      <c r="C1335" s="272">
        <v>46204</v>
      </c>
      <c r="D1335" s="19" t="s">
        <v>5367</v>
      </c>
      <c r="E1335" t="s">
        <v>5368</v>
      </c>
      <c r="F1335" t="e" vm="26">
        <v>#VALUE!</v>
      </c>
      <c r="G1335" s="5" t="s">
        <v>1057</v>
      </c>
      <c r="H1335" t="s">
        <v>152</v>
      </c>
      <c r="I1335" t="s">
        <v>43</v>
      </c>
      <c r="J1335" s="18" t="s">
        <v>153</v>
      </c>
      <c r="K1335" t="s">
        <v>332</v>
      </c>
      <c r="L1335" s="20">
        <v>46214.722916666666</v>
      </c>
      <c r="M1335" s="18" t="s">
        <v>5369</v>
      </c>
      <c r="N1335" s="18" t="s">
        <v>5369</v>
      </c>
      <c r="O1335" s="20">
        <v>46215.451388888891</v>
      </c>
      <c r="P1335" s="20">
        <v>46215.458333333336</v>
      </c>
      <c r="Q1335" s="20">
        <v>46215.521527777775</v>
      </c>
      <c r="R1335" t="s">
        <v>3232</v>
      </c>
      <c r="S1335" s="364" t="s">
        <v>5370</v>
      </c>
      <c r="T1335" s="3" t="s">
        <v>50</v>
      </c>
      <c r="U1335" s="21"/>
      <c r="V1335" s="364" t="s">
        <v>5371</v>
      </c>
      <c r="Y1335" t="s">
        <v>158</v>
      </c>
      <c r="Z1335" t="s">
        <v>158</v>
      </c>
    </row>
    <row r="1336" spans="1:26" ht="15" hidden="1" customHeight="1">
      <c r="A1336" s="60">
        <f>ROW() - ROW(Table1[[#Headers],[s]])</f>
        <v>1335</v>
      </c>
      <c r="B1336" t="s">
        <v>5372</v>
      </c>
      <c r="C1336" s="272">
        <v>46204</v>
      </c>
      <c r="D1336" s="19" t="s">
        <v>5373</v>
      </c>
      <c r="E1336" s="19" t="s">
        <v>5374</v>
      </c>
      <c r="F1336" t="e" vm="35">
        <v>#VALUE!</v>
      </c>
      <c r="G1336" s="5" t="s">
        <v>1057</v>
      </c>
      <c r="H1336" t="s">
        <v>152</v>
      </c>
      <c r="I1336" t="s">
        <v>43</v>
      </c>
      <c r="J1336" s="18" t="s">
        <v>153</v>
      </c>
      <c r="K1336" t="s">
        <v>332</v>
      </c>
      <c r="L1336" s="20">
        <v>46215.363194444442</v>
      </c>
      <c r="M1336" s="169" t="s">
        <v>1484</v>
      </c>
      <c r="N1336" s="169" t="s">
        <v>1484</v>
      </c>
      <c r="O1336" s="20">
        <v>46215.59375</v>
      </c>
      <c r="P1336" s="20">
        <v>46215.631944444445</v>
      </c>
      <c r="Q1336" s="20">
        <v>46215.777777777781</v>
      </c>
      <c r="R1336" t="s">
        <v>5375</v>
      </c>
      <c r="S1336" s="364" t="s">
        <v>5376</v>
      </c>
      <c r="T1336" s="18" t="s">
        <v>164</v>
      </c>
      <c r="U1336" s="21"/>
      <c r="V1336" s="364" t="s">
        <v>5377</v>
      </c>
      <c r="W1336" t="s">
        <v>5378</v>
      </c>
      <c r="Y1336" t="s">
        <v>158</v>
      </c>
      <c r="Z1336" t="s">
        <v>158</v>
      </c>
    </row>
    <row r="1337" spans="1:26" ht="15" hidden="1" customHeight="1">
      <c r="A1337" s="60">
        <f>ROW() - ROW(Table1[[#Headers],[s]])</f>
        <v>1336</v>
      </c>
      <c r="B1337" t="s">
        <v>5379</v>
      </c>
      <c r="C1337" s="272">
        <v>46204</v>
      </c>
      <c r="D1337" s="19" t="s">
        <v>5380</v>
      </c>
      <c r="E1337" t="s">
        <v>5381</v>
      </c>
      <c r="F1337" t="e" vm="25">
        <v>#VALUE!</v>
      </c>
      <c r="G1337" s="5" t="s">
        <v>1057</v>
      </c>
      <c r="H1337" t="s">
        <v>152</v>
      </c>
      <c r="I1337" t="s">
        <v>43</v>
      </c>
      <c r="J1337" s="18" t="s">
        <v>153</v>
      </c>
      <c r="K1337" t="s">
        <v>332</v>
      </c>
      <c r="L1337" s="20">
        <v>46215.621527777781</v>
      </c>
      <c r="M1337" s="55" t="s">
        <v>72</v>
      </c>
      <c r="N1337" s="55" t="s">
        <v>72</v>
      </c>
      <c r="O1337" s="20">
        <v>46215.875</v>
      </c>
      <c r="P1337" s="20">
        <v>46216.395833333336</v>
      </c>
      <c r="Q1337" s="20">
        <v>46216.402777777781</v>
      </c>
      <c r="S1337" s="364" t="s">
        <v>5382</v>
      </c>
      <c r="T1337" s="3" t="s">
        <v>50</v>
      </c>
      <c r="U1337" s="21"/>
      <c r="V1337" s="364" t="s">
        <v>5383</v>
      </c>
      <c r="Y1337" t="s">
        <v>158</v>
      </c>
      <c r="Z1337" t="s">
        <v>70</v>
      </c>
    </row>
    <row r="1338" spans="1:26" ht="15" hidden="1" customHeight="1">
      <c r="A1338" s="60">
        <f>ROW() - ROW(Table1[[#Headers],[s]])</f>
        <v>1337</v>
      </c>
      <c r="B1338" t="s">
        <v>5384</v>
      </c>
      <c r="C1338" s="272">
        <v>46204</v>
      </c>
      <c r="D1338" s="19" t="s">
        <v>5385</v>
      </c>
      <c r="E1338" t="s">
        <v>5386</v>
      </c>
      <c r="F1338" t="e" vm="2">
        <v>#VALUE!</v>
      </c>
      <c r="G1338" s="5" t="s">
        <v>1057</v>
      </c>
      <c r="H1338" t="s">
        <v>152</v>
      </c>
      <c r="I1338" t="s">
        <v>43</v>
      </c>
      <c r="J1338" s="18" t="s">
        <v>153</v>
      </c>
      <c r="K1338" t="s">
        <v>332</v>
      </c>
      <c r="L1338" s="20">
        <v>46215.628472222219</v>
      </c>
      <c r="M1338" s="18" t="s">
        <v>162</v>
      </c>
      <c r="N1338" s="18" t="s">
        <v>162</v>
      </c>
      <c r="O1338" s="20">
        <v>46215.791666666664</v>
      </c>
      <c r="P1338" s="20">
        <v>46215.803472222222</v>
      </c>
      <c r="Q1338" s="20">
        <v>46215.815972222219</v>
      </c>
      <c r="R1338" t="s">
        <v>3232</v>
      </c>
      <c r="S1338" s="364" t="s">
        <v>5387</v>
      </c>
      <c r="T1338" s="18" t="s">
        <v>2765</v>
      </c>
      <c r="U1338" s="21"/>
      <c r="V1338" s="364" t="s">
        <v>5388</v>
      </c>
      <c r="Y1338" t="s">
        <v>158</v>
      </c>
      <c r="Z1338" t="s">
        <v>70</v>
      </c>
    </row>
    <row r="1339" spans="1:26" ht="15" hidden="1" customHeight="1">
      <c r="A1339" s="60">
        <f>ROW() - ROW(Table1[[#Headers],[s]])</f>
        <v>1338</v>
      </c>
      <c r="B1339" t="s">
        <v>5389</v>
      </c>
      <c r="C1339" s="272">
        <v>46204</v>
      </c>
      <c r="D1339" s="19" t="s">
        <v>5390</v>
      </c>
      <c r="E1339" t="s">
        <v>5391</v>
      </c>
      <c r="F1339" t="e" vm="2">
        <v>#VALUE!</v>
      </c>
      <c r="G1339" s="5" t="s">
        <v>1057</v>
      </c>
      <c r="H1339" t="s">
        <v>152</v>
      </c>
      <c r="I1339" t="s">
        <v>43</v>
      </c>
      <c r="J1339" s="18" t="s">
        <v>153</v>
      </c>
      <c r="K1339" t="s">
        <v>332</v>
      </c>
      <c r="L1339" s="20">
        <v>46215.674305555556</v>
      </c>
      <c r="M1339" s="18" t="s">
        <v>162</v>
      </c>
      <c r="N1339" s="18" t="s">
        <v>162</v>
      </c>
      <c r="O1339" s="20">
        <v>46216.326388888891</v>
      </c>
      <c r="P1339" s="20">
        <v>46216.329861111109</v>
      </c>
      <c r="Q1339" s="20">
        <v>46216.347222222219</v>
      </c>
      <c r="R1339" s="20" t="s">
        <v>3191</v>
      </c>
      <c r="S1339" s="364" t="s">
        <v>5392</v>
      </c>
      <c r="T1339" s="18" t="s">
        <v>2765</v>
      </c>
      <c r="U1339" s="21"/>
      <c r="V1339" s="364" t="s">
        <v>5393</v>
      </c>
      <c r="Y1339" t="s">
        <v>158</v>
      </c>
      <c r="Z1339" t="s">
        <v>70</v>
      </c>
    </row>
    <row r="1340" spans="1:26" ht="15" hidden="1" customHeight="1">
      <c r="A1340" s="60">
        <f>ROW() - ROW(Table1[[#Headers],[s]])</f>
        <v>1339</v>
      </c>
      <c r="B1340" t="s">
        <v>5394</v>
      </c>
      <c r="C1340" s="272">
        <v>46204</v>
      </c>
      <c r="D1340" s="19" t="s">
        <v>5395</v>
      </c>
      <c r="E1340" t="s">
        <v>898</v>
      </c>
      <c r="F1340" t="e" vm="16">
        <v>#VALUE!</v>
      </c>
      <c r="G1340" s="5" t="s">
        <v>174</v>
      </c>
      <c r="H1340" s="18" t="s">
        <v>747</v>
      </c>
      <c r="J1340" s="18" t="s">
        <v>253</v>
      </c>
      <c r="K1340" t="s">
        <v>332</v>
      </c>
      <c r="L1340" s="20">
        <v>46215.901388888888</v>
      </c>
      <c r="M1340" s="18" t="s">
        <v>3413</v>
      </c>
      <c r="N1340" s="18" t="s">
        <v>3413</v>
      </c>
      <c r="O1340" s="20">
        <v>46216.333333333336</v>
      </c>
      <c r="P1340" s="20">
        <v>46216.354166666664</v>
      </c>
      <c r="Q1340" s="20">
        <v>46216.408333333333</v>
      </c>
      <c r="S1340" s="364" t="s">
        <v>1618</v>
      </c>
      <c r="T1340" s="18" t="s">
        <v>478</v>
      </c>
      <c r="U1340" s="21"/>
      <c r="V1340" s="364" t="s">
        <v>5396</v>
      </c>
      <c r="Y1340" t="s">
        <v>70</v>
      </c>
      <c r="Z1340" t="s">
        <v>158</v>
      </c>
    </row>
    <row r="1341" spans="1:26" ht="15" hidden="1" customHeight="1">
      <c r="A1341" s="60">
        <f>ROW() - ROW(Table1[[#Headers],[s]])</f>
        <v>1340</v>
      </c>
      <c r="B1341" t="s">
        <v>5397</v>
      </c>
      <c r="C1341" s="272">
        <v>46204</v>
      </c>
      <c r="D1341" s="19" t="s">
        <v>5398</v>
      </c>
      <c r="E1341" t="s">
        <v>5399</v>
      </c>
      <c r="F1341" t="e" vm="30">
        <v>#VALUE!</v>
      </c>
      <c r="G1341" s="5" t="s">
        <v>174</v>
      </c>
      <c r="H1341" s="18" t="s">
        <v>747</v>
      </c>
      <c r="J1341" s="18" t="s">
        <v>253</v>
      </c>
      <c r="K1341" t="s">
        <v>5400</v>
      </c>
      <c r="L1341" s="20">
        <v>46216.290277777778</v>
      </c>
      <c r="M1341" s="18" t="s">
        <v>5401</v>
      </c>
      <c r="N1341" s="18" t="s">
        <v>5401</v>
      </c>
      <c r="O1341" s="20">
        <v>46216.333333333336</v>
      </c>
      <c r="P1341" s="20">
        <v>46216.354166666664</v>
      </c>
      <c r="Q1341" s="20">
        <v>46216.549305555556</v>
      </c>
      <c r="S1341" s="364" t="s">
        <v>5402</v>
      </c>
      <c r="T1341" s="18" t="s">
        <v>478</v>
      </c>
      <c r="U1341" s="21"/>
      <c r="V1341" s="364" t="s">
        <v>5403</v>
      </c>
      <c r="Y1341" t="s">
        <v>158</v>
      </c>
      <c r="Z1341" t="s">
        <v>158</v>
      </c>
    </row>
    <row r="1342" spans="1:26" ht="15" hidden="1" customHeight="1">
      <c r="A1342" s="60">
        <f>ROW() - ROW(Table1[[#Headers],[s]])</f>
        <v>1341</v>
      </c>
      <c r="B1342" t="s">
        <v>5404</v>
      </c>
      <c r="C1342" s="272">
        <v>46204</v>
      </c>
      <c r="D1342" s="19" t="s">
        <v>5405</v>
      </c>
      <c r="E1342" t="s">
        <v>5406</v>
      </c>
      <c r="F1342" t="e" vm="49">
        <v>#VALUE!</v>
      </c>
      <c r="G1342" s="5" t="s">
        <v>36</v>
      </c>
      <c r="H1342" s="18" t="s">
        <v>747</v>
      </c>
      <c r="I1342" t="s">
        <v>43</v>
      </c>
      <c r="K1342" t="s">
        <v>332</v>
      </c>
      <c r="L1342" s="20">
        <v>46216.5625</v>
      </c>
      <c r="M1342" s="371" t="s">
        <v>155</v>
      </c>
      <c r="N1342" s="400" t="s">
        <v>155</v>
      </c>
      <c r="O1342" s="3"/>
      <c r="P1342" s="22"/>
      <c r="Q1342" s="22">
        <v>46216.668749999997</v>
      </c>
      <c r="S1342" s="364" t="s">
        <v>5407</v>
      </c>
      <c r="T1342" s="3" t="s">
        <v>50</v>
      </c>
      <c r="U1342" s="21"/>
      <c r="V1342" s="364" t="s">
        <v>5408</v>
      </c>
      <c r="Y1342" t="s">
        <v>158</v>
      </c>
      <c r="Z1342" t="s">
        <v>70</v>
      </c>
    </row>
    <row r="1343" spans="1:26" ht="15" hidden="1" customHeight="1">
      <c r="A1343" s="60">
        <f>ROW() - ROW(Table1[[#Headers],[s]])</f>
        <v>1342</v>
      </c>
      <c r="B1343" t="s">
        <v>5409</v>
      </c>
      <c r="C1343" s="163">
        <v>46204</v>
      </c>
      <c r="D1343" s="52" t="s">
        <v>5410</v>
      </c>
      <c r="E1343" t="s">
        <v>5411</v>
      </c>
      <c r="F1343" t="e" vm="25">
        <v>#VALUE!</v>
      </c>
      <c r="G1343" s="5" t="s">
        <v>1057</v>
      </c>
      <c r="H1343" t="s">
        <v>152</v>
      </c>
      <c r="I1343" t="s">
        <v>43</v>
      </c>
      <c r="J1343" s="18" t="s">
        <v>153</v>
      </c>
      <c r="K1343" t="s">
        <v>332</v>
      </c>
      <c r="L1343" s="20">
        <v>46216.451388888891</v>
      </c>
      <c r="M1343" s="55" t="s">
        <v>5412</v>
      </c>
      <c r="N1343" s="55" t="s">
        <v>5412</v>
      </c>
      <c r="O1343" s="20">
        <v>46216.5625</v>
      </c>
      <c r="P1343" s="20">
        <v>46216.576388888891</v>
      </c>
      <c r="Q1343" s="20">
        <v>46217.53125</v>
      </c>
      <c r="R1343" t="s">
        <v>3191</v>
      </c>
      <c r="S1343" s="364" t="s">
        <v>5413</v>
      </c>
      <c r="T1343" s="18" t="s">
        <v>478</v>
      </c>
      <c r="U1343" s="21"/>
      <c r="V1343" s="363" t="s">
        <v>5414</v>
      </c>
      <c r="W1343" t="s">
        <v>5415</v>
      </c>
      <c r="Y1343" t="s">
        <v>158</v>
      </c>
      <c r="Z1343" t="s">
        <v>70</v>
      </c>
    </row>
    <row r="1344" spans="1:26" ht="15" hidden="1" customHeight="1">
      <c r="A1344" s="60">
        <f>ROW() - ROW(Table1[[#Headers],[s]])</f>
        <v>1343</v>
      </c>
      <c r="B1344" t="s">
        <v>5416</v>
      </c>
      <c r="C1344" s="181" t="s">
        <v>60</v>
      </c>
      <c r="D1344" s="19" t="s">
        <v>5417</v>
      </c>
      <c r="E1344" t="s">
        <v>5411</v>
      </c>
      <c r="F1344" t="e" vm="25">
        <v>#VALUE!</v>
      </c>
      <c r="G1344" s="5" t="s">
        <v>1057</v>
      </c>
      <c r="H1344" t="s">
        <v>152</v>
      </c>
      <c r="I1344" s="169" t="s">
        <v>5418</v>
      </c>
      <c r="J1344" s="18" t="s">
        <v>153</v>
      </c>
      <c r="K1344" s="42" t="s">
        <v>154</v>
      </c>
      <c r="L1344" s="20">
        <v>46216.445138888892</v>
      </c>
      <c r="M1344" s="55" t="s">
        <v>5412</v>
      </c>
      <c r="N1344" s="55" t="s">
        <v>5412</v>
      </c>
      <c r="O1344" s="20">
        <v>46216.5625</v>
      </c>
      <c r="P1344" s="20">
        <v>46216.576388888891</v>
      </c>
      <c r="Q1344" s="20">
        <v>46217.53125</v>
      </c>
      <c r="S1344" s="364" t="s">
        <v>5419</v>
      </c>
      <c r="T1344" s="3" t="s">
        <v>50</v>
      </c>
      <c r="U1344" s="21"/>
      <c r="V1344" s="364"/>
      <c r="Y1344" t="s">
        <v>179</v>
      </c>
      <c r="Z1344" t="s">
        <v>179</v>
      </c>
    </row>
    <row r="1345" spans="1:30" ht="15" hidden="1" customHeight="1">
      <c r="A1345" s="60">
        <f>ROW() - ROW(Table1[[#Headers],[s]])</f>
        <v>1344</v>
      </c>
      <c r="B1345" t="s">
        <v>1008</v>
      </c>
      <c r="C1345" s="272">
        <v>46204</v>
      </c>
      <c r="D1345" s="19" t="s">
        <v>5420</v>
      </c>
      <c r="E1345" t="s">
        <v>5421</v>
      </c>
      <c r="F1345" t="e" vm="25">
        <v>#VALUE!</v>
      </c>
      <c r="G1345" s="5" t="s">
        <v>1057</v>
      </c>
      <c r="H1345" t="s">
        <v>152</v>
      </c>
      <c r="I1345" t="s">
        <v>43</v>
      </c>
      <c r="J1345" s="18" t="s">
        <v>153</v>
      </c>
      <c r="K1345" t="s">
        <v>332</v>
      </c>
      <c r="L1345" s="20">
        <v>46216.600694444445</v>
      </c>
      <c r="M1345" s="18" t="s">
        <v>72</v>
      </c>
      <c r="N1345" s="18" t="s">
        <v>72</v>
      </c>
      <c r="O1345" s="20">
        <v>46217.388888888891</v>
      </c>
      <c r="P1345" s="20">
        <v>46217.395833333336</v>
      </c>
      <c r="Q1345" s="20">
        <v>46217.416666666664</v>
      </c>
      <c r="R1345" t="s">
        <v>3232</v>
      </c>
      <c r="S1345" s="364" t="s">
        <v>5422</v>
      </c>
      <c r="T1345" s="18" t="s">
        <v>478</v>
      </c>
      <c r="U1345" s="21"/>
      <c r="V1345" s="364" t="s">
        <v>5423</v>
      </c>
      <c r="Y1345" t="s">
        <v>158</v>
      </c>
      <c r="Z1345" t="s">
        <v>70</v>
      </c>
    </row>
    <row r="1346" spans="1:30" ht="15" hidden="1" customHeight="1">
      <c r="A1346" s="60">
        <f>ROW() - ROW(Table1[[#Headers],[s]])</f>
        <v>1345</v>
      </c>
      <c r="B1346" s="223" t="s">
        <v>5424</v>
      </c>
      <c r="C1346" s="272">
        <v>46204</v>
      </c>
      <c r="D1346" s="19" t="s">
        <v>5425</v>
      </c>
      <c r="E1346" t="s">
        <v>5426</v>
      </c>
      <c r="F1346" t="e" vm="2">
        <v>#VALUE!</v>
      </c>
      <c r="G1346" s="5" t="s">
        <v>1057</v>
      </c>
      <c r="H1346" t="s">
        <v>152</v>
      </c>
      <c r="I1346" t="s">
        <v>43</v>
      </c>
      <c r="J1346" s="18" t="s">
        <v>153</v>
      </c>
      <c r="K1346" t="s">
        <v>332</v>
      </c>
      <c r="L1346" s="20">
        <v>46216.902777777781</v>
      </c>
      <c r="M1346" s="18" t="s">
        <v>162</v>
      </c>
      <c r="N1346" s="18" t="s">
        <v>162</v>
      </c>
      <c r="O1346" s="20">
        <v>46217.375</v>
      </c>
      <c r="P1346" s="20">
        <v>46217.388888888891</v>
      </c>
      <c r="Q1346" s="20">
        <v>46217.399305555555</v>
      </c>
      <c r="R1346" t="s">
        <v>3191</v>
      </c>
      <c r="S1346" s="364" t="s">
        <v>5427</v>
      </c>
      <c r="T1346" s="18" t="s">
        <v>5428</v>
      </c>
      <c r="U1346" s="21"/>
      <c r="V1346" s="365" t="s">
        <v>5429</v>
      </c>
      <c r="Y1346" t="s">
        <v>158</v>
      </c>
      <c r="Z1346" t="s">
        <v>70</v>
      </c>
    </row>
    <row r="1347" spans="1:30" ht="15" hidden="1" customHeight="1">
      <c r="A1347" s="60">
        <f>ROW() - ROW(Table1[[#Headers],[s]])</f>
        <v>1346</v>
      </c>
      <c r="B1347" t="s">
        <v>5430</v>
      </c>
      <c r="C1347" s="272">
        <v>46204</v>
      </c>
      <c r="D1347" s="19" t="s">
        <v>5431</v>
      </c>
      <c r="E1347" t="s">
        <v>5169</v>
      </c>
      <c r="F1347" t="e" vm="25">
        <v>#VALUE!</v>
      </c>
      <c r="G1347" s="5" t="s">
        <v>174</v>
      </c>
      <c r="H1347" s="18" t="s">
        <v>747</v>
      </c>
      <c r="J1347" s="18" t="s">
        <v>253</v>
      </c>
      <c r="K1347" t="s">
        <v>332</v>
      </c>
      <c r="L1347" s="20">
        <v>46216.470833333333</v>
      </c>
      <c r="M1347" s="18" t="s">
        <v>72</v>
      </c>
      <c r="N1347" s="18" t="s">
        <v>72</v>
      </c>
      <c r="O1347" s="20">
        <v>46216.53125</v>
      </c>
      <c r="P1347" s="20">
        <v>46216.5625</v>
      </c>
      <c r="Q1347" s="20">
        <v>46216.664583333331</v>
      </c>
      <c r="S1347" s="364" t="s">
        <v>5432</v>
      </c>
      <c r="T1347" s="18" t="s">
        <v>478</v>
      </c>
      <c r="U1347" s="21"/>
      <c r="V1347" s="364" t="s">
        <v>5433</v>
      </c>
      <c r="Y1347" t="s">
        <v>158</v>
      </c>
      <c r="Z1347" t="s">
        <v>158</v>
      </c>
    </row>
    <row r="1348" spans="1:30" ht="15" hidden="1" customHeight="1">
      <c r="A1348" s="60">
        <f>ROW() - ROW(Table1[[#Headers],[s]])</f>
        <v>1347</v>
      </c>
      <c r="B1348" s="223" t="s">
        <v>5434</v>
      </c>
      <c r="C1348" s="272">
        <v>46204</v>
      </c>
      <c r="D1348" s="19" t="s">
        <v>5435</v>
      </c>
      <c r="E1348" t="s">
        <v>5069</v>
      </c>
      <c r="F1348" t="e" vm="2">
        <v>#VALUE!</v>
      </c>
      <c r="G1348" s="5" t="s">
        <v>174</v>
      </c>
      <c r="H1348" t="s">
        <v>152</v>
      </c>
      <c r="J1348" s="18" t="s">
        <v>153</v>
      </c>
      <c r="K1348" t="s">
        <v>332</v>
      </c>
      <c r="L1348" s="20">
        <v>46216.713888888888</v>
      </c>
      <c r="M1348" s="18" t="s">
        <v>162</v>
      </c>
      <c r="N1348" s="18" t="s">
        <v>162</v>
      </c>
      <c r="O1348" s="20">
        <v>46216.791666666664</v>
      </c>
      <c r="P1348" s="20">
        <v>46216.8125</v>
      </c>
      <c r="Q1348" s="20">
        <v>46216.854166666664</v>
      </c>
      <c r="S1348" s="364" t="s">
        <v>5436</v>
      </c>
      <c r="T1348" s="18" t="s">
        <v>478</v>
      </c>
      <c r="U1348" s="21"/>
      <c r="V1348" s="365" t="s">
        <v>5437</v>
      </c>
      <c r="Y1348" t="s">
        <v>158</v>
      </c>
      <c r="Z1348" t="s">
        <v>70</v>
      </c>
    </row>
    <row r="1349" spans="1:30" ht="15" hidden="1" customHeight="1">
      <c r="A1349" s="60">
        <f>ROW() - ROW(Table1[[#Headers],[s]])</f>
        <v>1348</v>
      </c>
      <c r="B1349" t="s">
        <v>4855</v>
      </c>
      <c r="C1349" s="272">
        <v>46204</v>
      </c>
      <c r="D1349" s="19" t="s">
        <v>5438</v>
      </c>
      <c r="E1349" t="s">
        <v>5439</v>
      </c>
      <c r="F1349" t="e" vm="21">
        <v>#VALUE!</v>
      </c>
      <c r="G1349" s="5" t="s">
        <v>1057</v>
      </c>
      <c r="H1349" t="s">
        <v>152</v>
      </c>
      <c r="I1349" t="s">
        <v>43</v>
      </c>
      <c r="J1349" s="18" t="s">
        <v>153</v>
      </c>
      <c r="K1349" t="s">
        <v>332</v>
      </c>
      <c r="L1349" s="20">
        <v>46217.351388888892</v>
      </c>
      <c r="M1349" s="18" t="s">
        <v>39</v>
      </c>
      <c r="N1349" s="18" t="s">
        <v>39</v>
      </c>
      <c r="O1349" s="20">
        <v>46217.493055555555</v>
      </c>
      <c r="P1349" s="20">
        <v>46217.499305555553</v>
      </c>
      <c r="Q1349" s="20">
        <v>46217.513888888891</v>
      </c>
      <c r="R1349" t="s">
        <v>3191</v>
      </c>
      <c r="S1349" s="364" t="s">
        <v>5440</v>
      </c>
      <c r="T1349" s="18" t="s">
        <v>5428</v>
      </c>
      <c r="U1349" s="21"/>
      <c r="V1349" s="364" t="s">
        <v>5441</v>
      </c>
      <c r="Y1349" t="s">
        <v>158</v>
      </c>
      <c r="Z1349" t="s">
        <v>70</v>
      </c>
    </row>
    <row r="1350" spans="1:30" ht="15" hidden="1" customHeight="1">
      <c r="A1350" s="60">
        <f>ROW() - ROW(Table1[[#Headers],[s]])</f>
        <v>1349</v>
      </c>
      <c r="B1350" t="s">
        <v>5442</v>
      </c>
      <c r="C1350" s="272">
        <v>46204</v>
      </c>
      <c r="D1350" s="19" t="s">
        <v>5443</v>
      </c>
      <c r="E1350" t="s">
        <v>1116</v>
      </c>
      <c r="F1350" t="e" vm="35">
        <v>#VALUE!</v>
      </c>
      <c r="G1350" s="5" t="s">
        <v>1057</v>
      </c>
      <c r="H1350" t="s">
        <v>152</v>
      </c>
      <c r="I1350" t="s">
        <v>43</v>
      </c>
      <c r="J1350" s="18" t="s">
        <v>153</v>
      </c>
      <c r="K1350" t="s">
        <v>332</v>
      </c>
      <c r="L1350" s="20">
        <v>46217.54583333333</v>
      </c>
      <c r="M1350" s="169" t="s">
        <v>1484</v>
      </c>
      <c r="N1350" s="169" t="s">
        <v>1484</v>
      </c>
      <c r="O1350" s="20">
        <v>46218.402777777781</v>
      </c>
      <c r="P1350" s="20">
        <v>46218.409722222219</v>
      </c>
      <c r="Q1350" s="20">
        <v>46218.431250000001</v>
      </c>
      <c r="R1350" t="s">
        <v>5444</v>
      </c>
      <c r="S1350" s="365" t="s">
        <v>5445</v>
      </c>
      <c r="T1350" s="55" t="s">
        <v>516</v>
      </c>
      <c r="U1350" s="21"/>
      <c r="V1350" s="364" t="s">
        <v>5446</v>
      </c>
      <c r="Y1350" t="s">
        <v>158</v>
      </c>
      <c r="Z1350" t="s">
        <v>158</v>
      </c>
    </row>
    <row r="1351" spans="1:30" ht="15" hidden="1" customHeight="1">
      <c r="A1351" s="60">
        <f>ROW() - ROW(Table1[[#Headers],[s]])</f>
        <v>1350</v>
      </c>
      <c r="B1351" t="s">
        <v>5447</v>
      </c>
      <c r="C1351" s="272">
        <v>46204</v>
      </c>
      <c r="D1351" s="19" t="s">
        <v>5448</v>
      </c>
      <c r="E1351" t="s">
        <v>5449</v>
      </c>
      <c r="F1351" t="e" vm="7">
        <v>#VALUE!</v>
      </c>
      <c r="G1351" s="5" t="s">
        <v>1057</v>
      </c>
      <c r="H1351" s="18" t="s">
        <v>245</v>
      </c>
      <c r="I1351" t="s">
        <v>43</v>
      </c>
      <c r="J1351" s="18" t="s">
        <v>287</v>
      </c>
      <c r="K1351" t="s">
        <v>332</v>
      </c>
      <c r="L1351" s="20">
        <v>46217.645833333336</v>
      </c>
      <c r="M1351" s="18" t="s">
        <v>4529</v>
      </c>
      <c r="N1351" s="18" t="s">
        <v>5450</v>
      </c>
      <c r="O1351" s="20">
        <v>46217.493055555555</v>
      </c>
      <c r="P1351" s="20">
        <v>46217.493055555555</v>
      </c>
      <c r="Q1351" s="20">
        <v>46218.612500000003</v>
      </c>
      <c r="S1351" s="364" t="s">
        <v>5451</v>
      </c>
      <c r="T1351" s="18" t="s">
        <v>478</v>
      </c>
      <c r="U1351" s="21"/>
      <c r="V1351" s="364" t="s">
        <v>5452</v>
      </c>
      <c r="W1351" t="s">
        <v>5453</v>
      </c>
      <c r="Y1351" t="s">
        <v>70</v>
      </c>
      <c r="Z1351" t="s">
        <v>158</v>
      </c>
    </row>
    <row r="1352" spans="1:30" ht="15" hidden="1" customHeight="1">
      <c r="A1352" s="60">
        <f>ROW() - ROW(Table1[[#Headers],[s]])</f>
        <v>1351</v>
      </c>
      <c r="B1352" t="s">
        <v>5454</v>
      </c>
      <c r="C1352" s="272">
        <v>46204</v>
      </c>
      <c r="D1352" s="19" t="s">
        <v>5455</v>
      </c>
      <c r="E1352" t="s">
        <v>5456</v>
      </c>
      <c r="F1352" t="e" vm="25">
        <v>#VALUE!</v>
      </c>
      <c r="G1352" s="5" t="s">
        <v>1057</v>
      </c>
      <c r="H1352" t="s">
        <v>152</v>
      </c>
      <c r="I1352" t="s">
        <v>43</v>
      </c>
      <c r="J1352" s="18" t="s">
        <v>153</v>
      </c>
      <c r="K1352" t="s">
        <v>332</v>
      </c>
      <c r="L1352" s="20">
        <v>46217.691666666666</v>
      </c>
      <c r="M1352" s="18" t="s">
        <v>72</v>
      </c>
      <c r="N1352" s="18" t="s">
        <v>72</v>
      </c>
      <c r="O1352" s="20">
        <v>46217.805555555555</v>
      </c>
      <c r="P1352" s="20">
        <v>46217.8125</v>
      </c>
      <c r="Q1352" s="20">
        <v>46217.826388888891</v>
      </c>
      <c r="R1352" t="s">
        <v>3232</v>
      </c>
      <c r="S1352" s="364" t="s">
        <v>5457</v>
      </c>
      <c r="T1352" s="18" t="s">
        <v>478</v>
      </c>
      <c r="U1352" s="21"/>
      <c r="V1352" s="364" t="s">
        <v>5458</v>
      </c>
      <c r="Y1352" t="s">
        <v>158</v>
      </c>
      <c r="Z1352" t="s">
        <v>70</v>
      </c>
    </row>
    <row r="1353" spans="1:30" ht="15" hidden="1" customHeight="1">
      <c r="A1353" s="60">
        <f>ROW() - ROW(Table1[[#Headers],[s]])</f>
        <v>1352</v>
      </c>
      <c r="B1353" t="s">
        <v>5459</v>
      </c>
      <c r="C1353" s="272">
        <v>46204</v>
      </c>
      <c r="D1353" s="19" t="s">
        <v>5460</v>
      </c>
      <c r="E1353" s="230" t="s">
        <v>5461</v>
      </c>
      <c r="F1353" t="e" vm="19">
        <v>#VALUE!</v>
      </c>
      <c r="G1353" s="5" t="s">
        <v>1057</v>
      </c>
      <c r="H1353" t="s">
        <v>152</v>
      </c>
      <c r="I1353" t="s">
        <v>43</v>
      </c>
      <c r="J1353" s="18" t="s">
        <v>153</v>
      </c>
      <c r="K1353" t="s">
        <v>332</v>
      </c>
      <c r="L1353" s="20">
        <v>46217.691666666666</v>
      </c>
      <c r="M1353" s="18" t="s">
        <v>5462</v>
      </c>
      <c r="N1353" s="18" t="s">
        <v>5463</v>
      </c>
      <c r="O1353" s="20">
        <v>46217.8125</v>
      </c>
      <c r="P1353" s="20">
        <v>46218.493055555555</v>
      </c>
      <c r="Q1353" s="20">
        <v>46218.503472222219</v>
      </c>
      <c r="S1353" s="364" t="s">
        <v>5464</v>
      </c>
      <c r="T1353" s="3" t="s">
        <v>50</v>
      </c>
      <c r="U1353" s="21"/>
      <c r="V1353" s="364" t="s">
        <v>5465</v>
      </c>
      <c r="W1353" s="21" t="s">
        <v>5466</v>
      </c>
      <c r="Y1353" t="s">
        <v>158</v>
      </c>
      <c r="Z1353" t="s">
        <v>70</v>
      </c>
    </row>
    <row r="1354" spans="1:30" ht="15" hidden="1" customHeight="1">
      <c r="A1354" s="60">
        <f>ROW() - ROW(Table1[[#Headers],[s]])</f>
        <v>1353</v>
      </c>
      <c r="B1354" t="s">
        <v>5284</v>
      </c>
      <c r="C1354" s="163">
        <v>46204</v>
      </c>
      <c r="D1354" s="52" t="s">
        <v>5467</v>
      </c>
      <c r="E1354" t="s">
        <v>5468</v>
      </c>
      <c r="F1354" t="e" vm="49">
        <v>#VALUE!</v>
      </c>
      <c r="G1354" s="5" t="s">
        <v>174</v>
      </c>
      <c r="H1354" t="s">
        <v>152</v>
      </c>
      <c r="J1354" s="18" t="s">
        <v>153</v>
      </c>
      <c r="K1354" t="s">
        <v>332</v>
      </c>
      <c r="L1354" s="20">
        <v>46217.692361111112</v>
      </c>
      <c r="M1354" s="371" t="s">
        <v>155</v>
      </c>
      <c r="N1354" s="400" t="s">
        <v>155</v>
      </c>
      <c r="O1354" s="20">
        <v>46218.375</v>
      </c>
      <c r="P1354" s="20">
        <v>46218.4375</v>
      </c>
      <c r="Q1354" s="20">
        <v>46218.458333333336</v>
      </c>
      <c r="S1354" s="364" t="s">
        <v>620</v>
      </c>
      <c r="T1354" s="18" t="s">
        <v>478</v>
      </c>
      <c r="U1354" s="21"/>
      <c r="V1354" s="363" t="s">
        <v>5469</v>
      </c>
      <c r="Y1354" t="s">
        <v>158</v>
      </c>
      <c r="Z1354" t="s">
        <v>70</v>
      </c>
      <c r="AD1354" s="21" t="s">
        <v>5466</v>
      </c>
    </row>
    <row r="1355" spans="1:30" ht="15" hidden="1" customHeight="1">
      <c r="A1355" s="60">
        <f>ROW() - ROW(Table1[[#Headers],[s]])</f>
        <v>1354</v>
      </c>
      <c r="B1355" t="s">
        <v>4258</v>
      </c>
      <c r="C1355" s="272">
        <v>46204</v>
      </c>
      <c r="D1355" s="19" t="s">
        <v>5470</v>
      </c>
      <c r="E1355" t="s">
        <v>5204</v>
      </c>
      <c r="F1355" t="e" vm="17">
        <v>#VALUE!</v>
      </c>
      <c r="G1355" s="5" t="s">
        <v>36</v>
      </c>
      <c r="H1355" t="s">
        <v>152</v>
      </c>
      <c r="I1355" t="s">
        <v>43</v>
      </c>
      <c r="J1355" s="18" t="s">
        <v>153</v>
      </c>
      <c r="K1355" t="s">
        <v>332</v>
      </c>
      <c r="L1355" s="20">
        <v>46218.597916666666</v>
      </c>
      <c r="M1355" s="18" t="s">
        <v>2659</v>
      </c>
      <c r="N1355" s="18" t="s">
        <v>2659</v>
      </c>
      <c r="O1355" s="3"/>
      <c r="P1355" s="22"/>
      <c r="Q1355" s="22">
        <v>46219.423611111109</v>
      </c>
      <c r="S1355" s="364" t="s">
        <v>5471</v>
      </c>
      <c r="T1355" s="18" t="s">
        <v>478</v>
      </c>
      <c r="U1355" s="21"/>
      <c r="V1355" s="364" t="s">
        <v>5471</v>
      </c>
      <c r="Y1355" t="s">
        <v>158</v>
      </c>
      <c r="Z1355" t="s">
        <v>70</v>
      </c>
    </row>
    <row r="1356" spans="1:30" ht="15" hidden="1" customHeight="1">
      <c r="A1356" s="60">
        <f>ROW() - ROW(Table1[[#Headers],[s]])</f>
        <v>1355</v>
      </c>
      <c r="B1356" s="18" t="s">
        <v>5472</v>
      </c>
      <c r="C1356" s="272">
        <v>46204</v>
      </c>
      <c r="D1356" s="19" t="s">
        <v>5473</v>
      </c>
      <c r="E1356" t="s">
        <v>5474</v>
      </c>
      <c r="F1356" t="e" vm="2">
        <v>#VALUE!</v>
      </c>
      <c r="G1356" s="5" t="s">
        <v>36</v>
      </c>
      <c r="H1356" t="s">
        <v>152</v>
      </c>
      <c r="I1356" t="s">
        <v>43</v>
      </c>
      <c r="J1356" s="18" t="s">
        <v>153</v>
      </c>
      <c r="K1356" t="s">
        <v>332</v>
      </c>
      <c r="L1356" s="20">
        <v>46218.663888888892</v>
      </c>
      <c r="M1356" s="18" t="s">
        <v>162</v>
      </c>
      <c r="N1356" s="18" t="s">
        <v>162</v>
      </c>
      <c r="O1356" s="3"/>
      <c r="P1356" s="22"/>
      <c r="Q1356" s="22">
        <v>46219.517361111109</v>
      </c>
      <c r="S1356" s="364" t="s">
        <v>5475</v>
      </c>
      <c r="T1356" s="18" t="s">
        <v>478</v>
      </c>
      <c r="U1356" s="21"/>
      <c r="V1356" s="364" t="s">
        <v>5476</v>
      </c>
      <c r="Y1356" t="s">
        <v>158</v>
      </c>
      <c r="Z1356" t="s">
        <v>158</v>
      </c>
    </row>
    <row r="1357" spans="1:30" ht="15" hidden="1" customHeight="1">
      <c r="A1357" s="60">
        <f>ROW() - ROW(Table1[[#Headers],[s]])</f>
        <v>1356</v>
      </c>
      <c r="B1357" s="223" t="s">
        <v>5477</v>
      </c>
      <c r="C1357" s="272">
        <v>46204</v>
      </c>
      <c r="D1357" s="19" t="s">
        <v>5478</v>
      </c>
      <c r="E1357" t="s">
        <v>5201</v>
      </c>
      <c r="F1357" t="e" vm="16">
        <v>#VALUE!</v>
      </c>
      <c r="G1357" s="5" t="s">
        <v>174</v>
      </c>
      <c r="H1357" t="s">
        <v>152</v>
      </c>
      <c r="J1357" s="18" t="s">
        <v>153</v>
      </c>
      <c r="K1357" t="s">
        <v>332</v>
      </c>
      <c r="L1357" s="20">
        <v>46218.597222222219</v>
      </c>
      <c r="M1357" s="18" t="s">
        <v>58</v>
      </c>
      <c r="N1357" s="18" t="s">
        <v>58</v>
      </c>
      <c r="O1357" s="20">
        <v>46218.638888888891</v>
      </c>
      <c r="P1357" s="20">
        <v>46218.680555555555</v>
      </c>
      <c r="Q1357" s="20">
        <v>46218.722222222219</v>
      </c>
      <c r="S1357" s="364" t="s">
        <v>5479</v>
      </c>
      <c r="T1357" s="18" t="s">
        <v>478</v>
      </c>
      <c r="U1357" s="21"/>
      <c r="V1357" s="364" t="s">
        <v>5480</v>
      </c>
      <c r="Y1357" t="s">
        <v>158</v>
      </c>
      <c r="Z1357" t="s">
        <v>70</v>
      </c>
    </row>
    <row r="1358" spans="1:30" ht="15" hidden="1" customHeight="1">
      <c r="A1358" s="60">
        <f>ROW() - ROW(Table1[[#Headers],[s]])</f>
        <v>1357</v>
      </c>
      <c r="B1358" s="223" t="s">
        <v>5481</v>
      </c>
      <c r="C1358" s="272">
        <v>46204</v>
      </c>
      <c r="D1358" s="19" t="s">
        <v>5482</v>
      </c>
      <c r="E1358" t="s">
        <v>5483</v>
      </c>
      <c r="F1358" t="e" vm="2">
        <v>#VALUE!</v>
      </c>
      <c r="G1358" s="5" t="s">
        <v>174</v>
      </c>
      <c r="H1358" t="s">
        <v>152</v>
      </c>
      <c r="J1358" s="18" t="s">
        <v>153</v>
      </c>
      <c r="K1358" t="s">
        <v>332</v>
      </c>
      <c r="L1358" s="20">
        <v>46218.518055555556</v>
      </c>
      <c r="M1358" s="18" t="s">
        <v>162</v>
      </c>
      <c r="N1358" s="18" t="s">
        <v>162</v>
      </c>
      <c r="O1358" s="20">
        <v>46218.604166666664</v>
      </c>
      <c r="P1358" s="20">
        <v>46218.618055555555</v>
      </c>
      <c r="Q1358" s="20">
        <v>46218.645833333336</v>
      </c>
      <c r="S1358" s="364" t="s">
        <v>5484</v>
      </c>
      <c r="T1358" s="18" t="s">
        <v>3081</v>
      </c>
      <c r="U1358" s="21"/>
      <c r="V1358" s="364" t="s">
        <v>3012</v>
      </c>
      <c r="Y1358" t="s">
        <v>158</v>
      </c>
      <c r="Z1358" t="s">
        <v>70</v>
      </c>
    </row>
    <row r="1359" spans="1:30" ht="15" hidden="1" customHeight="1">
      <c r="A1359" s="60">
        <f>ROW() - ROW(Table1[[#Headers],[s]])</f>
        <v>1358</v>
      </c>
      <c r="B1359" s="223" t="s">
        <v>5485</v>
      </c>
      <c r="C1359" s="272">
        <v>46204</v>
      </c>
      <c r="D1359" s="19" t="s">
        <v>5486</v>
      </c>
      <c r="E1359" t="s">
        <v>5251</v>
      </c>
      <c r="F1359" t="e" vm="2">
        <v>#VALUE!</v>
      </c>
      <c r="G1359" s="5" t="s">
        <v>174</v>
      </c>
      <c r="H1359" t="s">
        <v>152</v>
      </c>
      <c r="J1359" s="18" t="s">
        <v>153</v>
      </c>
      <c r="K1359" t="s">
        <v>332</v>
      </c>
      <c r="L1359" s="20">
        <v>46218.441666666666</v>
      </c>
      <c r="M1359" s="18" t="s">
        <v>162</v>
      </c>
      <c r="N1359" s="18" t="s">
        <v>162</v>
      </c>
      <c r="O1359" s="20">
        <v>46218.520833333336</v>
      </c>
      <c r="P1359" s="20">
        <v>46218.541666666664</v>
      </c>
      <c r="Q1359" s="20">
        <v>46218.583333333336</v>
      </c>
      <c r="S1359" s="364" t="s">
        <v>5487</v>
      </c>
      <c r="T1359" s="18" t="s">
        <v>478</v>
      </c>
      <c r="U1359" s="21"/>
      <c r="V1359" s="364" t="s">
        <v>5488</v>
      </c>
      <c r="Y1359" t="s">
        <v>158</v>
      </c>
      <c r="Z1359" t="s">
        <v>70</v>
      </c>
    </row>
    <row r="1360" spans="1:30" ht="15" hidden="1" customHeight="1">
      <c r="A1360" s="60">
        <f>ROW() - ROW(Table1[[#Headers],[s]])</f>
        <v>1359</v>
      </c>
      <c r="B1360" t="s">
        <v>5489</v>
      </c>
      <c r="C1360" s="272">
        <v>46204</v>
      </c>
      <c r="D1360" s="19" t="s">
        <v>5490</v>
      </c>
      <c r="E1360" t="s">
        <v>5491</v>
      </c>
      <c r="F1360" t="e" vm="25">
        <v>#VALUE!</v>
      </c>
      <c r="G1360" s="5" t="s">
        <v>36</v>
      </c>
      <c r="H1360" s="18" t="s">
        <v>152</v>
      </c>
      <c r="I1360" t="s">
        <v>43</v>
      </c>
      <c r="J1360" s="18" t="s">
        <v>153</v>
      </c>
      <c r="K1360" s="20" t="s">
        <v>154</v>
      </c>
      <c r="L1360" s="20">
        <v>46219.394444444442</v>
      </c>
      <c r="M1360" s="18" t="s">
        <v>72</v>
      </c>
      <c r="N1360" s="18" t="s">
        <v>72</v>
      </c>
      <c r="O1360" s="3"/>
      <c r="P1360" s="22"/>
      <c r="Q1360" s="22">
        <v>46219.826388888891</v>
      </c>
      <c r="S1360" s="364" t="s">
        <v>5492</v>
      </c>
      <c r="T1360" s="18" t="s">
        <v>164</v>
      </c>
      <c r="U1360" s="21"/>
      <c r="V1360" s="364" t="s">
        <v>5493</v>
      </c>
      <c r="Y1360" t="s">
        <v>158</v>
      </c>
      <c r="Z1360" t="s">
        <v>70</v>
      </c>
    </row>
    <row r="1361" spans="1:26" ht="15" hidden="1" customHeight="1">
      <c r="A1361" s="60">
        <f>ROW() - ROW(Table1[[#Headers],[s]])</f>
        <v>1360</v>
      </c>
      <c r="B1361" t="s">
        <v>5494</v>
      </c>
      <c r="C1361" s="272">
        <v>46204</v>
      </c>
      <c r="D1361" s="19" t="s">
        <v>5495</v>
      </c>
      <c r="E1361" t="s">
        <v>5233</v>
      </c>
      <c r="F1361" t="e" vm="10">
        <v>#VALUE!</v>
      </c>
      <c r="G1361" s="5" t="s">
        <v>36</v>
      </c>
      <c r="H1361" s="18" t="s">
        <v>152</v>
      </c>
      <c r="I1361" t="s">
        <v>43</v>
      </c>
      <c r="J1361" s="18" t="s">
        <v>153</v>
      </c>
      <c r="K1361" s="20" t="s">
        <v>154</v>
      </c>
      <c r="L1361" s="20">
        <v>46219.397916666669</v>
      </c>
      <c r="M1361" s="18" t="s">
        <v>78</v>
      </c>
      <c r="N1361" s="55" t="s">
        <v>78</v>
      </c>
      <c r="O1361" s="3"/>
      <c r="P1361" s="22"/>
      <c r="Q1361" s="22">
        <v>46219.803472222222</v>
      </c>
      <c r="S1361" s="364" t="s">
        <v>5496</v>
      </c>
      <c r="T1361" s="18" t="s">
        <v>164</v>
      </c>
      <c r="U1361" s="21"/>
      <c r="V1361" s="364" t="s">
        <v>5497</v>
      </c>
      <c r="Y1361" t="s">
        <v>158</v>
      </c>
      <c r="Z1361" t="s">
        <v>70</v>
      </c>
    </row>
    <row r="1362" spans="1:26" ht="15" hidden="1" customHeight="1">
      <c r="A1362" s="60">
        <f>ROW() - ROW(Table1[[#Headers],[s]])</f>
        <v>1361</v>
      </c>
      <c r="B1362" t="s">
        <v>2299</v>
      </c>
      <c r="C1362" s="272">
        <v>46204</v>
      </c>
      <c r="D1362" s="19" t="s">
        <v>5498</v>
      </c>
      <c r="E1362" t="s">
        <v>5233</v>
      </c>
      <c r="F1362" t="e" vm="10">
        <v>#VALUE!</v>
      </c>
      <c r="G1362" s="5" t="s">
        <v>36</v>
      </c>
      <c r="H1362" s="18" t="s">
        <v>152</v>
      </c>
      <c r="I1362" t="s">
        <v>43</v>
      </c>
      <c r="J1362" s="18" t="s">
        <v>153</v>
      </c>
      <c r="K1362" s="20" t="s">
        <v>154</v>
      </c>
      <c r="L1362" s="20">
        <v>46219.439583333333</v>
      </c>
      <c r="M1362" s="18" t="s">
        <v>78</v>
      </c>
      <c r="N1362" s="55" t="s">
        <v>78</v>
      </c>
      <c r="O1362" s="3"/>
      <c r="P1362" s="22"/>
      <c r="Q1362" s="22">
        <v>46219.78125</v>
      </c>
      <c r="S1362" s="364" t="s">
        <v>2580</v>
      </c>
      <c r="T1362" s="18" t="s">
        <v>164</v>
      </c>
      <c r="U1362" s="21"/>
      <c r="V1362" s="364" t="s">
        <v>761</v>
      </c>
      <c r="Y1362" t="s">
        <v>158</v>
      </c>
      <c r="Z1362" t="s">
        <v>70</v>
      </c>
    </row>
    <row r="1363" spans="1:26" ht="15" hidden="1" customHeight="1">
      <c r="A1363" s="60">
        <f>ROW() - ROW(Table1[[#Headers],[s]])</f>
        <v>1362</v>
      </c>
      <c r="B1363" t="s">
        <v>5499</v>
      </c>
      <c r="C1363" s="272">
        <v>46204</v>
      </c>
      <c r="D1363" s="19" t="s">
        <v>5500</v>
      </c>
      <c r="E1363" t="s">
        <v>5501</v>
      </c>
      <c r="F1363" t="e" vm="21">
        <v>#VALUE!</v>
      </c>
      <c r="G1363" s="5" t="s">
        <v>36</v>
      </c>
      <c r="H1363" s="18" t="s">
        <v>152</v>
      </c>
      <c r="I1363" t="s">
        <v>43</v>
      </c>
      <c r="J1363" s="18" t="s">
        <v>153</v>
      </c>
      <c r="K1363" s="20" t="s">
        <v>154</v>
      </c>
      <c r="L1363" s="20">
        <v>46219.472222222219</v>
      </c>
      <c r="M1363" s="18" t="s">
        <v>39</v>
      </c>
      <c r="N1363" s="18" t="s">
        <v>39</v>
      </c>
      <c r="O1363" s="3"/>
      <c r="P1363" s="22"/>
      <c r="Q1363" s="22">
        <v>46219.572916666664</v>
      </c>
      <c r="S1363" s="364" t="s">
        <v>5502</v>
      </c>
      <c r="T1363" s="18" t="s">
        <v>266</v>
      </c>
      <c r="U1363" s="21"/>
      <c r="V1363" s="364" t="s">
        <v>5503</v>
      </c>
      <c r="Y1363" t="s">
        <v>158</v>
      </c>
      <c r="Z1363" t="s">
        <v>158</v>
      </c>
    </row>
    <row r="1364" spans="1:26" ht="15" hidden="1" customHeight="1">
      <c r="A1364" s="60">
        <f>ROW() - ROW(Table1[[#Headers],[s]])</f>
        <v>1363</v>
      </c>
      <c r="B1364" t="s">
        <v>5504</v>
      </c>
      <c r="C1364" s="272">
        <v>46204</v>
      </c>
      <c r="D1364" s="418" t="s">
        <v>5505</v>
      </c>
      <c r="E1364" t="s">
        <v>5233</v>
      </c>
      <c r="F1364" t="e" vm="10">
        <v>#VALUE!</v>
      </c>
      <c r="G1364" s="5" t="s">
        <v>36</v>
      </c>
      <c r="H1364" s="18" t="s">
        <v>152</v>
      </c>
      <c r="I1364" t="s">
        <v>43</v>
      </c>
      <c r="J1364" s="18" t="s">
        <v>153</v>
      </c>
      <c r="K1364" s="20" t="s">
        <v>154</v>
      </c>
      <c r="L1364" s="20">
        <v>46219.477083333331</v>
      </c>
      <c r="M1364" s="18" t="s">
        <v>78</v>
      </c>
      <c r="N1364" s="55" t="s">
        <v>78</v>
      </c>
      <c r="O1364" s="3"/>
      <c r="P1364" s="22"/>
      <c r="Q1364" s="22">
        <v>46219.763888888891</v>
      </c>
      <c r="S1364" s="364" t="s">
        <v>5506</v>
      </c>
      <c r="T1364" s="18" t="s">
        <v>164</v>
      </c>
      <c r="U1364" s="21"/>
      <c r="V1364" s="364" t="s">
        <v>5507</v>
      </c>
      <c r="Y1364" t="s">
        <v>158</v>
      </c>
      <c r="Z1364" t="s">
        <v>70</v>
      </c>
    </row>
    <row r="1365" spans="1:26" ht="15" hidden="1" customHeight="1">
      <c r="A1365" s="60">
        <f>ROW() - ROW(Table1[[#Headers],[s]])</f>
        <v>1364</v>
      </c>
      <c r="B1365" t="s">
        <v>1350</v>
      </c>
      <c r="C1365" s="272">
        <v>46204</v>
      </c>
      <c r="D1365" s="418" t="s">
        <v>5508</v>
      </c>
      <c r="E1365" t="s">
        <v>5105</v>
      </c>
      <c r="F1365" t="e" vm="10">
        <v>#VALUE!</v>
      </c>
      <c r="G1365" s="5" t="s">
        <v>36</v>
      </c>
      <c r="H1365" s="18" t="s">
        <v>152</v>
      </c>
      <c r="I1365" t="s">
        <v>43</v>
      </c>
      <c r="J1365" s="18" t="s">
        <v>153</v>
      </c>
      <c r="K1365" s="20" t="s">
        <v>154</v>
      </c>
      <c r="L1365" s="20">
        <v>46219.472222222219</v>
      </c>
      <c r="M1365" s="18" t="s">
        <v>78</v>
      </c>
      <c r="N1365" s="55" t="s">
        <v>78</v>
      </c>
      <c r="O1365" s="3"/>
      <c r="P1365" s="22"/>
      <c r="Q1365" s="22">
        <v>46219.722222222219</v>
      </c>
      <c r="S1365" s="364" t="s">
        <v>5509</v>
      </c>
      <c r="T1365" s="18" t="s">
        <v>5510</v>
      </c>
      <c r="U1365" s="21"/>
      <c r="V1365" s="364" t="s">
        <v>5511</v>
      </c>
      <c r="Y1365" t="s">
        <v>158</v>
      </c>
      <c r="Z1365" t="s">
        <v>70</v>
      </c>
    </row>
    <row r="1366" spans="1:26" ht="15" hidden="1" customHeight="1">
      <c r="A1366" s="60">
        <f>ROW() - ROW(Table1[[#Headers],[s]])</f>
        <v>1365</v>
      </c>
      <c r="B1366" t="s">
        <v>5512</v>
      </c>
      <c r="C1366" s="272">
        <v>46204</v>
      </c>
      <c r="D1366" s="19" t="s">
        <v>5513</v>
      </c>
      <c r="E1366" t="s">
        <v>5169</v>
      </c>
      <c r="F1366" t="e" vm="25">
        <v>#VALUE!</v>
      </c>
      <c r="G1366" s="5" t="s">
        <v>36</v>
      </c>
      <c r="H1366" s="18" t="s">
        <v>747</v>
      </c>
      <c r="I1366" t="s">
        <v>43</v>
      </c>
      <c r="J1366" s="18" t="s">
        <v>253</v>
      </c>
      <c r="K1366" s="20" t="s">
        <v>154</v>
      </c>
      <c r="L1366" s="20">
        <v>46219.517361111109</v>
      </c>
      <c r="M1366" s="18" t="s">
        <v>72</v>
      </c>
      <c r="N1366" s="18" t="s">
        <v>72</v>
      </c>
      <c r="O1366" s="3"/>
      <c r="P1366" s="22"/>
      <c r="Q1366" s="22">
        <v>46219.801388888889</v>
      </c>
      <c r="S1366" s="364" t="s">
        <v>5514</v>
      </c>
      <c r="T1366" s="18" t="s">
        <v>164</v>
      </c>
      <c r="U1366" s="21"/>
      <c r="V1366" s="364" t="s">
        <v>5515</v>
      </c>
      <c r="Y1366" t="s">
        <v>70</v>
      </c>
      <c r="Z1366" t="s">
        <v>70</v>
      </c>
    </row>
    <row r="1367" spans="1:26" ht="15" hidden="1" customHeight="1">
      <c r="A1367" s="60">
        <f>ROW() - ROW(Table1[[#Headers],[s]])</f>
        <v>1366</v>
      </c>
      <c r="B1367" t="s">
        <v>5516</v>
      </c>
      <c r="C1367" s="272">
        <v>46204</v>
      </c>
      <c r="D1367" s="19" t="s">
        <v>5517</v>
      </c>
      <c r="E1367" t="s">
        <v>5518</v>
      </c>
      <c r="F1367" t="e" vm="5">
        <v>#VALUE!</v>
      </c>
      <c r="G1367" s="5" t="s">
        <v>36</v>
      </c>
      <c r="H1367" s="18" t="s">
        <v>152</v>
      </c>
      <c r="I1367" t="s">
        <v>43</v>
      </c>
      <c r="J1367" s="18" t="s">
        <v>153</v>
      </c>
      <c r="K1367" s="20" t="s">
        <v>154</v>
      </c>
      <c r="L1367" s="20">
        <v>46219.52847222222</v>
      </c>
      <c r="M1367" s="18" t="s">
        <v>55</v>
      </c>
      <c r="N1367" s="18" t="s">
        <v>55</v>
      </c>
      <c r="O1367" s="3"/>
      <c r="P1367" s="22"/>
      <c r="Q1367" s="22">
        <v>46219.742361111108</v>
      </c>
      <c r="S1367" s="364" t="s">
        <v>5519</v>
      </c>
      <c r="T1367" s="18" t="s">
        <v>3011</v>
      </c>
      <c r="U1367" s="21"/>
      <c r="V1367" s="364" t="s">
        <v>5520</v>
      </c>
      <c r="Y1367" t="s">
        <v>158</v>
      </c>
      <c r="Z1367" t="s">
        <v>70</v>
      </c>
    </row>
    <row r="1368" spans="1:26" ht="15" hidden="1" customHeight="1">
      <c r="A1368" s="60">
        <f>ROW() - ROW(Table1[[#Headers],[s]])</f>
        <v>1367</v>
      </c>
      <c r="B1368" t="s">
        <v>5521</v>
      </c>
      <c r="C1368" s="272">
        <v>46204</v>
      </c>
      <c r="D1368" s="19" t="s">
        <v>5522</v>
      </c>
      <c r="E1368" t="s">
        <v>5523</v>
      </c>
      <c r="F1368" t="e" vm="5">
        <v>#VALUE!</v>
      </c>
      <c r="G1368" s="5" t="s">
        <v>36</v>
      </c>
      <c r="H1368" s="18" t="s">
        <v>152</v>
      </c>
      <c r="I1368" t="s">
        <v>43</v>
      </c>
      <c r="J1368" s="18" t="s">
        <v>153</v>
      </c>
      <c r="K1368" s="20" t="s">
        <v>154</v>
      </c>
      <c r="L1368" s="20">
        <v>46219.638194444444</v>
      </c>
      <c r="M1368" s="18" t="s">
        <v>55</v>
      </c>
      <c r="N1368" s="18" t="s">
        <v>55</v>
      </c>
      <c r="O1368" s="3"/>
      <c r="P1368" s="22"/>
      <c r="Q1368" s="22">
        <v>46219.77847222222</v>
      </c>
      <c r="S1368" s="364" t="s">
        <v>5524</v>
      </c>
      <c r="T1368" s="18" t="s">
        <v>164</v>
      </c>
      <c r="U1368" s="21"/>
      <c r="V1368" s="364" t="s">
        <v>5525</v>
      </c>
      <c r="Y1368" t="s">
        <v>158</v>
      </c>
      <c r="Z1368" t="s">
        <v>70</v>
      </c>
    </row>
    <row r="1369" spans="1:26" ht="15" hidden="1" customHeight="1">
      <c r="A1369" s="60">
        <f>ROW() - ROW(Table1[[#Headers],[s]])</f>
        <v>1368</v>
      </c>
      <c r="B1369" t="s">
        <v>5526</v>
      </c>
      <c r="C1369" s="272">
        <v>46204</v>
      </c>
      <c r="D1369" s="19" t="s">
        <v>5527</v>
      </c>
      <c r="E1369" t="s">
        <v>5322</v>
      </c>
      <c r="F1369" t="e" vm="49">
        <v>#VALUE!</v>
      </c>
      <c r="G1369" s="5" t="s">
        <v>36</v>
      </c>
      <c r="H1369" s="18" t="s">
        <v>152</v>
      </c>
      <c r="I1369" t="s">
        <v>43</v>
      </c>
      <c r="J1369" s="18" t="s">
        <v>153</v>
      </c>
      <c r="K1369" s="20" t="s">
        <v>154</v>
      </c>
      <c r="L1369" s="20">
        <v>46219.63958333333</v>
      </c>
      <c r="M1369" s="18" t="s">
        <v>227</v>
      </c>
      <c r="N1369" s="18" t="s">
        <v>227</v>
      </c>
      <c r="O1369" s="3"/>
      <c r="P1369" s="22"/>
      <c r="Q1369" s="22">
        <v>46219.791666666664</v>
      </c>
      <c r="S1369" s="364" t="s">
        <v>5528</v>
      </c>
      <c r="T1369" s="18" t="s">
        <v>5529</v>
      </c>
      <c r="U1369" s="21"/>
      <c r="V1369" s="364" t="s">
        <v>5530</v>
      </c>
      <c r="Y1369" t="s">
        <v>158</v>
      </c>
      <c r="Z1369" t="s">
        <v>70</v>
      </c>
    </row>
    <row r="1370" spans="1:26" ht="15" hidden="1" customHeight="1">
      <c r="A1370" s="60">
        <f>ROW() - ROW(Table1[[#Headers],[s]])</f>
        <v>1369</v>
      </c>
      <c r="B1370" t="s">
        <v>5531</v>
      </c>
      <c r="C1370" s="272">
        <v>46204</v>
      </c>
      <c r="D1370" s="19" t="s">
        <v>5532</v>
      </c>
      <c r="E1370" t="s">
        <v>5533</v>
      </c>
      <c r="F1370" t="e" vm="2">
        <v>#VALUE!</v>
      </c>
      <c r="G1370" s="5" t="s">
        <v>36</v>
      </c>
      <c r="H1370" s="18" t="s">
        <v>152</v>
      </c>
      <c r="I1370" t="s">
        <v>43</v>
      </c>
      <c r="J1370" s="18" t="s">
        <v>153</v>
      </c>
      <c r="K1370" s="20" t="s">
        <v>154</v>
      </c>
      <c r="L1370" s="20">
        <v>46219.664583333331</v>
      </c>
      <c r="M1370" s="18" t="s">
        <v>162</v>
      </c>
      <c r="N1370" s="18" t="s">
        <v>162</v>
      </c>
      <c r="O1370" s="3"/>
      <c r="P1370" s="22"/>
      <c r="Q1370" s="22">
        <v>46219.833333333336</v>
      </c>
      <c r="S1370" s="364" t="s">
        <v>5534</v>
      </c>
      <c r="T1370" s="18" t="s">
        <v>5529</v>
      </c>
      <c r="U1370" s="21"/>
      <c r="V1370" s="364" t="s">
        <v>5535</v>
      </c>
      <c r="Y1370" t="s">
        <v>158</v>
      </c>
      <c r="Z1370" t="s">
        <v>70</v>
      </c>
    </row>
    <row r="1371" spans="1:26" ht="15" hidden="1" customHeight="1">
      <c r="A1371" s="60">
        <f>ROW() - ROW(Table1[[#Headers],[s]])</f>
        <v>1370</v>
      </c>
      <c r="B1371" t="s">
        <v>5536</v>
      </c>
      <c r="C1371" s="272">
        <v>46204</v>
      </c>
      <c r="D1371" s="19" t="s">
        <v>5537</v>
      </c>
      <c r="E1371" t="s">
        <v>5538</v>
      </c>
      <c r="F1371" t="e" vm="40">
        <v>#VALUE!</v>
      </c>
      <c r="G1371" s="5" t="s">
        <v>36</v>
      </c>
      <c r="H1371" s="18" t="s">
        <v>152</v>
      </c>
      <c r="I1371" t="s">
        <v>43</v>
      </c>
      <c r="J1371" s="18" t="s">
        <v>153</v>
      </c>
      <c r="K1371" s="20" t="s">
        <v>154</v>
      </c>
      <c r="L1371" s="20">
        <v>46219.665972222225</v>
      </c>
      <c r="M1371" s="18" t="s">
        <v>55</v>
      </c>
      <c r="N1371" s="18" t="s">
        <v>55</v>
      </c>
      <c r="O1371" s="3"/>
      <c r="P1371" s="22"/>
      <c r="Q1371" s="22">
        <v>46219.979166666664</v>
      </c>
      <c r="S1371" s="364" t="s">
        <v>5539</v>
      </c>
      <c r="T1371" s="18" t="s">
        <v>164</v>
      </c>
      <c r="U1371" s="21"/>
      <c r="V1371" s="364" t="s">
        <v>5540</v>
      </c>
      <c r="Y1371" t="s">
        <v>158</v>
      </c>
      <c r="Z1371" t="s">
        <v>70</v>
      </c>
    </row>
    <row r="1372" spans="1:26" ht="15" hidden="1" customHeight="1">
      <c r="A1372" s="60">
        <f>ROW() - ROW(Table1[[#Headers],[s]])</f>
        <v>1371</v>
      </c>
      <c r="B1372" t="s">
        <v>5541</v>
      </c>
      <c r="C1372" s="163">
        <v>46204</v>
      </c>
      <c r="D1372" s="52" t="s">
        <v>5542</v>
      </c>
      <c r="E1372" t="s">
        <v>5543</v>
      </c>
      <c r="F1372" s="5" t="e" vm="35">
        <v>#VALUE!</v>
      </c>
      <c r="G1372" s="5" t="s">
        <v>151</v>
      </c>
      <c r="H1372" s="18" t="s">
        <v>152</v>
      </c>
      <c r="J1372" s="18" t="s">
        <v>153</v>
      </c>
      <c r="K1372" s="44" t="s">
        <v>154</v>
      </c>
      <c r="L1372" s="44">
        <v>46219.901388888888</v>
      </c>
      <c r="M1372" s="55" t="s">
        <v>227</v>
      </c>
      <c r="N1372" s="55" t="s">
        <v>227</v>
      </c>
      <c r="O1372" s="56">
        <v>46220.48541666667</v>
      </c>
      <c r="P1372" s="22">
        <v>46220.490972222222</v>
      </c>
      <c r="Q1372" s="58">
        <v>46220.603472222225</v>
      </c>
      <c r="S1372" s="21" t="s">
        <v>1037</v>
      </c>
      <c r="T1372" s="55" t="s">
        <v>164</v>
      </c>
      <c r="U1372" s="21"/>
      <c r="V1372" s="53" t="s">
        <v>5544</v>
      </c>
      <c r="Y1372" t="s">
        <v>158</v>
      </c>
      <c r="Z1372" t="s">
        <v>158</v>
      </c>
    </row>
    <row r="1373" spans="1:26" ht="15" hidden="1" customHeight="1">
      <c r="A1373" s="60">
        <f>ROW() - ROW(Table1[[#Headers],[s]])</f>
        <v>1372</v>
      </c>
      <c r="B1373" t="s">
        <v>4445</v>
      </c>
      <c r="C1373" s="163">
        <v>46204</v>
      </c>
      <c r="D1373" s="52" t="s">
        <v>5545</v>
      </c>
      <c r="E1373" t="s">
        <v>5546</v>
      </c>
      <c r="F1373" s="5" t="e" vm="5">
        <v>#VALUE!</v>
      </c>
      <c r="G1373" s="5" t="s">
        <v>36</v>
      </c>
      <c r="H1373" s="18" t="s">
        <v>152</v>
      </c>
      <c r="I1373" t="s">
        <v>43</v>
      </c>
      <c r="J1373" s="18" t="s">
        <v>153</v>
      </c>
      <c r="K1373" s="44" t="s">
        <v>154</v>
      </c>
      <c r="L1373" s="44">
        <v>46219.90347222222</v>
      </c>
      <c r="M1373" s="18" t="s">
        <v>55</v>
      </c>
      <c r="N1373" s="55" t="s">
        <v>55</v>
      </c>
      <c r="O1373" s="56"/>
      <c r="P1373" s="22"/>
      <c r="Q1373" s="58">
        <v>46220.37222222222</v>
      </c>
      <c r="S1373" s="21" t="s">
        <v>5547</v>
      </c>
      <c r="T1373" s="55" t="s">
        <v>164</v>
      </c>
      <c r="U1373" s="21"/>
      <c r="V1373" s="53" t="s">
        <v>5548</v>
      </c>
      <c r="Y1373" t="s">
        <v>158</v>
      </c>
      <c r="Z1373" t="s">
        <v>70</v>
      </c>
    </row>
    <row r="1374" spans="1:26" ht="15" customHeight="1">
      <c r="A1374" s="60">
        <f>ROW() - ROW(Table1[[#Headers],[s]])</f>
        <v>1373</v>
      </c>
      <c r="B1374" t="s">
        <v>1070</v>
      </c>
      <c r="C1374" s="163">
        <v>46204</v>
      </c>
      <c r="D1374" s="52" t="s">
        <v>5549</v>
      </c>
      <c r="E1374" t="s">
        <v>5550</v>
      </c>
      <c r="F1374" s="5" t="e" vm="35">
        <v>#VALUE!</v>
      </c>
      <c r="G1374" s="43" t="s">
        <v>186</v>
      </c>
      <c r="H1374" s="18" t="s">
        <v>747</v>
      </c>
      <c r="I1374" t="s">
        <v>43</v>
      </c>
      <c r="J1374" s="18" t="s">
        <v>253</v>
      </c>
      <c r="K1374" s="60" t="s">
        <v>154</v>
      </c>
      <c r="L1374" s="44">
        <v>46219.986111111109</v>
      </c>
      <c r="M1374" s="55" t="s">
        <v>2659</v>
      </c>
      <c r="N1374" s="55" t="s">
        <v>5551</v>
      </c>
      <c r="O1374" s="56">
        <v>46220.459027777775</v>
      </c>
      <c r="P1374" s="22">
        <v>46220.489583333336</v>
      </c>
      <c r="Q1374" s="58">
        <v>46221.76666666667</v>
      </c>
      <c r="S1374" s="21" t="s">
        <v>5552</v>
      </c>
      <c r="T1374" s="55" t="s">
        <v>164</v>
      </c>
      <c r="U1374" s="21"/>
      <c r="V1374" s="53" t="s">
        <v>5553</v>
      </c>
      <c r="Y1374" t="s">
        <v>70</v>
      </c>
      <c r="Z1374" t="s">
        <v>158</v>
      </c>
    </row>
    <row r="1375" spans="1:26" ht="15" hidden="1" customHeight="1">
      <c r="A1375" s="60">
        <f>ROW() - ROW(Table1[[#Headers],[s]])</f>
        <v>1374</v>
      </c>
      <c r="B1375" t="s">
        <v>5554</v>
      </c>
      <c r="C1375" s="163">
        <v>46204</v>
      </c>
      <c r="D1375" s="52" t="s">
        <v>5555</v>
      </c>
      <c r="E1375" t="s">
        <v>5556</v>
      </c>
      <c r="F1375" t="e" vm="16">
        <v>#VALUE!</v>
      </c>
      <c r="G1375" s="43" t="s">
        <v>151</v>
      </c>
      <c r="H1375" s="18" t="s">
        <v>747</v>
      </c>
      <c r="J1375" s="18" t="s">
        <v>253</v>
      </c>
      <c r="K1375" s="44" t="s">
        <v>154</v>
      </c>
      <c r="L1375" s="44">
        <v>46220.019444444442</v>
      </c>
      <c r="M1375" s="55" t="s">
        <v>58</v>
      </c>
      <c r="N1375" s="55" t="s">
        <v>58</v>
      </c>
      <c r="O1375" s="56">
        <v>46220.416666666664</v>
      </c>
      <c r="P1375" s="22">
        <v>46220.4375</v>
      </c>
      <c r="Q1375" s="58">
        <v>46220.463194444441</v>
      </c>
      <c r="S1375" s="21" t="s">
        <v>5557</v>
      </c>
      <c r="T1375" s="55" t="s">
        <v>164</v>
      </c>
      <c r="U1375" s="21"/>
      <c r="V1375" s="53" t="s">
        <v>5558</v>
      </c>
    </row>
    <row r="1376" spans="1:26" ht="15" hidden="1" customHeight="1">
      <c r="A1376" s="60">
        <f>ROW() - ROW(Table1[[#Headers],[s]])</f>
        <v>1375</v>
      </c>
      <c r="B1376" t="s">
        <v>5559</v>
      </c>
      <c r="C1376" s="163">
        <v>46204</v>
      </c>
      <c r="D1376" s="52" t="s">
        <v>5560</v>
      </c>
      <c r="E1376" t="s">
        <v>5561</v>
      </c>
      <c r="F1376" t="e" vm="5">
        <v>#VALUE!</v>
      </c>
      <c r="G1376" s="43" t="s">
        <v>36</v>
      </c>
      <c r="H1376" s="18" t="s">
        <v>152</v>
      </c>
      <c r="I1376" s="23" t="s">
        <v>43</v>
      </c>
      <c r="J1376" s="18" t="s">
        <v>153</v>
      </c>
      <c r="K1376" s="44" t="s">
        <v>154</v>
      </c>
      <c r="L1376" s="44">
        <v>46220.158333333333</v>
      </c>
      <c r="M1376" s="55" t="s">
        <v>55</v>
      </c>
      <c r="N1376" s="55" t="s">
        <v>55</v>
      </c>
      <c r="O1376" s="56"/>
      <c r="P1376" s="22"/>
      <c r="Q1376" s="58">
        <v>46220.520833333336</v>
      </c>
      <c r="S1376" s="21" t="s">
        <v>543</v>
      </c>
      <c r="T1376" s="55" t="s">
        <v>164</v>
      </c>
      <c r="U1376" s="21"/>
      <c r="V1376" s="53" t="s">
        <v>5562</v>
      </c>
      <c r="Y1376" t="s">
        <v>158</v>
      </c>
      <c r="Z1376" t="s">
        <v>203</v>
      </c>
    </row>
    <row r="1377" spans="1:26" ht="15" hidden="1" customHeight="1">
      <c r="A1377" s="60">
        <f>ROW() - ROW(Table1[[#Headers],[s]])</f>
        <v>1376</v>
      </c>
      <c r="B1377" t="s">
        <v>5563</v>
      </c>
      <c r="C1377" s="163">
        <v>46204</v>
      </c>
      <c r="D1377" s="52" t="s">
        <v>5564</v>
      </c>
      <c r="E1377" t="s">
        <v>5565</v>
      </c>
      <c r="F1377" t="e" vm="35">
        <v>#VALUE!</v>
      </c>
      <c r="G1377" s="43" t="s">
        <v>151</v>
      </c>
      <c r="H1377" s="18" t="s">
        <v>152</v>
      </c>
      <c r="J1377" s="18" t="s">
        <v>153</v>
      </c>
      <c r="K1377" s="44" t="s">
        <v>154</v>
      </c>
      <c r="L1377" s="44">
        <v>46220.169444444444</v>
      </c>
      <c r="M1377" s="55" t="s">
        <v>5566</v>
      </c>
      <c r="N1377" s="55" t="s">
        <v>1255</v>
      </c>
      <c r="O1377" s="56">
        <v>46220.691666666666</v>
      </c>
      <c r="P1377" s="22">
        <v>46220.704861111109</v>
      </c>
      <c r="Q1377" s="58">
        <v>46220.711805555555</v>
      </c>
      <c r="S1377" s="21" t="s">
        <v>5567</v>
      </c>
      <c r="T1377" s="55" t="s">
        <v>164</v>
      </c>
      <c r="U1377" s="21"/>
      <c r="V1377" s="53" t="s">
        <v>5567</v>
      </c>
      <c r="Y1377" t="s">
        <v>70</v>
      </c>
      <c r="Z1377" t="s">
        <v>70</v>
      </c>
    </row>
    <row r="1378" spans="1:26" s="36" customFormat="1" ht="15" hidden="1" customHeight="1">
      <c r="A1378" s="189">
        <f>ROW() - ROW(Table1[[#Headers],[s]])</f>
        <v>1377</v>
      </c>
      <c r="B1378" s="36" t="s">
        <v>5568</v>
      </c>
      <c r="C1378" s="172">
        <v>46204</v>
      </c>
      <c r="D1378" s="182" t="s">
        <v>5569</v>
      </c>
      <c r="E1378" s="36" t="s">
        <v>5570</v>
      </c>
      <c r="F1378" s="36" t="e" vm="1">
        <v>#VALUE!</v>
      </c>
      <c r="G1378" s="174" t="s">
        <v>151</v>
      </c>
      <c r="H1378" s="372" t="s">
        <v>747</v>
      </c>
      <c r="J1378" s="372" t="s">
        <v>253</v>
      </c>
      <c r="K1378" s="175" t="s">
        <v>5571</v>
      </c>
      <c r="L1378" s="175">
        <v>46220.420138888891</v>
      </c>
      <c r="M1378" s="179" t="s">
        <v>1937</v>
      </c>
      <c r="N1378" s="179" t="s">
        <v>5572</v>
      </c>
      <c r="O1378" s="176">
        <v>46220.508333333331</v>
      </c>
      <c r="P1378" s="373">
        <v>46220.526388888888</v>
      </c>
      <c r="Q1378" s="186">
        <v>46221.068749999999</v>
      </c>
      <c r="S1378" s="374" t="s">
        <v>5573</v>
      </c>
      <c r="T1378" s="179" t="s">
        <v>164</v>
      </c>
      <c r="U1378" s="374"/>
      <c r="V1378" s="375" t="s">
        <v>3547</v>
      </c>
      <c r="Y1378" s="36" t="s">
        <v>70</v>
      </c>
      <c r="Z1378" s="36" t="s">
        <v>158</v>
      </c>
    </row>
    <row r="1379" spans="1:26" ht="15" hidden="1" customHeight="1">
      <c r="A1379" s="60">
        <f>ROW() - ROW(Table1[[#Headers],[s]])</f>
        <v>1378</v>
      </c>
      <c r="B1379" t="s">
        <v>5574</v>
      </c>
      <c r="C1379" s="181" t="s">
        <v>60</v>
      </c>
      <c r="D1379" s="52" t="s">
        <v>5575</v>
      </c>
      <c r="E1379" t="s">
        <v>5201</v>
      </c>
      <c r="F1379" t="e" vm="16">
        <v>#VALUE!</v>
      </c>
      <c r="G1379" s="43" t="s">
        <v>151</v>
      </c>
      <c r="H1379" s="18" t="s">
        <v>152</v>
      </c>
      <c r="J1379" s="18" t="s">
        <v>153</v>
      </c>
      <c r="K1379" s="42" t="s">
        <v>154</v>
      </c>
      <c r="L1379" s="44">
        <v>46220.447222222225</v>
      </c>
      <c r="M1379" s="55" t="s">
        <v>58</v>
      </c>
      <c r="N1379" s="55" t="s">
        <v>58</v>
      </c>
      <c r="O1379" s="56"/>
      <c r="Q1379" s="22">
        <v>46220.604166666664</v>
      </c>
      <c r="S1379" s="21" t="s">
        <v>5576</v>
      </c>
      <c r="T1379" s="55" t="s">
        <v>179</v>
      </c>
      <c r="U1379" s="21"/>
      <c r="V1379" s="21" t="s">
        <v>5576</v>
      </c>
      <c r="Y1379" t="s">
        <v>179</v>
      </c>
      <c r="Z1379" t="s">
        <v>179</v>
      </c>
    </row>
    <row r="1380" spans="1:26" ht="15" hidden="1" customHeight="1">
      <c r="A1380" s="60">
        <f>ROW() - ROW(Table1[[#Headers],[s]])</f>
        <v>1379</v>
      </c>
      <c r="B1380" t="s">
        <v>5577</v>
      </c>
      <c r="C1380" s="163">
        <v>46204</v>
      </c>
      <c r="D1380" s="52" t="s">
        <v>5578</v>
      </c>
      <c r="E1380" t="s">
        <v>5201</v>
      </c>
      <c r="F1380" t="e" vm="16">
        <v>#VALUE!</v>
      </c>
      <c r="G1380" s="43" t="s">
        <v>151</v>
      </c>
      <c r="H1380" s="18" t="s">
        <v>152</v>
      </c>
      <c r="J1380" s="18" t="s">
        <v>153</v>
      </c>
      <c r="K1380" s="44" t="s">
        <v>154</v>
      </c>
      <c r="L1380" s="44">
        <v>46220.459722222222</v>
      </c>
      <c r="M1380" s="55" t="s">
        <v>58</v>
      </c>
      <c r="N1380" s="55" t="s">
        <v>58</v>
      </c>
      <c r="O1380" s="56">
        <v>46220.46875</v>
      </c>
      <c r="P1380" s="56">
        <v>46220.46875</v>
      </c>
      <c r="Q1380" s="22">
        <v>46220.604166666664</v>
      </c>
      <c r="S1380" s="21" t="s">
        <v>5579</v>
      </c>
      <c r="T1380" s="55" t="s">
        <v>164</v>
      </c>
      <c r="U1380" s="21"/>
      <c r="V1380" s="53" t="s">
        <v>5579</v>
      </c>
      <c r="Y1380" t="s">
        <v>158</v>
      </c>
      <c r="Z1380" t="s">
        <v>203</v>
      </c>
    </row>
    <row r="1381" spans="1:26" ht="15" hidden="1" customHeight="1">
      <c r="A1381" s="60">
        <f>ROW() - ROW(Table1[[#Headers],[s]])</f>
        <v>1380</v>
      </c>
      <c r="B1381" t="s">
        <v>5580</v>
      </c>
      <c r="C1381" s="163">
        <v>46204</v>
      </c>
      <c r="D1381" s="52" t="s">
        <v>5581</v>
      </c>
      <c r="E1381" t="s">
        <v>5381</v>
      </c>
      <c r="F1381" t="e" vm="25">
        <v>#VALUE!</v>
      </c>
      <c r="G1381" s="43" t="s">
        <v>151</v>
      </c>
      <c r="H1381" s="18" t="s">
        <v>152</v>
      </c>
      <c r="J1381" s="18" t="s">
        <v>261</v>
      </c>
      <c r="K1381" s="44" t="s">
        <v>154</v>
      </c>
      <c r="L1381" s="44">
        <v>46220.468055555553</v>
      </c>
      <c r="M1381" s="55" t="s">
        <v>72</v>
      </c>
      <c r="N1381" s="55" t="s">
        <v>72</v>
      </c>
      <c r="O1381" s="56">
        <v>46220.544444444444</v>
      </c>
      <c r="P1381" s="22">
        <v>46220.546527777777</v>
      </c>
      <c r="Q1381" s="58">
        <v>46220.55</v>
      </c>
      <c r="S1381" s="21" t="s">
        <v>5582</v>
      </c>
      <c r="T1381" s="55" t="s">
        <v>164</v>
      </c>
      <c r="U1381" s="21"/>
      <c r="V1381" s="53" t="s">
        <v>5583</v>
      </c>
      <c r="Y1381" t="s">
        <v>158</v>
      </c>
      <c r="Z1381" t="s">
        <v>70</v>
      </c>
    </row>
    <row r="1382" spans="1:26" ht="15" hidden="1" customHeight="1">
      <c r="A1382" s="60">
        <f>ROW() - ROW(Table1[[#Headers],[s]])</f>
        <v>1381</v>
      </c>
      <c r="B1382" t="s">
        <v>5584</v>
      </c>
      <c r="C1382" s="163">
        <v>46204</v>
      </c>
      <c r="D1382" s="52" t="s">
        <v>5585</v>
      </c>
      <c r="E1382" t="s">
        <v>5586</v>
      </c>
      <c r="F1382" t="e" vm="49">
        <v>#VALUE!</v>
      </c>
      <c r="G1382" s="43" t="s">
        <v>151</v>
      </c>
      <c r="H1382" s="18" t="s">
        <v>152</v>
      </c>
      <c r="J1382" s="18" t="s">
        <v>153</v>
      </c>
      <c r="K1382" s="44" t="s">
        <v>154</v>
      </c>
      <c r="L1382" s="44">
        <v>46220.47152777778</v>
      </c>
      <c r="M1382" s="55" t="s">
        <v>5587</v>
      </c>
      <c r="N1382" s="55" t="s">
        <v>5587</v>
      </c>
      <c r="O1382" s="56">
        <v>46220.770833333336</v>
      </c>
      <c r="P1382" s="22">
        <v>46220.770833333336</v>
      </c>
      <c r="Q1382" s="58">
        <v>46220.794444444444</v>
      </c>
      <c r="S1382" s="21" t="s">
        <v>5588</v>
      </c>
      <c r="T1382" s="55" t="s">
        <v>164</v>
      </c>
      <c r="U1382" s="21"/>
      <c r="V1382" s="53" t="s">
        <v>5588</v>
      </c>
      <c r="Y1382" t="s">
        <v>158</v>
      </c>
      <c r="Z1382" t="s">
        <v>52</v>
      </c>
    </row>
    <row r="1383" spans="1:26" s="36" customFormat="1" ht="15" hidden="1" customHeight="1">
      <c r="A1383" s="189">
        <f>ROW() - ROW(Table1[[#Headers],[s]])</f>
        <v>1382</v>
      </c>
      <c r="B1383" s="36" t="s">
        <v>5589</v>
      </c>
      <c r="C1383" s="172">
        <v>46204</v>
      </c>
      <c r="D1383" s="52" t="s">
        <v>5590</v>
      </c>
      <c r="E1383" s="36" t="s">
        <v>5591</v>
      </c>
      <c r="F1383" s="36" t="e" vm="49">
        <v>#VALUE!</v>
      </c>
      <c r="G1383" s="174" t="s">
        <v>151</v>
      </c>
      <c r="H1383" s="372" t="s">
        <v>245</v>
      </c>
      <c r="J1383" s="372" t="s">
        <v>253</v>
      </c>
      <c r="K1383" s="175" t="s">
        <v>5592</v>
      </c>
      <c r="L1383" s="175">
        <v>46220.495833333334</v>
      </c>
      <c r="M1383" s="179" t="s">
        <v>44</v>
      </c>
      <c r="N1383" s="179" t="s">
        <v>55</v>
      </c>
      <c r="O1383" s="176">
        <v>46220.55</v>
      </c>
      <c r="P1383" s="373">
        <v>46220.55</v>
      </c>
      <c r="Q1383" s="186">
        <v>46220.770833333336</v>
      </c>
      <c r="S1383" s="374" t="s">
        <v>861</v>
      </c>
      <c r="T1383" s="179" t="s">
        <v>164</v>
      </c>
      <c r="U1383" s="374"/>
      <c r="V1383" s="375" t="s">
        <v>3547</v>
      </c>
      <c r="Y1383" s="36" t="s">
        <v>158</v>
      </c>
      <c r="Z1383" s="36" t="s">
        <v>203</v>
      </c>
    </row>
    <row r="1384" spans="1:26" ht="15" hidden="1" customHeight="1">
      <c r="A1384" s="60">
        <f>ROW() - ROW(Table1[[#Headers],[s]])</f>
        <v>1383</v>
      </c>
      <c r="B1384" t="s">
        <v>5593</v>
      </c>
      <c r="C1384" s="163">
        <v>46204</v>
      </c>
      <c r="D1384" s="52" t="s">
        <v>5594</v>
      </c>
      <c r="E1384" t="s">
        <v>1116</v>
      </c>
      <c r="F1384" t="e" vm="35">
        <v>#VALUE!</v>
      </c>
      <c r="G1384" s="43" t="s">
        <v>36</v>
      </c>
      <c r="H1384" s="18" t="s">
        <v>152</v>
      </c>
      <c r="I1384" t="s">
        <v>43</v>
      </c>
      <c r="J1384" s="18" t="s">
        <v>153</v>
      </c>
      <c r="K1384" s="42" t="s">
        <v>154</v>
      </c>
      <c r="L1384" s="44">
        <v>46220.53402777778</v>
      </c>
      <c r="M1384" s="55" t="s">
        <v>5595</v>
      </c>
      <c r="N1384" s="55" t="s">
        <v>1255</v>
      </c>
      <c r="O1384" s="56"/>
      <c r="P1384" s="22"/>
      <c r="Q1384" s="58">
        <v>46223.354166666664</v>
      </c>
      <c r="S1384" s="21" t="s">
        <v>5596</v>
      </c>
      <c r="T1384" s="55" t="s">
        <v>164</v>
      </c>
      <c r="U1384" s="21"/>
      <c r="V1384" s="53" t="s">
        <v>5597</v>
      </c>
      <c r="Y1384" t="s">
        <v>158</v>
      </c>
      <c r="Z1384" t="s">
        <v>70</v>
      </c>
    </row>
    <row r="1385" spans="1:26" ht="15" hidden="1" customHeight="1">
      <c r="A1385" s="60">
        <f>ROW() - ROW(Table1[[#Headers],[s]])</f>
        <v>1384</v>
      </c>
      <c r="B1385" t="s">
        <v>5598</v>
      </c>
      <c r="C1385" s="163">
        <v>46204</v>
      </c>
      <c r="D1385" s="182" t="s">
        <v>5599</v>
      </c>
      <c r="E1385" t="s">
        <v>5233</v>
      </c>
      <c r="F1385" t="e" vm="10">
        <v>#VALUE!</v>
      </c>
      <c r="G1385" s="43" t="s">
        <v>151</v>
      </c>
      <c r="H1385" s="18" t="s">
        <v>152</v>
      </c>
      <c r="J1385" s="18" t="s">
        <v>153</v>
      </c>
      <c r="K1385" s="44" t="s">
        <v>154</v>
      </c>
      <c r="L1385" s="44">
        <v>46220.537499999999</v>
      </c>
      <c r="M1385" s="55" t="s">
        <v>78</v>
      </c>
      <c r="N1385" s="55" t="s">
        <v>78</v>
      </c>
      <c r="O1385" s="56">
        <v>46220.87222222222</v>
      </c>
      <c r="P1385" s="22">
        <v>46220.887499999997</v>
      </c>
      <c r="Q1385" s="58">
        <v>46220.892361111109</v>
      </c>
      <c r="S1385" s="21" t="s">
        <v>5600</v>
      </c>
      <c r="T1385" s="55" t="s">
        <v>164</v>
      </c>
      <c r="U1385" s="21"/>
      <c r="V1385" s="53" t="s">
        <v>5600</v>
      </c>
      <c r="Y1385" t="s">
        <v>158</v>
      </c>
      <c r="Z1385" t="s">
        <v>52</v>
      </c>
    </row>
    <row r="1386" spans="1:26" ht="15" hidden="1" customHeight="1">
      <c r="A1386" s="60">
        <f>ROW() - ROW(Table1[[#Headers],[s]])</f>
        <v>1385</v>
      </c>
      <c r="B1386" t="s">
        <v>5601</v>
      </c>
      <c r="C1386" s="163">
        <v>46204</v>
      </c>
      <c r="D1386" s="52" t="s">
        <v>5602</v>
      </c>
      <c r="E1386" t="s">
        <v>5317</v>
      </c>
      <c r="F1386" t="e" vm="25">
        <v>#VALUE!</v>
      </c>
      <c r="G1386" s="43" t="s">
        <v>151</v>
      </c>
      <c r="H1386" s="18" t="s">
        <v>152</v>
      </c>
      <c r="J1386" s="18" t="s">
        <v>153</v>
      </c>
      <c r="K1386" s="44" t="s">
        <v>154</v>
      </c>
      <c r="L1386" s="44">
        <v>46220.544444444444</v>
      </c>
      <c r="M1386" s="55" t="s">
        <v>72</v>
      </c>
      <c r="N1386" s="55" t="s">
        <v>72</v>
      </c>
      <c r="O1386" s="56">
        <v>46220.665277777778</v>
      </c>
      <c r="P1386" s="22">
        <v>46220.665277777778</v>
      </c>
      <c r="Q1386" s="58">
        <v>46220.69027777778</v>
      </c>
      <c r="S1386" s="21" t="s">
        <v>5603</v>
      </c>
      <c r="T1386" s="55" t="s">
        <v>164</v>
      </c>
      <c r="U1386" s="21"/>
      <c r="V1386" s="53" t="s">
        <v>5603</v>
      </c>
      <c r="Y1386" t="s">
        <v>158</v>
      </c>
      <c r="Z1386" t="s">
        <v>52</v>
      </c>
    </row>
    <row r="1387" spans="1:26" ht="15" hidden="1" customHeight="1">
      <c r="A1387" s="60">
        <f>ROW() - ROW(Table1[[#Headers],[s]])</f>
        <v>1386</v>
      </c>
      <c r="B1387" t="s">
        <v>5604</v>
      </c>
      <c r="C1387" s="163">
        <v>46204</v>
      </c>
      <c r="D1387" s="52" t="s">
        <v>5605</v>
      </c>
      <c r="E1387" t="s">
        <v>5606</v>
      </c>
      <c r="F1387" t="e" vm="25">
        <v>#VALUE!</v>
      </c>
      <c r="G1387" s="43" t="s">
        <v>151</v>
      </c>
      <c r="H1387" s="18" t="s">
        <v>152</v>
      </c>
      <c r="J1387" s="18" t="s">
        <v>153</v>
      </c>
      <c r="K1387" s="44" t="s">
        <v>154</v>
      </c>
      <c r="L1387" s="44">
        <v>46220.5625</v>
      </c>
      <c r="M1387" s="55" t="s">
        <v>1716</v>
      </c>
      <c r="N1387" s="55" t="s">
        <v>1716</v>
      </c>
      <c r="O1387" s="56">
        <v>46220.793749999997</v>
      </c>
      <c r="P1387" s="22">
        <v>46220.857638888891</v>
      </c>
      <c r="Q1387" s="58">
        <v>46220.862500000003</v>
      </c>
      <c r="S1387" s="21" t="s">
        <v>5607</v>
      </c>
      <c r="T1387" s="55" t="s">
        <v>164</v>
      </c>
      <c r="U1387" s="21"/>
      <c r="V1387" s="53" t="s">
        <v>5607</v>
      </c>
      <c r="Y1387" t="s">
        <v>158</v>
      </c>
      <c r="Z1387" t="s">
        <v>70</v>
      </c>
    </row>
    <row r="1388" spans="1:26" ht="15" customHeight="1">
      <c r="A1388" s="60">
        <f>ROW() - ROW(Table1[[#Headers],[s]])</f>
        <v>1387</v>
      </c>
      <c r="B1388" t="s">
        <v>5608</v>
      </c>
      <c r="C1388" s="163">
        <v>46204</v>
      </c>
      <c r="D1388" s="52" t="s">
        <v>5609</v>
      </c>
      <c r="E1388" t="s">
        <v>5610</v>
      </c>
      <c r="F1388" t="e" vm="25">
        <v>#VALUE!</v>
      </c>
      <c r="G1388" s="43" t="s">
        <v>186</v>
      </c>
      <c r="H1388" s="18" t="s">
        <v>152</v>
      </c>
      <c r="I1388" t="s">
        <v>43</v>
      </c>
      <c r="J1388" s="18" t="s">
        <v>153</v>
      </c>
      <c r="K1388" s="60" t="s">
        <v>154</v>
      </c>
      <c r="L1388" s="44">
        <v>46220.587500000001</v>
      </c>
      <c r="M1388" s="55" t="s">
        <v>72</v>
      </c>
      <c r="N1388" s="55" t="s">
        <v>72</v>
      </c>
      <c r="O1388" s="56">
        <v>46221.423611111109</v>
      </c>
      <c r="P1388" s="22">
        <v>46221.430555555555</v>
      </c>
      <c r="Q1388" s="58">
        <v>46221.465277777781</v>
      </c>
      <c r="S1388" s="21" t="s">
        <v>5611</v>
      </c>
      <c r="T1388" s="55" t="s">
        <v>164</v>
      </c>
      <c r="U1388" s="21"/>
      <c r="V1388" s="53" t="s">
        <v>1032</v>
      </c>
      <c r="Y1388" t="s">
        <v>158</v>
      </c>
      <c r="Z1388" t="s">
        <v>70</v>
      </c>
    </row>
    <row r="1389" spans="1:26" ht="15" hidden="1" customHeight="1">
      <c r="A1389" s="60">
        <f>ROW() - ROW(Table1[[#Headers],[s]])</f>
        <v>1388</v>
      </c>
      <c r="B1389" t="s">
        <v>4445</v>
      </c>
      <c r="C1389" s="181" t="s">
        <v>60</v>
      </c>
      <c r="D1389" s="52" t="s">
        <v>5612</v>
      </c>
      <c r="E1389" t="s">
        <v>5546</v>
      </c>
      <c r="F1389" s="5" t="e" vm="5">
        <v>#VALUE!</v>
      </c>
      <c r="G1389" s="43" t="s">
        <v>151</v>
      </c>
      <c r="H1389" s="18" t="s">
        <v>152</v>
      </c>
      <c r="J1389" s="18" t="s">
        <v>153</v>
      </c>
      <c r="K1389" s="60" t="s">
        <v>1003</v>
      </c>
      <c r="L1389" s="44">
        <v>46220.604166666664</v>
      </c>
      <c r="M1389" s="55"/>
      <c r="N1389" s="55"/>
      <c r="O1389" s="56"/>
      <c r="P1389" s="22"/>
      <c r="Q1389" s="44">
        <v>46220.604166666664</v>
      </c>
      <c r="S1389" s="21" t="s">
        <v>5613</v>
      </c>
      <c r="T1389" s="55" t="s">
        <v>179</v>
      </c>
      <c r="U1389" s="21"/>
      <c r="V1389" s="53"/>
      <c r="Y1389" t="s">
        <v>179</v>
      </c>
      <c r="Z1389" t="s">
        <v>179</v>
      </c>
    </row>
    <row r="1390" spans="1:26" ht="15" hidden="1" customHeight="1">
      <c r="A1390" s="60">
        <f>ROW() - ROW(Table1[[#Headers],[s]])</f>
        <v>1389</v>
      </c>
      <c r="B1390" t="s">
        <v>5614</v>
      </c>
      <c r="C1390" s="163">
        <v>46204</v>
      </c>
      <c r="D1390" s="52" t="s">
        <v>5615</v>
      </c>
      <c r="E1390" t="s">
        <v>5474</v>
      </c>
      <c r="F1390" t="e" vm="2">
        <v>#VALUE!</v>
      </c>
      <c r="G1390" s="43" t="s">
        <v>151</v>
      </c>
      <c r="H1390" s="18" t="s">
        <v>152</v>
      </c>
      <c r="J1390" s="18" t="s">
        <v>153</v>
      </c>
      <c r="K1390" s="44" t="s">
        <v>154</v>
      </c>
      <c r="L1390" s="44">
        <v>46220.758333333331</v>
      </c>
      <c r="M1390" s="55" t="s">
        <v>162</v>
      </c>
      <c r="N1390" s="55" t="s">
        <v>162</v>
      </c>
      <c r="O1390" s="56">
        <v>46220.84375</v>
      </c>
      <c r="P1390" s="22">
        <v>46220.856944444444</v>
      </c>
      <c r="Q1390" s="58">
        <v>46220.908333333333</v>
      </c>
      <c r="S1390" s="363" t="s">
        <v>5616</v>
      </c>
      <c r="T1390" s="55" t="s">
        <v>3011</v>
      </c>
      <c r="U1390" s="21"/>
      <c r="V1390" s="363" t="s">
        <v>5616</v>
      </c>
      <c r="Y1390" t="s">
        <v>158</v>
      </c>
      <c r="Z1390" t="s">
        <v>70</v>
      </c>
    </row>
    <row r="1391" spans="1:26" ht="15" hidden="1" customHeight="1">
      <c r="A1391" s="60">
        <f>ROW() - ROW(Table1[[#Headers],[s]])</f>
        <v>1390</v>
      </c>
      <c r="B1391" t="s">
        <v>5617</v>
      </c>
      <c r="C1391" s="181" t="s">
        <v>60</v>
      </c>
      <c r="D1391" s="52" t="s">
        <v>5618</v>
      </c>
      <c r="E1391" t="s">
        <v>5474</v>
      </c>
      <c r="F1391" t="e" vm="2">
        <v>#VALUE!</v>
      </c>
      <c r="G1391" s="43" t="s">
        <v>151</v>
      </c>
      <c r="H1391" s="18" t="s">
        <v>152</v>
      </c>
      <c r="J1391" s="18" t="s">
        <v>153</v>
      </c>
      <c r="K1391" s="42" t="s">
        <v>154</v>
      </c>
      <c r="L1391" s="44">
        <v>46220.868750000001</v>
      </c>
      <c r="M1391" s="55" t="s">
        <v>162</v>
      </c>
      <c r="N1391" s="55" t="s">
        <v>162</v>
      </c>
      <c r="O1391" s="56"/>
      <c r="P1391" s="22"/>
      <c r="Q1391" s="58">
        <v>46220.908333333333</v>
      </c>
      <c r="S1391" s="363" t="s">
        <v>5619</v>
      </c>
      <c r="T1391" s="55"/>
      <c r="U1391" s="21"/>
      <c r="V1391" s="363" t="s">
        <v>5619</v>
      </c>
      <c r="Y1391" t="s">
        <v>179</v>
      </c>
      <c r="Z1391" t="s">
        <v>179</v>
      </c>
    </row>
    <row r="1392" spans="1:26" ht="15" hidden="1" customHeight="1">
      <c r="A1392" s="60">
        <f>ROW() - ROW(Table1[[#Headers],[s]])</f>
        <v>1391</v>
      </c>
      <c r="B1392" t="s">
        <v>5620</v>
      </c>
      <c r="C1392" s="181" t="s">
        <v>60</v>
      </c>
      <c r="D1392" s="52" t="s">
        <v>5621</v>
      </c>
      <c r="E1392" t="s">
        <v>5474</v>
      </c>
      <c r="F1392" t="e" vm="2">
        <v>#VALUE!</v>
      </c>
      <c r="G1392" s="43" t="s">
        <v>151</v>
      </c>
      <c r="H1392" s="18" t="s">
        <v>152</v>
      </c>
      <c r="J1392" s="18" t="s">
        <v>153</v>
      </c>
      <c r="K1392" s="42" t="s">
        <v>154</v>
      </c>
      <c r="L1392" s="44">
        <v>46220.911111111112</v>
      </c>
      <c r="M1392" s="55" t="s">
        <v>162</v>
      </c>
      <c r="N1392" s="55" t="s">
        <v>162</v>
      </c>
      <c r="O1392" s="56"/>
      <c r="P1392" s="22"/>
      <c r="Q1392" s="58">
        <v>46220.908333333333</v>
      </c>
      <c r="S1392" s="363" t="s">
        <v>5619</v>
      </c>
      <c r="T1392" s="55"/>
      <c r="U1392" s="21"/>
      <c r="V1392" s="363" t="s">
        <v>5619</v>
      </c>
      <c r="Y1392" t="s">
        <v>179</v>
      </c>
      <c r="Z1392" t="s">
        <v>179</v>
      </c>
    </row>
    <row r="1393" spans="1:26" ht="15" customHeight="1">
      <c r="A1393" s="60">
        <f>ROW() - ROW(Table1[[#Headers],[s]])</f>
        <v>1392</v>
      </c>
      <c r="B1393" t="s">
        <v>4942</v>
      </c>
      <c r="C1393" s="163">
        <v>46204</v>
      </c>
      <c r="D1393" s="52" t="s">
        <v>5622</v>
      </c>
      <c r="E1393" t="s">
        <v>5623</v>
      </c>
      <c r="F1393" t="e" vm="19">
        <v>#VALUE!</v>
      </c>
      <c r="G1393" s="43" t="s">
        <v>186</v>
      </c>
      <c r="H1393" s="18" t="s">
        <v>152</v>
      </c>
      <c r="I1393" t="s">
        <v>43</v>
      </c>
      <c r="J1393" s="18" t="s">
        <v>153</v>
      </c>
      <c r="K1393" s="42" t="s">
        <v>154</v>
      </c>
      <c r="L1393" s="44">
        <v>46221.613194444442</v>
      </c>
      <c r="M1393" s="55" t="s">
        <v>217</v>
      </c>
      <c r="N1393" s="55" t="s">
        <v>217</v>
      </c>
      <c r="O1393" s="56">
        <v>46221.708333333336</v>
      </c>
      <c r="P1393" s="22">
        <v>46221.715277777781</v>
      </c>
      <c r="Q1393" s="58">
        <v>46221.763888888891</v>
      </c>
      <c r="S1393" s="21" t="s">
        <v>5624</v>
      </c>
      <c r="T1393" s="55" t="s">
        <v>164</v>
      </c>
      <c r="U1393" s="21"/>
      <c r="V1393" s="53" t="s">
        <v>581</v>
      </c>
      <c r="Y1393" t="s">
        <v>158</v>
      </c>
      <c r="Z1393" t="s">
        <v>70</v>
      </c>
    </row>
    <row r="1394" spans="1:26" ht="15" customHeight="1">
      <c r="A1394" s="60">
        <f>ROW() - ROW(Table1[[#Headers],[s]])</f>
        <v>1393</v>
      </c>
      <c r="B1394" t="s">
        <v>5625</v>
      </c>
      <c r="C1394" s="163">
        <v>46204</v>
      </c>
      <c r="D1394" s="52" t="s">
        <v>5626</v>
      </c>
      <c r="E1394" t="s">
        <v>5627</v>
      </c>
      <c r="F1394" t="e" vm="10">
        <v>#VALUE!</v>
      </c>
      <c r="G1394" s="43" t="s">
        <v>186</v>
      </c>
      <c r="H1394" s="18" t="s">
        <v>152</v>
      </c>
      <c r="I1394" t="s">
        <v>43</v>
      </c>
      <c r="J1394" s="18" t="s">
        <v>153</v>
      </c>
      <c r="K1394" s="42" t="s">
        <v>154</v>
      </c>
      <c r="L1394" s="44">
        <v>46221.615277777775</v>
      </c>
      <c r="M1394" s="55" t="s">
        <v>78</v>
      </c>
      <c r="N1394" s="55" t="s">
        <v>78</v>
      </c>
      <c r="O1394" s="56">
        <v>46221.708333333336</v>
      </c>
      <c r="P1394" s="22">
        <v>46221.715277777781</v>
      </c>
      <c r="Q1394" s="58">
        <v>46221.73333333333</v>
      </c>
      <c r="S1394" s="21" t="s">
        <v>5628</v>
      </c>
      <c r="T1394" s="55" t="s">
        <v>164</v>
      </c>
      <c r="U1394" s="21"/>
      <c r="V1394" s="53" t="s">
        <v>5629</v>
      </c>
      <c r="Y1394" t="s">
        <v>158</v>
      </c>
      <c r="Z1394" t="s">
        <v>70</v>
      </c>
    </row>
    <row r="1395" spans="1:26" ht="15" customHeight="1">
      <c r="A1395" s="60">
        <f>ROW() - ROW(Table1[[#Headers],[s]])</f>
        <v>1394</v>
      </c>
      <c r="B1395" t="s">
        <v>5630</v>
      </c>
      <c r="C1395" s="163">
        <v>46204</v>
      </c>
      <c r="D1395" s="52" t="s">
        <v>5631</v>
      </c>
      <c r="E1395" t="s">
        <v>5632</v>
      </c>
      <c r="F1395" t="e" vm="10">
        <v>#VALUE!</v>
      </c>
      <c r="G1395" s="43" t="s">
        <v>186</v>
      </c>
      <c r="H1395" s="18" t="s">
        <v>245</v>
      </c>
      <c r="I1395" t="s">
        <v>43</v>
      </c>
      <c r="J1395" s="18" t="s">
        <v>253</v>
      </c>
      <c r="K1395" s="42" t="s">
        <v>154</v>
      </c>
      <c r="L1395" s="44">
        <v>46221.750694444447</v>
      </c>
      <c r="M1395" s="55" t="s">
        <v>217</v>
      </c>
      <c r="N1395" s="55" t="s">
        <v>78</v>
      </c>
      <c r="O1395" s="56">
        <v>46222.541666666664</v>
      </c>
      <c r="P1395" s="22">
        <v>46222.833333333336</v>
      </c>
      <c r="Q1395" s="58">
        <v>46226.573611111111</v>
      </c>
      <c r="S1395" s="21" t="s">
        <v>5633</v>
      </c>
      <c r="T1395" s="55" t="s">
        <v>164</v>
      </c>
      <c r="U1395" s="21"/>
      <c r="V1395" s="404" t="s">
        <v>5634</v>
      </c>
      <c r="Y1395" t="s">
        <v>70</v>
      </c>
      <c r="Z1395" t="s">
        <v>70</v>
      </c>
    </row>
    <row r="1396" spans="1:26" ht="15" customHeight="1">
      <c r="A1396" s="60">
        <f>ROW() - ROW(Table1[[#Headers],[s]])</f>
        <v>1395</v>
      </c>
      <c r="B1396" t="s">
        <v>5635</v>
      </c>
      <c r="C1396" s="163">
        <v>46204</v>
      </c>
      <c r="D1396" s="52" t="s">
        <v>5636</v>
      </c>
      <c r="E1396" t="s">
        <v>5637</v>
      </c>
      <c r="F1396" t="e" vm="49">
        <v>#VALUE!</v>
      </c>
      <c r="G1396" s="43" t="s">
        <v>186</v>
      </c>
      <c r="H1396" s="18" t="s">
        <v>747</v>
      </c>
      <c r="I1396" t="s">
        <v>43</v>
      </c>
      <c r="J1396" s="18" t="s">
        <v>253</v>
      </c>
      <c r="K1396" s="42" t="s">
        <v>154</v>
      </c>
      <c r="L1396" s="44">
        <v>46222.635416666664</v>
      </c>
      <c r="M1396" s="55" t="s">
        <v>73</v>
      </c>
      <c r="N1396" s="55" t="s">
        <v>73</v>
      </c>
      <c r="O1396" s="56">
        <v>46222.791666666664</v>
      </c>
      <c r="P1396" s="22">
        <v>46222.8125</v>
      </c>
      <c r="Q1396" s="58">
        <v>46222.895138888889</v>
      </c>
      <c r="S1396" s="21" t="s">
        <v>5638</v>
      </c>
      <c r="T1396" s="55" t="s">
        <v>164</v>
      </c>
      <c r="U1396" s="21"/>
      <c r="V1396" s="53" t="s">
        <v>5639</v>
      </c>
      <c r="Y1396" t="s">
        <v>158</v>
      </c>
      <c r="Z1396" t="s">
        <v>70</v>
      </c>
    </row>
    <row r="1397" spans="1:26" ht="15" customHeight="1">
      <c r="A1397" s="17">
        <f>ROW() - ROW(Table1[[#Headers],[s]])</f>
        <v>1396</v>
      </c>
      <c r="B1397" t="s">
        <v>5640</v>
      </c>
      <c r="C1397" s="272">
        <v>46204</v>
      </c>
      <c r="D1397" s="19" t="s">
        <v>5641</v>
      </c>
      <c r="E1397" t="s">
        <v>5642</v>
      </c>
      <c r="F1397" t="e" vm="12">
        <v>#VALUE!</v>
      </c>
      <c r="G1397" s="43" t="s">
        <v>186</v>
      </c>
      <c r="H1397" s="18" t="s">
        <v>152</v>
      </c>
      <c r="I1397" t="s">
        <v>43</v>
      </c>
      <c r="J1397" s="18" t="s">
        <v>153</v>
      </c>
      <c r="K1397" s="42" t="s">
        <v>154</v>
      </c>
      <c r="L1397" s="20">
        <v>46222.718055555553</v>
      </c>
      <c r="M1397" s="18" t="s">
        <v>55</v>
      </c>
      <c r="N1397" s="18" t="s">
        <v>55</v>
      </c>
      <c r="O1397" s="56">
        <v>46222.833333333336</v>
      </c>
      <c r="P1397" s="22">
        <v>46222.840277777781</v>
      </c>
      <c r="Q1397" s="22">
        <v>46223.034722222219</v>
      </c>
      <c r="S1397" s="21" t="s">
        <v>5643</v>
      </c>
      <c r="T1397" s="55" t="s">
        <v>164</v>
      </c>
      <c r="U1397" s="21"/>
      <c r="V1397" s="21" t="s">
        <v>5644</v>
      </c>
      <c r="Y1397" t="s">
        <v>158</v>
      </c>
      <c r="Z1397" t="s">
        <v>70</v>
      </c>
    </row>
    <row r="1398" spans="1:26" ht="15" customHeight="1">
      <c r="A1398" s="60">
        <f>ROW() - ROW(Table1[[#Headers],[s]])</f>
        <v>1397</v>
      </c>
      <c r="B1398" t="s">
        <v>2649</v>
      </c>
      <c r="C1398" s="163">
        <v>46204</v>
      </c>
      <c r="D1398" s="52" t="s">
        <v>5645</v>
      </c>
      <c r="E1398" t="s">
        <v>5646</v>
      </c>
      <c r="F1398" s="5" t="e" vm="10">
        <v>#VALUE!</v>
      </c>
      <c r="G1398" s="43" t="s">
        <v>186</v>
      </c>
      <c r="H1398" s="18" t="s">
        <v>152</v>
      </c>
      <c r="I1398" t="s">
        <v>43</v>
      </c>
      <c r="J1398" s="18" t="s">
        <v>153</v>
      </c>
      <c r="K1398" s="42" t="s">
        <v>154</v>
      </c>
      <c r="L1398" s="44">
        <v>46222.720138888886</v>
      </c>
      <c r="M1398" s="55" t="s">
        <v>78</v>
      </c>
      <c r="N1398" s="55" t="s">
        <v>78</v>
      </c>
      <c r="O1398" s="56">
        <v>46222.833333333336</v>
      </c>
      <c r="P1398" s="22">
        <v>46222.840277777781</v>
      </c>
      <c r="Q1398" s="58">
        <v>46222.922222222223</v>
      </c>
      <c r="S1398" s="21" t="s">
        <v>5647</v>
      </c>
      <c r="T1398" s="55" t="s">
        <v>164</v>
      </c>
      <c r="U1398" s="21"/>
      <c r="V1398" s="53" t="s">
        <v>809</v>
      </c>
      <c r="Y1398" t="s">
        <v>158</v>
      </c>
      <c r="Z1398" t="s">
        <v>70</v>
      </c>
    </row>
    <row r="1399" spans="1:26" ht="15" customHeight="1">
      <c r="A1399" s="60">
        <f>ROW() - ROW(Table1[[#Headers],[s]])</f>
        <v>1398</v>
      </c>
      <c r="B1399" t="s">
        <v>5648</v>
      </c>
      <c r="C1399" s="163">
        <v>46204</v>
      </c>
      <c r="D1399" s="52" t="s">
        <v>5649</v>
      </c>
      <c r="E1399" t="s">
        <v>5627</v>
      </c>
      <c r="F1399" s="5" t="e" vm="10">
        <v>#VALUE!</v>
      </c>
      <c r="G1399" s="43" t="s">
        <v>186</v>
      </c>
      <c r="H1399" s="18" t="s">
        <v>152</v>
      </c>
      <c r="I1399" t="s">
        <v>43</v>
      </c>
      <c r="J1399" s="18" t="s">
        <v>153</v>
      </c>
      <c r="K1399" s="42" t="s">
        <v>154</v>
      </c>
      <c r="L1399" s="44">
        <v>46222.72152777778</v>
      </c>
      <c r="M1399" s="55" t="s">
        <v>78</v>
      </c>
      <c r="N1399" s="55" t="s">
        <v>78</v>
      </c>
      <c r="O1399" s="56">
        <v>46222.833333333336</v>
      </c>
      <c r="P1399" s="22">
        <v>46222.840277777781</v>
      </c>
      <c r="Q1399" s="58">
        <v>46222.922222222223</v>
      </c>
      <c r="S1399" s="21" t="s">
        <v>5650</v>
      </c>
      <c r="T1399" s="55" t="s">
        <v>164</v>
      </c>
      <c r="U1399" s="21"/>
      <c r="V1399" s="53" t="s">
        <v>802</v>
      </c>
      <c r="Y1399" t="s">
        <v>158</v>
      </c>
      <c r="Z1399" t="s">
        <v>70</v>
      </c>
    </row>
    <row r="1400" spans="1:26" ht="15" hidden="1" customHeight="1">
      <c r="A1400" s="17">
        <f>ROW() - ROW(Table1[[#Headers],[s]])</f>
        <v>1399</v>
      </c>
      <c r="B1400" t="s">
        <v>3405</v>
      </c>
      <c r="C1400" s="163">
        <v>46204</v>
      </c>
      <c r="D1400" s="52" t="s">
        <v>5651</v>
      </c>
      <c r="E1400" t="s">
        <v>5468</v>
      </c>
      <c r="F1400" t="e" vm="49">
        <v>#VALUE!</v>
      </c>
      <c r="G1400" s="5" t="s">
        <v>1057</v>
      </c>
      <c r="H1400" s="18" t="s">
        <v>152</v>
      </c>
      <c r="I1400" t="s">
        <v>43</v>
      </c>
      <c r="J1400" s="18" t="s">
        <v>153</v>
      </c>
      <c r="K1400" s="42" t="s">
        <v>154</v>
      </c>
      <c r="L1400" s="44">
        <v>46222.722222222219</v>
      </c>
      <c r="M1400" s="55" t="s">
        <v>5652</v>
      </c>
      <c r="N1400" s="55" t="s">
        <v>5652</v>
      </c>
      <c r="O1400" s="44">
        <v>46223.375</v>
      </c>
      <c r="P1400" s="44">
        <v>46223.427083333336</v>
      </c>
      <c r="Q1400" s="44">
        <v>46223.443055555559</v>
      </c>
      <c r="S1400" s="21" t="s">
        <v>5653</v>
      </c>
      <c r="T1400" s="55" t="s">
        <v>164</v>
      </c>
      <c r="U1400" s="21"/>
      <c r="V1400" s="53" t="s">
        <v>5654</v>
      </c>
      <c r="Y1400" t="s">
        <v>158</v>
      </c>
      <c r="Z1400" t="s">
        <v>70</v>
      </c>
    </row>
    <row r="1401" spans="1:26" ht="15" customHeight="1">
      <c r="A1401" s="60">
        <f>ROW() - ROW(Table1[[#Headers],[s]])</f>
        <v>1400</v>
      </c>
      <c r="B1401" t="s">
        <v>5655</v>
      </c>
      <c r="C1401" s="272">
        <v>46204</v>
      </c>
      <c r="D1401" s="19" t="s">
        <v>5656</v>
      </c>
      <c r="E1401" t="s">
        <v>5657</v>
      </c>
      <c r="F1401" s="5" t="e" vm="25">
        <v>#VALUE!</v>
      </c>
      <c r="G1401" s="43" t="s">
        <v>186</v>
      </c>
      <c r="H1401" s="18" t="s">
        <v>152</v>
      </c>
      <c r="I1401" t="s">
        <v>43</v>
      </c>
      <c r="J1401" s="18" t="s">
        <v>153</v>
      </c>
      <c r="K1401" s="42" t="s">
        <v>154</v>
      </c>
      <c r="L1401" s="20">
        <v>46222.731944444444</v>
      </c>
      <c r="M1401" s="18" t="s">
        <v>5658</v>
      </c>
      <c r="N1401" s="18" t="s">
        <v>5658</v>
      </c>
      <c r="O1401" s="3">
        <v>46222.916666666664</v>
      </c>
      <c r="P1401" s="22">
        <v>46222.923611111109</v>
      </c>
      <c r="Q1401" s="22">
        <v>46222.947222222225</v>
      </c>
      <c r="S1401" s="21" t="s">
        <v>5659</v>
      </c>
      <c r="T1401" s="55" t="s">
        <v>164</v>
      </c>
      <c r="U1401" s="21"/>
      <c r="V1401" s="21" t="s">
        <v>5660</v>
      </c>
      <c r="Y1401" t="s">
        <v>158</v>
      </c>
      <c r="Z1401" t="s">
        <v>70</v>
      </c>
    </row>
    <row r="1402" spans="1:26" ht="15" hidden="1" customHeight="1">
      <c r="A1402" s="60">
        <f>ROW() - ROW(Table1[[#Headers],[s]])</f>
        <v>1401</v>
      </c>
      <c r="B1402" t="s">
        <v>5661</v>
      </c>
      <c r="C1402" s="272">
        <v>46204</v>
      </c>
      <c r="D1402" s="19" t="s">
        <v>5662</v>
      </c>
      <c r="E1402" t="s">
        <v>5663</v>
      </c>
      <c r="F1402" s="5" t="e" vm="2">
        <v>#VALUE!</v>
      </c>
      <c r="G1402" s="5" t="s">
        <v>36</v>
      </c>
      <c r="H1402" s="18" t="s">
        <v>245</v>
      </c>
      <c r="I1402" t="s">
        <v>43</v>
      </c>
      <c r="J1402" s="18" t="s">
        <v>253</v>
      </c>
      <c r="K1402" s="20" t="s">
        <v>840</v>
      </c>
      <c r="L1402" s="20">
        <v>46222.944444444445</v>
      </c>
      <c r="M1402" s="5" t="s">
        <v>58</v>
      </c>
      <c r="N1402" s="18" t="s">
        <v>58</v>
      </c>
      <c r="O1402" s="20">
        <v>46223.375</v>
      </c>
      <c r="P1402" s="22">
        <v>46224.375</v>
      </c>
      <c r="Q1402" s="22">
        <v>46224.859722222223</v>
      </c>
      <c r="S1402" s="21" t="s">
        <v>5664</v>
      </c>
      <c r="T1402" s="55" t="s">
        <v>164</v>
      </c>
      <c r="U1402" s="21"/>
      <c r="V1402" s="21" t="s">
        <v>5665</v>
      </c>
      <c r="Y1402" t="s">
        <v>70</v>
      </c>
      <c r="Z1402" t="s">
        <v>70</v>
      </c>
    </row>
    <row r="1403" spans="1:26" ht="15" hidden="1" customHeight="1">
      <c r="A1403" s="17">
        <f>ROW() - ROW(Table1[[#Headers],[s]])</f>
        <v>1402</v>
      </c>
      <c r="B1403" t="s">
        <v>5666</v>
      </c>
      <c r="C1403" s="272">
        <v>46204</v>
      </c>
      <c r="D1403" s="19" t="s">
        <v>5667</v>
      </c>
      <c r="E1403" t="s">
        <v>5632</v>
      </c>
      <c r="F1403" s="5" t="e" vm="10">
        <v>#VALUE!</v>
      </c>
      <c r="G1403" s="5" t="s">
        <v>36</v>
      </c>
      <c r="H1403" s="18" t="s">
        <v>245</v>
      </c>
      <c r="I1403" t="s">
        <v>43</v>
      </c>
      <c r="J1403" s="18" t="s">
        <v>253</v>
      </c>
      <c r="K1403" s="42" t="s">
        <v>154</v>
      </c>
      <c r="L1403" s="20">
        <v>46222.965277777781</v>
      </c>
      <c r="M1403" s="55" t="s">
        <v>5668</v>
      </c>
      <c r="N1403" s="55" t="s">
        <v>78</v>
      </c>
      <c r="O1403" s="20">
        <v>46223.458333333336</v>
      </c>
      <c r="P1403" s="22">
        <v>46224.375</v>
      </c>
      <c r="Q1403" s="22">
        <v>46224.879166666666</v>
      </c>
      <c r="S1403" s="21" t="s">
        <v>5669</v>
      </c>
      <c r="U1403" s="21"/>
      <c r="V1403" s="21" t="s">
        <v>1102</v>
      </c>
      <c r="Y1403" t="s">
        <v>70</v>
      </c>
      <c r="Z1403" t="s">
        <v>203</v>
      </c>
    </row>
    <row r="1404" spans="1:26" ht="15" customHeight="1">
      <c r="A1404" s="60">
        <f>ROW() - ROW(Table1[[#Headers],[s]])</f>
        <v>1403</v>
      </c>
      <c r="B1404" t="s">
        <v>5670</v>
      </c>
      <c r="C1404" s="163">
        <v>46204</v>
      </c>
      <c r="D1404" s="52" t="s">
        <v>5671</v>
      </c>
      <c r="E1404" t="s">
        <v>5672</v>
      </c>
      <c r="F1404" t="e" vm="2">
        <v>#VALUE!</v>
      </c>
      <c r="G1404" s="43" t="s">
        <v>83</v>
      </c>
      <c r="H1404" s="18" t="s">
        <v>245</v>
      </c>
      <c r="I1404" t="s">
        <v>43</v>
      </c>
      <c r="J1404" s="18" t="s">
        <v>253</v>
      </c>
      <c r="K1404" s="42" t="s">
        <v>154</v>
      </c>
      <c r="L1404" s="44">
        <v>46221.902777777781</v>
      </c>
      <c r="M1404" s="55" t="s">
        <v>162</v>
      </c>
      <c r="N1404" s="55" t="s">
        <v>162</v>
      </c>
      <c r="O1404" s="56">
        <v>46222.9375</v>
      </c>
      <c r="P1404" s="22">
        <v>46222.208333333336</v>
      </c>
      <c r="Q1404" s="58">
        <v>46222.55</v>
      </c>
      <c r="S1404" s="21" t="s">
        <v>5673</v>
      </c>
      <c r="T1404" s="55" t="s">
        <v>164</v>
      </c>
      <c r="U1404" s="21"/>
      <c r="V1404" s="339" t="s">
        <v>5674</v>
      </c>
      <c r="Y1404" t="s">
        <v>70</v>
      </c>
      <c r="Z1404" t="s">
        <v>70</v>
      </c>
    </row>
    <row r="1405" spans="1:26" ht="15" hidden="1" customHeight="1">
      <c r="A1405" s="60">
        <f>ROW() - ROW(Table1[[#Headers],[s]])</f>
        <v>1404</v>
      </c>
      <c r="B1405" t="s">
        <v>5675</v>
      </c>
      <c r="C1405" s="272">
        <v>46204</v>
      </c>
      <c r="D1405" s="19" t="s">
        <v>5676</v>
      </c>
      <c r="E1405" t="s">
        <v>5677</v>
      </c>
      <c r="F1405" t="e" vm="21">
        <v>#VALUE!</v>
      </c>
      <c r="G1405" s="5" t="s">
        <v>1057</v>
      </c>
      <c r="H1405" s="18" t="s">
        <v>152</v>
      </c>
      <c r="I1405" t="s">
        <v>43</v>
      </c>
      <c r="J1405" s="18" t="s">
        <v>153</v>
      </c>
      <c r="K1405" s="42" t="s">
        <v>154</v>
      </c>
      <c r="L1405" s="20">
        <v>46223.410416666666</v>
      </c>
      <c r="M1405" s="18" t="s">
        <v>39</v>
      </c>
      <c r="N1405" s="18" t="s">
        <v>39</v>
      </c>
      <c r="O1405" s="20">
        <v>46223.541666666664</v>
      </c>
      <c r="P1405" s="20">
        <v>46223.548611111109</v>
      </c>
      <c r="Q1405" s="20">
        <v>46223.617361111108</v>
      </c>
      <c r="S1405" s="21" t="s">
        <v>5678</v>
      </c>
      <c r="T1405" s="18" t="s">
        <v>266</v>
      </c>
      <c r="U1405" s="21"/>
      <c r="V1405" s="21" t="s">
        <v>5679</v>
      </c>
      <c r="Y1405" t="s">
        <v>158</v>
      </c>
      <c r="Z1405" t="s">
        <v>158</v>
      </c>
    </row>
    <row r="1406" spans="1:26" ht="15" hidden="1" customHeight="1">
      <c r="A1406" s="60">
        <f>ROW() - ROW(Table1[[#Headers],[s]])</f>
        <v>1405</v>
      </c>
      <c r="B1406" t="s">
        <v>5680</v>
      </c>
      <c r="C1406" s="163">
        <v>46204</v>
      </c>
      <c r="D1406" s="182" t="s">
        <v>5681</v>
      </c>
      <c r="E1406" t="s">
        <v>304</v>
      </c>
      <c r="F1406" t="e" vm="1">
        <v>#VALUE!</v>
      </c>
      <c r="G1406" s="5" t="s">
        <v>1057</v>
      </c>
      <c r="H1406" s="18" t="s">
        <v>747</v>
      </c>
      <c r="I1406" t="s">
        <v>43</v>
      </c>
      <c r="J1406" s="18" t="s">
        <v>253</v>
      </c>
      <c r="K1406" s="42" t="s">
        <v>154</v>
      </c>
      <c r="L1406" s="20">
        <v>46223.415972222225</v>
      </c>
      <c r="M1406" s="55" t="s">
        <v>1937</v>
      </c>
      <c r="N1406" s="55" t="s">
        <v>1937</v>
      </c>
      <c r="O1406" s="20">
        <v>46223.5</v>
      </c>
      <c r="P1406" s="20">
        <v>46223.583333333336</v>
      </c>
      <c r="Q1406" s="20">
        <v>46223.583333333336</v>
      </c>
      <c r="S1406" s="21" t="s">
        <v>5682</v>
      </c>
      <c r="T1406" s="55" t="s">
        <v>164</v>
      </c>
      <c r="U1406" s="21"/>
      <c r="V1406" s="21" t="s">
        <v>5682</v>
      </c>
      <c r="Y1406" t="s">
        <v>158</v>
      </c>
      <c r="Z1406" t="s">
        <v>179</v>
      </c>
    </row>
    <row r="1407" spans="1:26" ht="15" hidden="1" customHeight="1">
      <c r="A1407" s="60">
        <f>ROW() - ROW(Table1[[#Headers],[s]])</f>
        <v>1406</v>
      </c>
      <c r="B1407" t="s">
        <v>5683</v>
      </c>
      <c r="C1407" s="272">
        <v>46204</v>
      </c>
      <c r="D1407" s="19" t="s">
        <v>5684</v>
      </c>
      <c r="E1407" t="s">
        <v>5399</v>
      </c>
      <c r="F1407" t="e" vm="30">
        <v>#VALUE!</v>
      </c>
      <c r="G1407" s="5" t="s">
        <v>36</v>
      </c>
      <c r="H1407" s="18" t="s">
        <v>747</v>
      </c>
      <c r="I1407" t="s">
        <v>43</v>
      </c>
      <c r="J1407" s="18" t="s">
        <v>253</v>
      </c>
      <c r="K1407" s="42" t="s">
        <v>154</v>
      </c>
      <c r="L1407" s="20">
        <v>46223.438888888886</v>
      </c>
      <c r="M1407" s="18" t="s">
        <v>5685</v>
      </c>
      <c r="N1407" s="18" t="s">
        <v>5685</v>
      </c>
      <c r="O1407" s="20">
        <v>46223.5</v>
      </c>
      <c r="P1407" s="20">
        <v>46223.506944444445</v>
      </c>
      <c r="Q1407" s="20">
        <v>46223.586111111108</v>
      </c>
      <c r="S1407" s="21" t="s">
        <v>5686</v>
      </c>
      <c r="T1407" s="55" t="s">
        <v>164</v>
      </c>
      <c r="U1407" s="21"/>
      <c r="V1407" s="53" t="s">
        <v>5687</v>
      </c>
      <c r="W1407" s="398"/>
      <c r="Y1407" t="s">
        <v>158</v>
      </c>
      <c r="Z1407" t="s">
        <v>158</v>
      </c>
    </row>
    <row r="1408" spans="1:26" ht="15" hidden="1" customHeight="1">
      <c r="A1408" s="60">
        <f>ROW() - ROW(Table1[[#Headers],[s]])</f>
        <v>1407</v>
      </c>
      <c r="B1408" t="s">
        <v>5688</v>
      </c>
      <c r="C1408" s="163">
        <v>46204</v>
      </c>
      <c r="D1408" s="52" t="s">
        <v>5689</v>
      </c>
      <c r="E1408" t="s">
        <v>5690</v>
      </c>
      <c r="F1408" t="e" vm="5">
        <v>#VALUE!</v>
      </c>
      <c r="G1408" s="5" t="s">
        <v>1057</v>
      </c>
      <c r="H1408" s="18" t="s">
        <v>747</v>
      </c>
      <c r="I1408" t="s">
        <v>43</v>
      </c>
      <c r="J1408" s="18" t="s">
        <v>253</v>
      </c>
      <c r="K1408" s="42" t="s">
        <v>154</v>
      </c>
      <c r="L1408" s="20">
        <v>46223.047222222223</v>
      </c>
      <c r="M1408" s="55" t="s">
        <v>55</v>
      </c>
      <c r="N1408" s="55" t="s">
        <v>55</v>
      </c>
      <c r="O1408" s="20">
        <v>46223.583333333336</v>
      </c>
      <c r="P1408" s="20">
        <v>46223.62222222222</v>
      </c>
      <c r="Q1408" s="20">
        <v>46224.604166666664</v>
      </c>
      <c r="S1408" s="21" t="s">
        <v>5691</v>
      </c>
      <c r="T1408" s="18" t="s">
        <v>266</v>
      </c>
      <c r="U1408" s="21"/>
      <c r="V1408" s="53" t="s">
        <v>5692</v>
      </c>
      <c r="Y1408" t="s">
        <v>70</v>
      </c>
      <c r="Z1408" t="s">
        <v>158</v>
      </c>
    </row>
    <row r="1409" spans="1:26" ht="15" hidden="1" customHeight="1">
      <c r="A1409" s="17">
        <f>ROW() - ROW(Table1[[#Headers],[s]])</f>
        <v>1408</v>
      </c>
      <c r="B1409" t="s">
        <v>5693</v>
      </c>
      <c r="C1409" s="272">
        <v>46204</v>
      </c>
      <c r="D1409" s="19" t="s">
        <v>5694</v>
      </c>
      <c r="E1409" t="s">
        <v>5695</v>
      </c>
      <c r="F1409" t="e" vm="17">
        <v>#VALUE!</v>
      </c>
      <c r="G1409" s="5" t="s">
        <v>1057</v>
      </c>
      <c r="H1409" s="18" t="s">
        <v>152</v>
      </c>
      <c r="I1409" t="s">
        <v>43</v>
      </c>
      <c r="J1409" s="18" t="s">
        <v>153</v>
      </c>
      <c r="K1409" s="42" t="s">
        <v>154</v>
      </c>
      <c r="L1409" s="20">
        <v>46223.519444444442</v>
      </c>
      <c r="M1409" s="55" t="s">
        <v>2659</v>
      </c>
      <c r="N1409" s="55" t="s">
        <v>2659</v>
      </c>
      <c r="O1409" s="20">
        <v>46223.604166666664</v>
      </c>
      <c r="P1409" s="20">
        <v>46223.604166666664</v>
      </c>
      <c r="Q1409" s="20">
        <v>46225.604166666664</v>
      </c>
      <c r="S1409" s="21" t="s">
        <v>5696</v>
      </c>
      <c r="T1409" s="18" t="s">
        <v>2703</v>
      </c>
      <c r="U1409" s="21"/>
      <c r="V1409" s="21" t="s">
        <v>5697</v>
      </c>
      <c r="Y1409" t="s">
        <v>70</v>
      </c>
      <c r="Z1409" t="s">
        <v>158</v>
      </c>
    </row>
    <row r="1410" spans="1:26" ht="15" hidden="1" customHeight="1">
      <c r="A1410" s="17">
        <f>ROW() - ROW(Table1[[#Headers],[s]])</f>
        <v>1409</v>
      </c>
      <c r="B1410" t="s">
        <v>5698</v>
      </c>
      <c r="C1410" s="272">
        <v>46204</v>
      </c>
      <c r="D1410" s="19" t="s">
        <v>5699</v>
      </c>
      <c r="E1410" t="s">
        <v>5700</v>
      </c>
      <c r="F1410" s="5" t="e" vm="25">
        <v>#VALUE!</v>
      </c>
      <c r="G1410" s="5" t="s">
        <v>1057</v>
      </c>
      <c r="H1410" s="18" t="s">
        <v>152</v>
      </c>
      <c r="I1410" t="s">
        <v>43</v>
      </c>
      <c r="J1410" s="18" t="s">
        <v>153</v>
      </c>
      <c r="K1410" s="42" t="s">
        <v>154</v>
      </c>
      <c r="L1410" s="20">
        <v>46223.550694444442</v>
      </c>
      <c r="M1410" s="18" t="s">
        <v>5701</v>
      </c>
      <c r="N1410" s="18" t="s">
        <v>5701</v>
      </c>
      <c r="O1410" s="20">
        <v>46223.604166666664</v>
      </c>
      <c r="P1410" s="20">
        <v>46223.611111111109</v>
      </c>
      <c r="Q1410" s="20">
        <v>46223.620138888888</v>
      </c>
      <c r="S1410" s="21" t="s">
        <v>5702</v>
      </c>
      <c r="T1410" s="55" t="s">
        <v>179</v>
      </c>
      <c r="U1410" s="21"/>
      <c r="V1410" s="21" t="s">
        <v>5703</v>
      </c>
      <c r="Y1410" t="s">
        <v>158</v>
      </c>
      <c r="Z1410" t="s">
        <v>70</v>
      </c>
    </row>
    <row r="1411" spans="1:26" ht="15" hidden="1" customHeight="1">
      <c r="A1411" s="17">
        <f>ROW() - ROW(Table1[[#Headers],[s]])</f>
        <v>1410</v>
      </c>
      <c r="B1411" t="s">
        <v>5516</v>
      </c>
      <c r="C1411" s="272">
        <v>46204</v>
      </c>
      <c r="D1411" s="19" t="s">
        <v>5704</v>
      </c>
      <c r="E1411" t="s">
        <v>5705</v>
      </c>
      <c r="F1411" t="e" vm="5">
        <v>#VALUE!</v>
      </c>
      <c r="G1411" s="5" t="s">
        <v>1057</v>
      </c>
      <c r="H1411" s="18" t="s">
        <v>152</v>
      </c>
      <c r="I1411" t="s">
        <v>43</v>
      </c>
      <c r="J1411" s="18" t="s">
        <v>153</v>
      </c>
      <c r="K1411" s="42" t="s">
        <v>154</v>
      </c>
      <c r="L1411" s="20">
        <v>46223.68472222222</v>
      </c>
      <c r="M1411" s="55" t="s">
        <v>55</v>
      </c>
      <c r="N1411" s="55" t="s">
        <v>55</v>
      </c>
      <c r="O1411" s="20">
        <v>46224.659722222219</v>
      </c>
      <c r="P1411" s="20">
        <v>46224.67291666667</v>
      </c>
      <c r="Q1411" s="20">
        <v>46224.6875</v>
      </c>
      <c r="S1411" s="21" t="s">
        <v>5706</v>
      </c>
      <c r="T1411" s="55" t="s">
        <v>179</v>
      </c>
      <c r="U1411" s="21"/>
      <c r="V1411" s="21" t="s">
        <v>5707</v>
      </c>
      <c r="Y1411" t="s">
        <v>158</v>
      </c>
      <c r="Z1411" t="s">
        <v>70</v>
      </c>
    </row>
    <row r="1412" spans="1:26" ht="15" hidden="1" customHeight="1">
      <c r="A1412" s="17">
        <f>ROW() - ROW(Table1[[#Headers],[s]])</f>
        <v>1411</v>
      </c>
      <c r="B1412" t="s">
        <v>5563</v>
      </c>
      <c r="C1412" s="272">
        <v>46235</v>
      </c>
      <c r="D1412" s="19" t="s">
        <v>5708</v>
      </c>
      <c r="E1412" t="s">
        <v>5709</v>
      </c>
      <c r="F1412" t="e" vm="35">
        <v>#VALUE!</v>
      </c>
      <c r="G1412" s="5" t="s">
        <v>36</v>
      </c>
      <c r="H1412" s="18" t="s">
        <v>152</v>
      </c>
      <c r="I1412" t="s">
        <v>43</v>
      </c>
      <c r="J1412" s="18" t="s">
        <v>153</v>
      </c>
      <c r="K1412" s="20" t="s">
        <v>154</v>
      </c>
      <c r="L1412" s="20">
        <v>46223.706250000003</v>
      </c>
      <c r="M1412" s="18" t="s">
        <v>1255</v>
      </c>
      <c r="N1412" s="18" t="s">
        <v>1255</v>
      </c>
      <c r="O1412" s="20">
        <v>46223.9375</v>
      </c>
      <c r="P1412" s="20"/>
      <c r="Q1412" s="22">
        <v>46223.979166666664</v>
      </c>
      <c r="S1412" s="21" t="s">
        <v>5710</v>
      </c>
      <c r="U1412" s="21"/>
      <c r="V1412" s="21" t="s">
        <v>5710</v>
      </c>
      <c r="Y1412" t="s">
        <v>158</v>
      </c>
      <c r="Z1412" t="s">
        <v>70</v>
      </c>
    </row>
    <row r="1413" spans="1:26" ht="15" hidden="1" customHeight="1">
      <c r="A1413" s="17">
        <f>ROW() - ROW(Table1[[#Headers],[s]])</f>
        <v>1412</v>
      </c>
      <c r="B1413" t="s">
        <v>5711</v>
      </c>
      <c r="C1413" s="272">
        <v>46204</v>
      </c>
      <c r="D1413" s="19" t="s">
        <v>5712</v>
      </c>
      <c r="E1413" t="s">
        <v>5546</v>
      </c>
      <c r="F1413" t="e" vm="5">
        <v>#VALUE!</v>
      </c>
      <c r="G1413" s="5" t="s">
        <v>1057</v>
      </c>
      <c r="H1413" s="18" t="s">
        <v>152</v>
      </c>
      <c r="I1413" t="s">
        <v>43</v>
      </c>
      <c r="J1413" s="18" t="s">
        <v>153</v>
      </c>
      <c r="K1413" s="42" t="s">
        <v>154</v>
      </c>
      <c r="L1413" s="20">
        <v>46223.762499999997</v>
      </c>
      <c r="M1413" s="18" t="s">
        <v>5713</v>
      </c>
      <c r="N1413" s="18" t="s">
        <v>5714</v>
      </c>
      <c r="O1413" s="20">
        <v>46223.847222222219</v>
      </c>
      <c r="P1413" s="20">
        <v>46223.848611111112</v>
      </c>
      <c r="Q1413" s="20">
        <v>46224.506944444445</v>
      </c>
      <c r="S1413" s="21" t="s">
        <v>5715</v>
      </c>
      <c r="T1413" s="18" t="s">
        <v>266</v>
      </c>
      <c r="U1413" s="21"/>
      <c r="V1413" s="21" t="s">
        <v>5716</v>
      </c>
      <c r="Y1413" t="s">
        <v>158</v>
      </c>
      <c r="Z1413" t="s">
        <v>158</v>
      </c>
    </row>
    <row r="1414" spans="1:26" ht="15" hidden="1" customHeight="1">
      <c r="A1414" s="17">
        <f>ROW() - ROW(Table1[[#Headers],[s]])</f>
        <v>1413</v>
      </c>
      <c r="B1414" t="s">
        <v>5717</v>
      </c>
      <c r="C1414" s="272">
        <v>46204</v>
      </c>
      <c r="D1414" s="19" t="s">
        <v>5718</v>
      </c>
      <c r="E1414" t="s">
        <v>5719</v>
      </c>
      <c r="F1414" s="5" t="e" vm="37">
        <v>#VALUE!</v>
      </c>
      <c r="G1414" s="5" t="s">
        <v>1057</v>
      </c>
      <c r="H1414" s="18" t="s">
        <v>152</v>
      </c>
      <c r="I1414" t="s">
        <v>43</v>
      </c>
      <c r="J1414" s="18" t="s">
        <v>153</v>
      </c>
      <c r="K1414" s="42" t="s">
        <v>154</v>
      </c>
      <c r="L1414" s="20">
        <v>46223.772222222222</v>
      </c>
      <c r="M1414" s="18" t="s">
        <v>1023</v>
      </c>
      <c r="N1414" s="18" t="s">
        <v>1023</v>
      </c>
      <c r="O1414" s="20">
        <v>46223.772222222222</v>
      </c>
      <c r="P1414" s="20">
        <v>46223.772222222222</v>
      </c>
      <c r="Q1414" s="20">
        <v>46223.772222222222</v>
      </c>
      <c r="S1414" s="21" t="s">
        <v>5720</v>
      </c>
      <c r="T1414" s="55" t="s">
        <v>179</v>
      </c>
      <c r="U1414" s="21"/>
      <c r="V1414" s="21" t="s">
        <v>5721</v>
      </c>
      <c r="Y1414" t="s">
        <v>158</v>
      </c>
      <c r="Z1414" t="s">
        <v>70</v>
      </c>
    </row>
    <row r="1415" spans="1:26" ht="15" hidden="1" customHeight="1">
      <c r="A1415" s="17">
        <f>ROW() - ROW(Table1[[#Headers],[s]])</f>
        <v>1414</v>
      </c>
      <c r="B1415" s="223" t="s">
        <v>5722</v>
      </c>
      <c r="C1415" s="272">
        <v>46204</v>
      </c>
      <c r="D1415" s="19" t="s">
        <v>5723</v>
      </c>
      <c r="E1415" t="s">
        <v>5411</v>
      </c>
      <c r="F1415" s="5" t="e" vm="25">
        <v>#VALUE!</v>
      </c>
      <c r="G1415" s="5" t="s">
        <v>174</v>
      </c>
      <c r="H1415" s="18" t="s">
        <v>152</v>
      </c>
      <c r="J1415" s="18" t="s">
        <v>153</v>
      </c>
      <c r="K1415" s="42" t="s">
        <v>154</v>
      </c>
      <c r="L1415" s="20">
        <v>46224.409722222219</v>
      </c>
      <c r="M1415" s="18" t="s">
        <v>352</v>
      </c>
      <c r="N1415" s="18" t="s">
        <v>352</v>
      </c>
      <c r="O1415" s="20">
        <v>46224.479166666664</v>
      </c>
      <c r="P1415" s="20">
        <v>46224.520833333336</v>
      </c>
      <c r="Q1415" s="20">
        <v>46224.576388888891</v>
      </c>
      <c r="S1415" s="21" t="s">
        <v>5724</v>
      </c>
      <c r="T1415" s="18" t="s">
        <v>2765</v>
      </c>
      <c r="U1415" s="21"/>
      <c r="V1415" s="21" t="s">
        <v>4225</v>
      </c>
      <c r="Y1415" t="s">
        <v>158</v>
      </c>
      <c r="Z1415" t="s">
        <v>70</v>
      </c>
    </row>
    <row r="1416" spans="1:26" ht="15" hidden="1" customHeight="1">
      <c r="A1416" s="17">
        <f>ROW() - ROW(Table1[[#Headers],[s]])</f>
        <v>1415</v>
      </c>
      <c r="B1416" s="223" t="s">
        <v>5725</v>
      </c>
      <c r="C1416" s="272">
        <v>46204</v>
      </c>
      <c r="D1416" s="19" t="s">
        <v>5726</v>
      </c>
      <c r="E1416" t="s">
        <v>5727</v>
      </c>
      <c r="F1416" s="5" t="e" vm="25">
        <v>#VALUE!</v>
      </c>
      <c r="G1416" s="5" t="s">
        <v>174</v>
      </c>
      <c r="H1416" s="18" t="s">
        <v>152</v>
      </c>
      <c r="J1416" s="18" t="s">
        <v>153</v>
      </c>
      <c r="K1416" s="42" t="s">
        <v>154</v>
      </c>
      <c r="L1416" s="20">
        <v>46224.525694444441</v>
      </c>
      <c r="M1416" s="18" t="s">
        <v>57</v>
      </c>
      <c r="N1416" s="18" t="s">
        <v>57</v>
      </c>
      <c r="O1416" s="20">
        <v>46224.583333333336</v>
      </c>
      <c r="P1416" s="20">
        <v>46224.59375</v>
      </c>
      <c r="Q1416" s="20">
        <v>46224.6875</v>
      </c>
      <c r="S1416" s="21" t="s">
        <v>5728</v>
      </c>
      <c r="U1416" s="21"/>
      <c r="V1416" s="21" t="s">
        <v>2694</v>
      </c>
      <c r="Y1416" t="s">
        <v>158</v>
      </c>
      <c r="Z1416" t="s">
        <v>70</v>
      </c>
    </row>
    <row r="1417" spans="1:26" ht="15" hidden="1" customHeight="1">
      <c r="A1417" s="17">
        <f>ROW() - ROW(Table1[[#Headers],[s]])</f>
        <v>1416</v>
      </c>
      <c r="B1417" t="s">
        <v>5729</v>
      </c>
      <c r="C1417" s="272">
        <v>46204</v>
      </c>
      <c r="D1417" s="19" t="s">
        <v>5730</v>
      </c>
      <c r="E1417" t="s">
        <v>5237</v>
      </c>
      <c r="F1417" s="5" t="e" vm="37">
        <v>#VALUE!</v>
      </c>
      <c r="G1417" s="5" t="s">
        <v>174</v>
      </c>
      <c r="H1417" s="18" t="s">
        <v>747</v>
      </c>
      <c r="J1417" s="18" t="s">
        <v>253</v>
      </c>
      <c r="K1417" s="42" t="s">
        <v>154</v>
      </c>
      <c r="L1417" s="20">
        <v>46224.363888888889</v>
      </c>
      <c r="M1417" s="18" t="s">
        <v>59</v>
      </c>
      <c r="N1417" s="18" t="s">
        <v>59</v>
      </c>
      <c r="O1417" s="20">
        <v>46224.416666666664</v>
      </c>
      <c r="P1417" s="20">
        <v>46224.447916666664</v>
      </c>
      <c r="Q1417" s="20">
        <v>46224.493750000001</v>
      </c>
      <c r="S1417" s="21" t="s">
        <v>5731</v>
      </c>
      <c r="U1417" s="21"/>
      <c r="V1417" s="21" t="s">
        <v>2589</v>
      </c>
      <c r="Y1417" t="s">
        <v>158</v>
      </c>
      <c r="Z1417" t="s">
        <v>70</v>
      </c>
    </row>
    <row r="1418" spans="1:26" ht="15" hidden="1" customHeight="1">
      <c r="A1418" s="17">
        <f>ROW() - ROW(Table1[[#Headers],[s]])</f>
        <v>1417</v>
      </c>
      <c r="B1418" t="s">
        <v>5732</v>
      </c>
      <c r="C1418" s="272">
        <v>46204</v>
      </c>
      <c r="D1418" s="19" t="s">
        <v>5733</v>
      </c>
      <c r="E1418" t="s">
        <v>5474</v>
      </c>
      <c r="F1418" s="5" t="e" vm="2">
        <v>#VALUE!</v>
      </c>
      <c r="G1418" s="5" t="s">
        <v>174</v>
      </c>
      <c r="H1418" s="18" t="s">
        <v>152</v>
      </c>
      <c r="J1418" s="18" t="s">
        <v>153</v>
      </c>
      <c r="K1418" s="42" t="s">
        <v>154</v>
      </c>
      <c r="L1418" s="20">
        <v>46224.670138888891</v>
      </c>
      <c r="M1418" s="18" t="s">
        <v>162</v>
      </c>
      <c r="N1418" s="18" t="s">
        <v>162</v>
      </c>
      <c r="O1418" s="20">
        <v>46224.715277777781</v>
      </c>
      <c r="P1418" s="20">
        <v>46224.729166666664</v>
      </c>
      <c r="Q1418" s="20">
        <v>46224.770833333336</v>
      </c>
      <c r="S1418" s="21" t="s">
        <v>5734</v>
      </c>
      <c r="T1418" s="18" t="s">
        <v>2765</v>
      </c>
      <c r="U1418" s="21"/>
      <c r="V1418" s="21" t="s">
        <v>3012</v>
      </c>
      <c r="Y1418" t="s">
        <v>158</v>
      </c>
      <c r="Z1418" t="s">
        <v>70</v>
      </c>
    </row>
    <row r="1419" spans="1:26" ht="15" hidden="1" customHeight="1">
      <c r="A1419" s="17">
        <f>ROW() - ROW(Table1[[#Headers],[s]])</f>
        <v>1418</v>
      </c>
      <c r="B1419" t="s">
        <v>3230</v>
      </c>
      <c r="C1419" s="272">
        <v>46204</v>
      </c>
      <c r="D1419" s="19" t="s">
        <v>5735</v>
      </c>
      <c r="E1419" t="s">
        <v>5736</v>
      </c>
      <c r="F1419" s="5" t="e" vm="2">
        <v>#VALUE!</v>
      </c>
      <c r="G1419" s="5" t="s">
        <v>174</v>
      </c>
      <c r="H1419" s="18" t="s">
        <v>152</v>
      </c>
      <c r="J1419" s="18" t="s">
        <v>153</v>
      </c>
      <c r="K1419" s="42" t="s">
        <v>154</v>
      </c>
      <c r="L1419" s="20">
        <v>46224.552083333336</v>
      </c>
      <c r="M1419" s="18" t="s">
        <v>162</v>
      </c>
      <c r="N1419" s="18" t="s">
        <v>162</v>
      </c>
      <c r="O1419" s="3"/>
      <c r="P1419" s="22"/>
      <c r="Q1419" s="22">
        <v>46225.375</v>
      </c>
      <c r="S1419" s="21" t="s">
        <v>5737</v>
      </c>
      <c r="T1419" s="55" t="s">
        <v>164</v>
      </c>
      <c r="U1419" s="21"/>
      <c r="V1419" s="240" t="s">
        <v>5738</v>
      </c>
      <c r="Y1419" t="s">
        <v>158</v>
      </c>
      <c r="Z1419" t="s">
        <v>70</v>
      </c>
    </row>
    <row r="1420" spans="1:26" ht="15" hidden="1" customHeight="1">
      <c r="A1420" s="17">
        <f>ROW() - ROW(Table1[[#Headers],[s]])</f>
        <v>1419</v>
      </c>
      <c r="B1420" t="s">
        <v>5739</v>
      </c>
      <c r="C1420" s="272">
        <v>46204</v>
      </c>
      <c r="D1420" s="19" t="s">
        <v>5740</v>
      </c>
      <c r="E1420" t="s">
        <v>5727</v>
      </c>
      <c r="F1420" s="5" t="e" vm="25">
        <v>#VALUE!</v>
      </c>
      <c r="G1420" s="5" t="s">
        <v>36</v>
      </c>
      <c r="H1420" s="18" t="s">
        <v>152</v>
      </c>
      <c r="I1420" t="s">
        <v>43</v>
      </c>
      <c r="J1420" s="18" t="s">
        <v>153</v>
      </c>
      <c r="K1420" s="20" t="s">
        <v>154</v>
      </c>
      <c r="L1420" s="20">
        <v>46224.623611111114</v>
      </c>
      <c r="M1420" s="18" t="s">
        <v>352</v>
      </c>
      <c r="N1420" s="18" t="s">
        <v>352</v>
      </c>
      <c r="O1420" s="3"/>
      <c r="P1420" s="22"/>
      <c r="Q1420" s="22">
        <v>46225.652777777781</v>
      </c>
      <c r="S1420" s="21" t="s">
        <v>5741</v>
      </c>
      <c r="T1420" s="18" t="s">
        <v>164</v>
      </c>
      <c r="U1420" s="21"/>
      <c r="V1420" s="21" t="s">
        <v>5742</v>
      </c>
      <c r="Z1420" t="s">
        <v>70</v>
      </c>
    </row>
    <row r="1421" spans="1:26" ht="15" hidden="1" customHeight="1">
      <c r="A1421" s="17">
        <f>ROW() - ROW(Table1[[#Headers],[s]])</f>
        <v>1420</v>
      </c>
      <c r="B1421" s="18" t="s">
        <v>5743</v>
      </c>
      <c r="C1421" s="272">
        <v>46204</v>
      </c>
      <c r="D1421" s="19" t="s">
        <v>5744</v>
      </c>
      <c r="E1421" t="s">
        <v>5233</v>
      </c>
      <c r="F1421" s="5" t="e" vm="10">
        <v>#VALUE!</v>
      </c>
      <c r="G1421" s="5" t="s">
        <v>36</v>
      </c>
      <c r="H1421" s="18" t="s">
        <v>152</v>
      </c>
      <c r="I1421" t="s">
        <v>43</v>
      </c>
      <c r="J1421" s="18" t="s">
        <v>153</v>
      </c>
      <c r="K1421" s="20" t="s">
        <v>154</v>
      </c>
      <c r="L1421" s="20">
        <v>46224.674305555556</v>
      </c>
      <c r="M1421" s="18" t="s">
        <v>78</v>
      </c>
      <c r="N1421" s="55" t="s">
        <v>78</v>
      </c>
      <c r="O1421" s="3"/>
      <c r="P1421" s="22"/>
      <c r="Q1421" s="22">
        <v>46225.45</v>
      </c>
      <c r="S1421" s="21" t="s">
        <v>5745</v>
      </c>
      <c r="T1421" s="55" t="s">
        <v>164</v>
      </c>
      <c r="U1421" s="21"/>
      <c r="V1421" s="21" t="s">
        <v>5746</v>
      </c>
      <c r="Y1421" t="s">
        <v>158</v>
      </c>
      <c r="Z1421" t="s">
        <v>70</v>
      </c>
    </row>
    <row r="1422" spans="1:26" ht="15" hidden="1" customHeight="1">
      <c r="A1422" s="17">
        <f>ROW() - ROW(Table1[[#Headers],[s]])</f>
        <v>1421</v>
      </c>
      <c r="B1422" t="s">
        <v>5747</v>
      </c>
      <c r="C1422" s="272">
        <v>46204</v>
      </c>
      <c r="D1422" s="19" t="s">
        <v>5748</v>
      </c>
      <c r="E1422" t="s">
        <v>5411</v>
      </c>
      <c r="F1422" s="5" t="e" vm="25">
        <v>#VALUE!</v>
      </c>
      <c r="G1422" s="5" t="s">
        <v>36</v>
      </c>
      <c r="H1422" s="18" t="s">
        <v>152</v>
      </c>
      <c r="I1422" t="s">
        <v>43</v>
      </c>
      <c r="J1422" s="18" t="s">
        <v>153</v>
      </c>
      <c r="K1422" s="20" t="s">
        <v>154</v>
      </c>
      <c r="L1422" s="20">
        <v>46224.743055555555</v>
      </c>
      <c r="M1422" s="18" t="s">
        <v>352</v>
      </c>
      <c r="N1422" s="18" t="s">
        <v>352</v>
      </c>
      <c r="O1422" s="3"/>
      <c r="P1422" s="22"/>
      <c r="Q1422" s="22">
        <v>46225.520833333336</v>
      </c>
      <c r="S1422" s="21" t="s">
        <v>5749</v>
      </c>
      <c r="T1422" s="18" t="s">
        <v>164</v>
      </c>
      <c r="U1422" s="21"/>
      <c r="V1422" s="21" t="s">
        <v>5750</v>
      </c>
      <c r="Y1422" t="s">
        <v>158</v>
      </c>
      <c r="Z1422" t="s">
        <v>70</v>
      </c>
    </row>
    <row r="1423" spans="1:26" ht="15" hidden="1" customHeight="1">
      <c r="A1423" s="17">
        <f>ROW() - ROW(Table1[[#Headers],[s]])</f>
        <v>1422</v>
      </c>
      <c r="B1423" t="s">
        <v>5751</v>
      </c>
      <c r="C1423" s="272">
        <v>46204</v>
      </c>
      <c r="D1423" s="19" t="s">
        <v>5752</v>
      </c>
      <c r="E1423" t="s">
        <v>5727</v>
      </c>
      <c r="F1423" s="5" t="e" vm="25">
        <v>#VALUE!</v>
      </c>
      <c r="G1423" s="5" t="s">
        <v>36</v>
      </c>
      <c r="H1423" s="18" t="s">
        <v>152</v>
      </c>
      <c r="I1423" t="s">
        <v>43</v>
      </c>
      <c r="J1423" s="18" t="s">
        <v>153</v>
      </c>
      <c r="K1423" s="20" t="s">
        <v>154</v>
      </c>
      <c r="L1423" s="20">
        <v>46224.745833333334</v>
      </c>
      <c r="M1423" s="18" t="s">
        <v>352</v>
      </c>
      <c r="N1423" s="18" t="s">
        <v>352</v>
      </c>
      <c r="O1423" s="3"/>
      <c r="P1423" s="22"/>
      <c r="Q1423" s="22">
        <v>46225.565972222219</v>
      </c>
      <c r="S1423" s="21" t="s">
        <v>5753</v>
      </c>
      <c r="T1423" s="18" t="s">
        <v>164</v>
      </c>
      <c r="U1423" s="21"/>
      <c r="V1423" s="21" t="s">
        <v>5754</v>
      </c>
      <c r="Y1423" t="s">
        <v>158</v>
      </c>
      <c r="Z1423" t="s">
        <v>70</v>
      </c>
    </row>
    <row r="1424" spans="1:26" ht="15" hidden="1" customHeight="1">
      <c r="A1424" s="17">
        <f>ROW() - ROW(Table1[[#Headers],[s]])</f>
        <v>1423</v>
      </c>
      <c r="B1424" t="s">
        <v>5755</v>
      </c>
      <c r="C1424" s="272">
        <v>46204</v>
      </c>
      <c r="D1424" s="308" t="s">
        <v>5756</v>
      </c>
      <c r="E1424" t="s">
        <v>150</v>
      </c>
      <c r="F1424" s="42" t="e" vm="1">
        <v>#VALUE!</v>
      </c>
      <c r="G1424" s="5" t="s">
        <v>174</v>
      </c>
      <c r="H1424" s="18" t="s">
        <v>152</v>
      </c>
      <c r="J1424" s="18" t="s">
        <v>153</v>
      </c>
      <c r="K1424" s="42" t="s">
        <v>154</v>
      </c>
      <c r="L1424" s="20">
        <v>46224.756249999999</v>
      </c>
      <c r="M1424" s="18" t="s">
        <v>1937</v>
      </c>
      <c r="N1424" s="18" t="s">
        <v>1937</v>
      </c>
      <c r="O1424" s="20">
        <v>46224.791666666664</v>
      </c>
      <c r="P1424" s="20">
        <v>46224.819444444445</v>
      </c>
      <c r="Q1424" s="20">
        <v>46224.864583333336</v>
      </c>
      <c r="S1424" s="21" t="s">
        <v>5757</v>
      </c>
      <c r="T1424" s="18" t="s">
        <v>516</v>
      </c>
      <c r="U1424" s="21"/>
      <c r="V1424" s="21" t="s">
        <v>5758</v>
      </c>
      <c r="Y1424" t="s">
        <v>158</v>
      </c>
      <c r="Z1424" t="s">
        <v>70</v>
      </c>
    </row>
    <row r="1425" spans="1:26" ht="15" hidden="1" customHeight="1">
      <c r="A1425" s="17">
        <f>ROW() - ROW(Table1[[#Headers],[s]])</f>
        <v>1424</v>
      </c>
      <c r="B1425" t="s">
        <v>5759</v>
      </c>
      <c r="C1425" s="272">
        <v>46204</v>
      </c>
      <c r="D1425" s="19" t="s">
        <v>5760</v>
      </c>
      <c r="E1425" t="s">
        <v>5761</v>
      </c>
      <c r="F1425" s="5" t="e" vm="2">
        <v>#VALUE!</v>
      </c>
      <c r="G1425" s="5" t="s">
        <v>174</v>
      </c>
      <c r="H1425" s="18" t="s">
        <v>747</v>
      </c>
      <c r="J1425" s="18" t="s">
        <v>253</v>
      </c>
      <c r="K1425" s="42" t="s">
        <v>154</v>
      </c>
      <c r="L1425" s="20">
        <v>46224.484722222223</v>
      </c>
      <c r="M1425" s="18" t="s">
        <v>162</v>
      </c>
      <c r="N1425" s="18" t="s">
        <v>162</v>
      </c>
      <c r="O1425" s="20">
        <v>46224.520833333336</v>
      </c>
      <c r="P1425" s="20">
        <v>46224.541666666664</v>
      </c>
      <c r="Q1425" s="20">
        <v>46224.625</v>
      </c>
      <c r="S1425" s="21" t="s">
        <v>5762</v>
      </c>
      <c r="U1425" s="21"/>
      <c r="V1425" s="21" t="s">
        <v>5763</v>
      </c>
      <c r="Y1425" t="s">
        <v>158</v>
      </c>
      <c r="Z1425" t="s">
        <v>158</v>
      </c>
    </row>
    <row r="1426" spans="1:26" ht="15" hidden="1" customHeight="1">
      <c r="A1426" s="17">
        <f>ROW() - ROW(Table1[[#Headers],[s]])</f>
        <v>1425</v>
      </c>
      <c r="B1426" t="s">
        <v>5751</v>
      </c>
      <c r="C1426" s="181" t="s">
        <v>60</v>
      </c>
      <c r="D1426" s="19" t="s">
        <v>5764</v>
      </c>
      <c r="E1426" t="s">
        <v>5727</v>
      </c>
      <c r="F1426" s="5" t="e" vm="25">
        <v>#VALUE!</v>
      </c>
      <c r="G1426" s="5" t="s">
        <v>36</v>
      </c>
      <c r="H1426" s="18" t="s">
        <v>152</v>
      </c>
      <c r="I1426" s="23" t="s">
        <v>60</v>
      </c>
      <c r="J1426" s="18" t="s">
        <v>153</v>
      </c>
      <c r="K1426" s="42" t="s">
        <v>154</v>
      </c>
      <c r="L1426" s="20">
        <v>46225.390277777777</v>
      </c>
      <c r="M1426" s="18" t="s">
        <v>352</v>
      </c>
      <c r="N1426" s="18" t="s">
        <v>352</v>
      </c>
      <c r="O1426" s="3"/>
      <c r="P1426" s="22"/>
      <c r="Q1426" s="22">
        <v>46225.565972222219</v>
      </c>
      <c r="S1426" s="364" t="s">
        <v>5765</v>
      </c>
      <c r="T1426" s="18" t="s">
        <v>178</v>
      </c>
      <c r="U1426" s="21"/>
      <c r="V1426" s="364" t="s">
        <v>5765</v>
      </c>
      <c r="Y1426" t="s">
        <v>179</v>
      </c>
      <c r="Z1426" t="s">
        <v>179</v>
      </c>
    </row>
    <row r="1427" spans="1:26" ht="15" hidden="1" customHeight="1">
      <c r="A1427" s="60">
        <f>ROW() - ROW(Table1[[#Headers],[s]])</f>
        <v>1426</v>
      </c>
      <c r="B1427" t="s">
        <v>5766</v>
      </c>
      <c r="C1427" s="272">
        <v>46204</v>
      </c>
      <c r="D1427" s="19" t="s">
        <v>5767</v>
      </c>
      <c r="E1427" t="s">
        <v>5768</v>
      </c>
      <c r="F1427" s="5" t="e" vm="10">
        <v>#VALUE!</v>
      </c>
      <c r="G1427" s="5" t="s">
        <v>36</v>
      </c>
      <c r="H1427" s="18" t="s">
        <v>245</v>
      </c>
      <c r="I1427" t="s">
        <v>43</v>
      </c>
      <c r="J1427" s="18" t="s">
        <v>253</v>
      </c>
      <c r="K1427" s="44" t="s">
        <v>154</v>
      </c>
      <c r="L1427" s="20">
        <v>46225.413194444445</v>
      </c>
      <c r="M1427" s="18" t="s">
        <v>78</v>
      </c>
      <c r="N1427" s="55" t="s">
        <v>78</v>
      </c>
      <c r="O1427" s="3"/>
      <c r="P1427" s="22"/>
      <c r="Q1427" s="22">
        <v>46225.695138888892</v>
      </c>
      <c r="S1427" s="21" t="s">
        <v>861</v>
      </c>
      <c r="T1427" s="18" t="s">
        <v>5769</v>
      </c>
      <c r="U1427" s="21"/>
      <c r="V1427" s="21" t="s">
        <v>4486</v>
      </c>
      <c r="Y1427" t="s">
        <v>158</v>
      </c>
      <c r="Z1427" t="s">
        <v>158</v>
      </c>
    </row>
    <row r="1428" spans="1:26" ht="15" hidden="1" customHeight="1">
      <c r="A1428" s="60">
        <f>ROW() - ROW(Table1[[#Headers],[s]])</f>
        <v>1427</v>
      </c>
      <c r="B1428" t="s">
        <v>5770</v>
      </c>
      <c r="C1428" s="272">
        <v>46204</v>
      </c>
      <c r="D1428" s="19" t="s">
        <v>5771</v>
      </c>
      <c r="E1428" t="s">
        <v>5201</v>
      </c>
      <c r="F1428" t="e" vm="16">
        <v>#VALUE!</v>
      </c>
      <c r="G1428" s="5" t="s">
        <v>36</v>
      </c>
      <c r="H1428" s="18" t="s">
        <v>152</v>
      </c>
      <c r="I1428" s="23" t="s">
        <v>43</v>
      </c>
      <c r="J1428" s="18" t="s">
        <v>153</v>
      </c>
      <c r="K1428" s="20" t="s">
        <v>154</v>
      </c>
      <c r="L1428" s="20">
        <v>46225.497916666667</v>
      </c>
      <c r="M1428" s="18" t="s">
        <v>85</v>
      </c>
      <c r="N1428" s="18" t="s">
        <v>85</v>
      </c>
      <c r="O1428" s="3"/>
      <c r="P1428" s="22"/>
      <c r="Q1428" s="22">
        <v>46225.796527777777</v>
      </c>
      <c r="S1428" s="21" t="s">
        <v>5772</v>
      </c>
      <c r="T1428" s="18" t="s">
        <v>164</v>
      </c>
      <c r="U1428" s="21"/>
      <c r="V1428" s="21" t="s">
        <v>5773</v>
      </c>
      <c r="Y1428" t="s">
        <v>158</v>
      </c>
      <c r="Z1428" t="s">
        <v>52</v>
      </c>
    </row>
    <row r="1429" spans="1:26" ht="15" hidden="1" customHeight="1">
      <c r="A1429" s="17">
        <f>ROW() - ROW(Table1[[#Headers],[s]])</f>
        <v>1428</v>
      </c>
      <c r="B1429" t="s">
        <v>5698</v>
      </c>
      <c r="C1429" s="272">
        <v>46204</v>
      </c>
      <c r="D1429" s="19" t="s">
        <v>5774</v>
      </c>
      <c r="E1429" t="s">
        <v>5727</v>
      </c>
      <c r="F1429" s="5" t="e" vm="25">
        <v>#VALUE!</v>
      </c>
      <c r="G1429" s="5" t="s">
        <v>36</v>
      </c>
      <c r="H1429" s="18" t="s">
        <v>152</v>
      </c>
      <c r="I1429" t="s">
        <v>43</v>
      </c>
      <c r="J1429" s="18" t="s">
        <v>153</v>
      </c>
      <c r="K1429" s="20" t="s">
        <v>154</v>
      </c>
      <c r="L1429" s="20">
        <v>46225.527083333334</v>
      </c>
      <c r="M1429" s="18" t="s">
        <v>5775</v>
      </c>
      <c r="N1429" s="18" t="s">
        <v>5775</v>
      </c>
      <c r="O1429" s="3"/>
      <c r="P1429" s="22"/>
      <c r="Q1429" s="22">
        <v>46225.743055555555</v>
      </c>
      <c r="S1429" s="21" t="s">
        <v>5776</v>
      </c>
      <c r="T1429" s="18" t="s">
        <v>164</v>
      </c>
      <c r="U1429" s="21"/>
      <c r="V1429" s="21" t="s">
        <v>5777</v>
      </c>
      <c r="Y1429" t="s">
        <v>158</v>
      </c>
      <c r="Z1429" t="s">
        <v>52</v>
      </c>
    </row>
    <row r="1430" spans="1:26" ht="15" hidden="1" customHeight="1">
      <c r="A1430" s="60">
        <f>ROW() - ROW(Table1[[#Headers],[s]])</f>
        <v>1429</v>
      </c>
      <c r="B1430" t="s">
        <v>5778</v>
      </c>
      <c r="C1430" s="272">
        <v>46204</v>
      </c>
      <c r="D1430" s="19" t="s">
        <v>5779</v>
      </c>
      <c r="E1430" t="s">
        <v>5727</v>
      </c>
      <c r="F1430" s="5" t="e" vm="25">
        <v>#VALUE!</v>
      </c>
      <c r="G1430" s="5" t="s">
        <v>36</v>
      </c>
      <c r="H1430" s="18" t="s">
        <v>152</v>
      </c>
      <c r="I1430" s="23" t="s">
        <v>43</v>
      </c>
      <c r="J1430" s="18" t="s">
        <v>153</v>
      </c>
      <c r="K1430" s="44" t="s">
        <v>154</v>
      </c>
      <c r="L1430" s="20">
        <v>46225.529861111114</v>
      </c>
      <c r="M1430" s="18" t="s">
        <v>5780</v>
      </c>
      <c r="N1430" s="18" t="s">
        <v>5780</v>
      </c>
      <c r="O1430" s="3"/>
      <c r="P1430" s="22"/>
      <c r="Q1430" s="22">
        <v>46225.681250000001</v>
      </c>
      <c r="S1430" s="21" t="s">
        <v>5781</v>
      </c>
      <c r="T1430" s="18" t="s">
        <v>164</v>
      </c>
      <c r="U1430" s="21"/>
      <c r="V1430" s="21" t="s">
        <v>5782</v>
      </c>
      <c r="Y1430" t="s">
        <v>158</v>
      </c>
      <c r="Z1430" t="s">
        <v>52</v>
      </c>
    </row>
    <row r="1431" spans="1:26" ht="15" hidden="1" customHeight="1">
      <c r="A1431" s="60">
        <f>ROW() - ROW(Table1[[#Headers],[s]])</f>
        <v>1430</v>
      </c>
      <c r="B1431" t="s">
        <v>5783</v>
      </c>
      <c r="C1431" s="272">
        <v>46204</v>
      </c>
      <c r="D1431" s="19" t="s">
        <v>5784</v>
      </c>
      <c r="E1431" t="s">
        <v>5785</v>
      </c>
      <c r="F1431" s="5" t="e" vm="25">
        <v>#VALUE!</v>
      </c>
      <c r="G1431" s="5" t="s">
        <v>36</v>
      </c>
      <c r="H1431" s="18" t="s">
        <v>152</v>
      </c>
      <c r="I1431" t="s">
        <v>43</v>
      </c>
      <c r="J1431" s="18" t="s">
        <v>153</v>
      </c>
      <c r="K1431" s="20" t="s">
        <v>154</v>
      </c>
      <c r="L1431" s="20">
        <v>46225.535416666666</v>
      </c>
      <c r="M1431" s="18" t="s">
        <v>5775</v>
      </c>
      <c r="N1431" s="18" t="s">
        <v>5775</v>
      </c>
      <c r="O1431" s="3"/>
      <c r="P1431" s="22"/>
      <c r="Q1431" s="22">
        <v>46225.663194444445</v>
      </c>
      <c r="S1431" s="21" t="s">
        <v>5786</v>
      </c>
      <c r="T1431" s="18" t="s">
        <v>4252</v>
      </c>
      <c r="U1431" s="21"/>
      <c r="V1431" s="21" t="s">
        <v>5787</v>
      </c>
      <c r="Y1431" t="s">
        <v>158</v>
      </c>
      <c r="Z1431" t="s">
        <v>52</v>
      </c>
    </row>
    <row r="1432" spans="1:26" ht="15" hidden="1" customHeight="1">
      <c r="A1432" s="17">
        <f>ROW() - ROW(Table1[[#Headers],[s]])</f>
        <v>1431</v>
      </c>
      <c r="B1432" t="s">
        <v>5788</v>
      </c>
      <c r="C1432" s="272">
        <v>46204</v>
      </c>
      <c r="D1432" s="19" t="s">
        <v>5789</v>
      </c>
      <c r="E1432" t="s">
        <v>5216</v>
      </c>
      <c r="F1432" t="e" vm="49">
        <v>#VALUE!</v>
      </c>
      <c r="G1432" s="5" t="s">
        <v>36</v>
      </c>
      <c r="H1432" s="18" t="s">
        <v>152</v>
      </c>
      <c r="I1432" s="23" t="s">
        <v>43</v>
      </c>
      <c r="J1432" s="18" t="s">
        <v>153</v>
      </c>
      <c r="K1432" s="20" t="s">
        <v>154</v>
      </c>
      <c r="L1432" s="20">
        <v>46225.586805555555</v>
      </c>
      <c r="M1432" s="18" t="s">
        <v>227</v>
      </c>
      <c r="N1432" s="18" t="s">
        <v>227</v>
      </c>
      <c r="O1432" s="3"/>
      <c r="P1432" s="22"/>
      <c r="Q1432" s="22">
        <v>46225.996527777781</v>
      </c>
      <c r="S1432" s="21" t="s">
        <v>5790</v>
      </c>
      <c r="T1432" s="18" t="s">
        <v>164</v>
      </c>
      <c r="U1432" s="21"/>
      <c r="V1432" s="21" t="s">
        <v>5791</v>
      </c>
      <c r="Y1432" t="s">
        <v>158</v>
      </c>
      <c r="Z1432" t="s">
        <v>52</v>
      </c>
    </row>
    <row r="1433" spans="1:26" ht="15" hidden="1" customHeight="1">
      <c r="A1433" s="60">
        <f>ROW() - ROW(Table1[[#Headers],[s]])</f>
        <v>1432</v>
      </c>
      <c r="B1433" t="s">
        <v>4190</v>
      </c>
      <c r="C1433" s="163">
        <v>46204</v>
      </c>
      <c r="D1433" s="52" t="s">
        <v>5792</v>
      </c>
      <c r="E1433" t="s">
        <v>5793</v>
      </c>
      <c r="F1433" s="5" t="e" vm="39">
        <v>#VALUE!</v>
      </c>
      <c r="G1433" s="5" t="s">
        <v>36</v>
      </c>
      <c r="H1433" s="18" t="s">
        <v>152</v>
      </c>
      <c r="I1433" s="23" t="s">
        <v>43</v>
      </c>
      <c r="J1433" s="18" t="s">
        <v>153</v>
      </c>
      <c r="K1433" s="20" t="s">
        <v>154</v>
      </c>
      <c r="L1433" s="20">
        <v>46225.604861111111</v>
      </c>
      <c r="M1433" s="18" t="s">
        <v>162</v>
      </c>
      <c r="N1433" s="55" t="s">
        <v>162</v>
      </c>
      <c r="O1433" s="56"/>
      <c r="P1433" s="22"/>
      <c r="Q1433" s="58">
        <v>46225.816666666666</v>
      </c>
      <c r="S1433" s="21" t="s">
        <v>5794</v>
      </c>
      <c r="T1433" s="55" t="s">
        <v>4252</v>
      </c>
      <c r="U1433" s="21"/>
      <c r="V1433" s="53" t="s">
        <v>5795</v>
      </c>
      <c r="Y1433" t="s">
        <v>158</v>
      </c>
      <c r="Z1433" t="s">
        <v>70</v>
      </c>
    </row>
    <row r="1434" spans="1:26" ht="15" hidden="1" customHeight="1">
      <c r="A1434" s="60">
        <f>ROW() - ROW(Table1[[#Headers],[s]])</f>
        <v>1433</v>
      </c>
      <c r="B1434" t="s">
        <v>5796</v>
      </c>
      <c r="C1434" s="163">
        <v>46204</v>
      </c>
      <c r="D1434" s="52" t="s">
        <v>5797</v>
      </c>
      <c r="E1434" t="s">
        <v>5798</v>
      </c>
      <c r="F1434" t="e" vm="12">
        <v>#VALUE!</v>
      </c>
      <c r="G1434" s="5" t="s">
        <v>36</v>
      </c>
      <c r="H1434" s="18" t="s">
        <v>152</v>
      </c>
      <c r="I1434" t="s">
        <v>43</v>
      </c>
      <c r="J1434" s="18" t="s">
        <v>153</v>
      </c>
      <c r="K1434" s="20" t="s">
        <v>154</v>
      </c>
      <c r="L1434" s="20">
        <v>46225.622916666667</v>
      </c>
      <c r="M1434" s="55" t="s">
        <v>55</v>
      </c>
      <c r="N1434" s="55" t="s">
        <v>55</v>
      </c>
      <c r="O1434" s="56"/>
      <c r="P1434" s="22"/>
      <c r="Q1434" s="58">
        <v>46225.836805555555</v>
      </c>
      <c r="S1434" s="21" t="s">
        <v>5799</v>
      </c>
      <c r="T1434" s="55" t="s">
        <v>164</v>
      </c>
      <c r="U1434" s="21"/>
      <c r="V1434" s="53" t="s">
        <v>5800</v>
      </c>
      <c r="Y1434" t="s">
        <v>158</v>
      </c>
      <c r="Z1434" t="s">
        <v>70</v>
      </c>
    </row>
    <row r="1435" spans="1:26" ht="15" hidden="1" customHeight="1">
      <c r="A1435" s="60">
        <f>ROW() - ROW(Table1[[#Headers],[s]])</f>
        <v>1434</v>
      </c>
      <c r="B1435" t="s">
        <v>5801</v>
      </c>
      <c r="C1435" s="163">
        <v>46204</v>
      </c>
      <c r="D1435" s="52" t="s">
        <v>5802</v>
      </c>
      <c r="E1435" t="s">
        <v>5803</v>
      </c>
      <c r="F1435" s="5" t="e" vm="10">
        <v>#VALUE!</v>
      </c>
      <c r="G1435" s="5" t="s">
        <v>36</v>
      </c>
      <c r="H1435" s="18" t="s">
        <v>152</v>
      </c>
      <c r="I1435" t="s">
        <v>43</v>
      </c>
      <c r="J1435" s="18" t="s">
        <v>153</v>
      </c>
      <c r="K1435" s="44" t="s">
        <v>154</v>
      </c>
      <c r="L1435" s="20">
        <v>46225.638888888891</v>
      </c>
      <c r="M1435" s="55" t="s">
        <v>78</v>
      </c>
      <c r="N1435" s="55" t="s">
        <v>78</v>
      </c>
      <c r="O1435" s="56"/>
      <c r="P1435" s="22"/>
      <c r="Q1435" s="58">
        <v>46225.795138888891</v>
      </c>
      <c r="S1435" s="21" t="s">
        <v>817</v>
      </c>
      <c r="T1435" s="55" t="s">
        <v>164</v>
      </c>
      <c r="U1435" s="21"/>
      <c r="V1435" s="53" t="s">
        <v>5804</v>
      </c>
      <c r="Y1435" t="s">
        <v>158</v>
      </c>
      <c r="Z1435" t="s">
        <v>70</v>
      </c>
    </row>
    <row r="1436" spans="1:26" ht="15" hidden="1" customHeight="1">
      <c r="A1436" s="60">
        <f>ROW() - ROW(Table1[[#Headers],[s]])</f>
        <v>1435</v>
      </c>
      <c r="B1436" t="s">
        <v>5805</v>
      </c>
      <c r="C1436" s="163">
        <v>46204</v>
      </c>
      <c r="D1436" s="52" t="s">
        <v>5806</v>
      </c>
      <c r="E1436" t="s">
        <v>5807</v>
      </c>
      <c r="F1436" t="e" vm="12">
        <v>#VALUE!</v>
      </c>
      <c r="G1436" s="5" t="s">
        <v>36</v>
      </c>
      <c r="H1436" s="18" t="s">
        <v>152</v>
      </c>
      <c r="I1436" t="s">
        <v>43</v>
      </c>
      <c r="J1436" s="18" t="s">
        <v>153</v>
      </c>
      <c r="K1436" s="44" t="s">
        <v>154</v>
      </c>
      <c r="L1436" s="20">
        <v>46225.642361111109</v>
      </c>
      <c r="M1436" s="55" t="s">
        <v>882</v>
      </c>
      <c r="N1436" s="55" t="s">
        <v>882</v>
      </c>
      <c r="O1436" s="56"/>
      <c r="P1436" s="22"/>
      <c r="Q1436" s="58">
        <v>46225.666666666664</v>
      </c>
      <c r="S1436" s="21" t="s">
        <v>5808</v>
      </c>
      <c r="T1436" s="55" t="s">
        <v>164</v>
      </c>
      <c r="U1436" s="21"/>
      <c r="V1436" s="53" t="s">
        <v>5809</v>
      </c>
      <c r="Y1436" t="s">
        <v>158</v>
      </c>
      <c r="Z1436" t="s">
        <v>70</v>
      </c>
    </row>
    <row r="1437" spans="1:26" ht="15" hidden="1" customHeight="1">
      <c r="A1437" s="60">
        <f>ROW() - ROW(Table1[[#Headers],[s]])</f>
        <v>1436</v>
      </c>
      <c r="B1437" t="s">
        <v>5810</v>
      </c>
      <c r="C1437" s="163">
        <v>46204</v>
      </c>
      <c r="D1437" s="52" t="s">
        <v>5811</v>
      </c>
      <c r="E1437" t="s">
        <v>5301</v>
      </c>
      <c r="F1437" t="e" vm="16">
        <v>#VALUE!</v>
      </c>
      <c r="G1437" s="5" t="s">
        <v>36</v>
      </c>
      <c r="H1437" s="18" t="s">
        <v>152</v>
      </c>
      <c r="I1437" t="s">
        <v>43</v>
      </c>
      <c r="J1437" s="18" t="s">
        <v>153</v>
      </c>
      <c r="K1437" s="44" t="s">
        <v>154</v>
      </c>
      <c r="L1437" s="20">
        <v>46225.647916666669</v>
      </c>
      <c r="M1437" s="55" t="s">
        <v>1937</v>
      </c>
      <c r="N1437" s="55" t="s">
        <v>1937</v>
      </c>
      <c r="O1437" s="56"/>
      <c r="P1437" s="22"/>
      <c r="Q1437" s="58">
        <v>46226.013888888891</v>
      </c>
      <c r="S1437" s="21" t="s">
        <v>5812</v>
      </c>
      <c r="T1437" s="55" t="s">
        <v>164</v>
      </c>
      <c r="U1437" s="21"/>
      <c r="V1437" s="53" t="s">
        <v>5813</v>
      </c>
      <c r="Y1437" t="s">
        <v>158</v>
      </c>
      <c r="Z1437" t="s">
        <v>70</v>
      </c>
    </row>
    <row r="1438" spans="1:26" ht="15" hidden="1" customHeight="1">
      <c r="A1438" s="60">
        <f>ROW() - ROW(Table1[[#Headers],[s]])</f>
        <v>1437</v>
      </c>
      <c r="B1438" t="s">
        <v>5814</v>
      </c>
      <c r="C1438" s="163">
        <v>46204</v>
      </c>
      <c r="D1438" s="52" t="s">
        <v>5815</v>
      </c>
      <c r="E1438" t="s">
        <v>5816</v>
      </c>
      <c r="F1438" s="5" t="e" vm="37">
        <v>#VALUE!</v>
      </c>
      <c r="G1438" s="5" t="s">
        <v>36</v>
      </c>
      <c r="H1438" s="18" t="s">
        <v>152</v>
      </c>
      <c r="I1438" t="s">
        <v>43</v>
      </c>
      <c r="J1438" s="18" t="s">
        <v>153</v>
      </c>
      <c r="K1438" s="44" t="s">
        <v>154</v>
      </c>
      <c r="L1438" s="20">
        <v>46225.671527777777</v>
      </c>
      <c r="M1438" s="18" t="s">
        <v>5817</v>
      </c>
      <c r="N1438" s="55" t="s">
        <v>5817</v>
      </c>
      <c r="O1438" s="56"/>
      <c r="P1438" s="22"/>
      <c r="Q1438" s="58">
        <v>46225.861111111109</v>
      </c>
      <c r="S1438" s="21" t="s">
        <v>5818</v>
      </c>
      <c r="T1438" s="55" t="s">
        <v>164</v>
      </c>
      <c r="U1438" s="21"/>
      <c r="V1438" s="53" t="s">
        <v>5746</v>
      </c>
      <c r="Y1438" t="s">
        <v>158</v>
      </c>
      <c r="Z1438" t="s">
        <v>70</v>
      </c>
    </row>
    <row r="1439" spans="1:26" ht="15" hidden="1" customHeight="1">
      <c r="A1439" s="60">
        <f>ROW() - ROW(Table1[[#Headers],[s]])</f>
        <v>1438</v>
      </c>
      <c r="B1439" t="s">
        <v>5819</v>
      </c>
      <c r="C1439" s="163">
        <v>46204</v>
      </c>
      <c r="D1439" s="52" t="s">
        <v>5820</v>
      </c>
      <c r="E1439" t="s">
        <v>5821</v>
      </c>
      <c r="F1439" s="5" t="e" vm="10">
        <v>#VALUE!</v>
      </c>
      <c r="G1439" s="5" t="s">
        <v>36</v>
      </c>
      <c r="H1439" s="18" t="s">
        <v>152</v>
      </c>
      <c r="I1439" t="s">
        <v>43</v>
      </c>
      <c r="J1439" s="18" t="s">
        <v>153</v>
      </c>
      <c r="K1439" s="44" t="s">
        <v>154</v>
      </c>
      <c r="L1439" s="20">
        <v>46225.691666666666</v>
      </c>
      <c r="M1439" s="55" t="s">
        <v>78</v>
      </c>
      <c r="N1439" s="55" t="s">
        <v>78</v>
      </c>
      <c r="O1439" s="56"/>
      <c r="P1439" s="22"/>
      <c r="Q1439" s="58">
        <v>46225.840277777781</v>
      </c>
      <c r="S1439" s="21" t="s">
        <v>5822</v>
      </c>
      <c r="T1439" s="55" t="s">
        <v>164</v>
      </c>
      <c r="U1439" s="21"/>
      <c r="V1439" s="53" t="s">
        <v>5823</v>
      </c>
      <c r="Y1439" t="s">
        <v>158</v>
      </c>
      <c r="Z1439" t="s">
        <v>70</v>
      </c>
    </row>
    <row r="1440" spans="1:26" ht="15" hidden="1" customHeight="1">
      <c r="A1440" s="60">
        <f>ROW() - ROW(Table1[[#Headers],[s]])</f>
        <v>1439</v>
      </c>
      <c r="B1440" t="s">
        <v>5824</v>
      </c>
      <c r="C1440" s="163">
        <v>46204</v>
      </c>
      <c r="D1440" s="52" t="s">
        <v>5825</v>
      </c>
      <c r="E1440" t="s">
        <v>5826</v>
      </c>
      <c r="F1440" t="e" vm="17">
        <v>#VALUE!</v>
      </c>
      <c r="G1440" s="5" t="s">
        <v>36</v>
      </c>
      <c r="H1440" s="18" t="s">
        <v>152</v>
      </c>
      <c r="I1440" t="s">
        <v>43</v>
      </c>
      <c r="J1440" s="18" t="s">
        <v>153</v>
      </c>
      <c r="K1440" s="44" t="s">
        <v>154</v>
      </c>
      <c r="L1440" s="20">
        <v>46225.698611111111</v>
      </c>
      <c r="M1440" s="55" t="s">
        <v>68</v>
      </c>
      <c r="N1440" s="55" t="s">
        <v>68</v>
      </c>
      <c r="O1440" s="56"/>
      <c r="P1440" s="22"/>
      <c r="Q1440" s="58">
        <v>46225.798611111109</v>
      </c>
      <c r="S1440" s="21" t="s">
        <v>4477</v>
      </c>
      <c r="T1440" s="55" t="s">
        <v>516</v>
      </c>
      <c r="U1440" s="21"/>
      <c r="V1440" s="53" t="s">
        <v>5827</v>
      </c>
      <c r="Y1440" t="s">
        <v>158</v>
      </c>
      <c r="Z1440" t="s">
        <v>203</v>
      </c>
    </row>
    <row r="1441" spans="1:26" ht="15" hidden="1" customHeight="1">
      <c r="A1441" s="60">
        <f>ROW() - ROW(Table1[[#Headers],[s]])</f>
        <v>1440</v>
      </c>
      <c r="B1441" t="s">
        <v>5828</v>
      </c>
      <c r="C1441" s="163">
        <v>46204</v>
      </c>
      <c r="D1441" s="52" t="s">
        <v>5829</v>
      </c>
      <c r="E1441" t="s">
        <v>5251</v>
      </c>
      <c r="F1441" s="5" t="e" vm="2">
        <v>#VALUE!</v>
      </c>
      <c r="G1441" s="43" t="s">
        <v>36</v>
      </c>
      <c r="H1441" s="18" t="s">
        <v>747</v>
      </c>
      <c r="I1441" t="s">
        <v>43</v>
      </c>
      <c r="J1441" s="18" t="s">
        <v>253</v>
      </c>
      <c r="K1441" s="44" t="s">
        <v>154</v>
      </c>
      <c r="L1441" s="44">
        <v>46226.015277777777</v>
      </c>
      <c r="M1441" s="55" t="s">
        <v>162</v>
      </c>
      <c r="N1441" s="55" t="s">
        <v>162</v>
      </c>
      <c r="O1441" s="56"/>
      <c r="P1441" s="22"/>
      <c r="Q1441" s="58">
        <v>46226.344444444447</v>
      </c>
      <c r="S1441" s="21" t="s">
        <v>5830</v>
      </c>
      <c r="T1441" s="55" t="s">
        <v>164</v>
      </c>
      <c r="U1441" s="21"/>
      <c r="V1441" s="53" t="s">
        <v>3646</v>
      </c>
      <c r="Y1441" t="s">
        <v>158</v>
      </c>
      <c r="Z1441" t="s">
        <v>52</v>
      </c>
    </row>
    <row r="1442" spans="1:26" ht="15" hidden="1" customHeight="1">
      <c r="A1442" s="60">
        <f>ROW() - ROW(Table1[[#Headers],[s]])</f>
        <v>1441</v>
      </c>
      <c r="B1442" t="s">
        <v>5831</v>
      </c>
      <c r="C1442" s="163">
        <v>46204</v>
      </c>
      <c r="D1442" s="52" t="s">
        <v>5832</v>
      </c>
      <c r="E1442" t="s">
        <v>5591</v>
      </c>
      <c r="F1442" t="e" vm="49">
        <v>#VALUE!</v>
      </c>
      <c r="G1442" s="43" t="s">
        <v>200</v>
      </c>
      <c r="H1442" s="18" t="s">
        <v>747</v>
      </c>
      <c r="J1442" s="18" t="s">
        <v>253</v>
      </c>
      <c r="K1442" s="363" t="s">
        <v>5833</v>
      </c>
      <c r="L1442" s="44">
        <v>46226.156944444447</v>
      </c>
      <c r="M1442" s="55" t="s">
        <v>55</v>
      </c>
      <c r="N1442" s="55" t="s">
        <v>55</v>
      </c>
      <c r="O1442" s="56">
        <v>46224.520833333336</v>
      </c>
      <c r="P1442" s="22">
        <v>46224.583333333336</v>
      </c>
      <c r="Q1442" s="58">
        <v>46226.819444444445</v>
      </c>
      <c r="T1442" s="55"/>
      <c r="U1442" s="21"/>
      <c r="V1442" s="53"/>
      <c r="Y1442" t="s">
        <v>70</v>
      </c>
      <c r="Z1442" t="s">
        <v>203</v>
      </c>
    </row>
    <row r="1443" spans="1:26" ht="15" hidden="1" customHeight="1">
      <c r="A1443" s="60">
        <f>ROW() - ROW(Table1[[#Headers],[s]])</f>
        <v>1442</v>
      </c>
      <c r="B1443" t="s">
        <v>2235</v>
      </c>
      <c r="C1443" s="181"/>
      <c r="D1443" s="52" t="s">
        <v>5834</v>
      </c>
      <c r="E1443" t="s">
        <v>5135</v>
      </c>
      <c r="F1443" s="5" t="e" vm="2">
        <v>#VALUE!</v>
      </c>
      <c r="G1443" s="43" t="s">
        <v>36</v>
      </c>
      <c r="H1443" s="18" t="s">
        <v>152</v>
      </c>
      <c r="I1443" t="s">
        <v>154</v>
      </c>
      <c r="J1443" s="18" t="s">
        <v>153</v>
      </c>
      <c r="K1443" s="44" t="s">
        <v>5835</v>
      </c>
      <c r="L1443" s="44">
        <v>46226.640277777777</v>
      </c>
      <c r="M1443" s="55" t="s">
        <v>162</v>
      </c>
      <c r="N1443" s="55" t="s">
        <v>162</v>
      </c>
      <c r="O1443" s="56"/>
      <c r="P1443" s="22"/>
      <c r="Q1443" s="58">
        <v>46227.375</v>
      </c>
      <c r="S1443" s="21" t="s">
        <v>5836</v>
      </c>
      <c r="T1443" s="55"/>
      <c r="U1443" s="21"/>
      <c r="V1443" s="53" t="s">
        <v>5837</v>
      </c>
      <c r="Y1443" s="55" t="s">
        <v>179</v>
      </c>
      <c r="Z1443" s="55" t="s">
        <v>179</v>
      </c>
    </row>
    <row r="1444" spans="1:26" ht="15" hidden="1" customHeight="1">
      <c r="A1444" s="60">
        <f>ROW() - ROW(Table1[[#Headers],[s]])</f>
        <v>1443</v>
      </c>
      <c r="B1444" t="s">
        <v>5838</v>
      </c>
      <c r="C1444" s="181" t="s">
        <v>60</v>
      </c>
      <c r="D1444" s="52" t="s">
        <v>5839</v>
      </c>
      <c r="E1444" t="s">
        <v>5135</v>
      </c>
      <c r="F1444" s="5" t="e" vm="2">
        <v>#VALUE!</v>
      </c>
      <c r="G1444" s="43" t="s">
        <v>36</v>
      </c>
      <c r="H1444" s="18" t="s">
        <v>152</v>
      </c>
      <c r="I1444" s="181" t="s">
        <v>60</v>
      </c>
      <c r="J1444" s="18" t="s">
        <v>153</v>
      </c>
      <c r="K1444" s="42" t="s">
        <v>154</v>
      </c>
      <c r="L1444" s="44">
        <v>46226.654861111114</v>
      </c>
      <c r="M1444" s="55" t="s">
        <v>162</v>
      </c>
      <c r="N1444" s="55" t="s">
        <v>162</v>
      </c>
      <c r="O1444" s="56"/>
      <c r="P1444" s="22"/>
      <c r="Q1444" s="58">
        <v>46227.375</v>
      </c>
      <c r="S1444" s="21" t="s">
        <v>5840</v>
      </c>
      <c r="T1444" s="55"/>
      <c r="U1444" s="21"/>
      <c r="V1444" s="53" t="s">
        <v>5840</v>
      </c>
      <c r="Y1444" s="55" t="s">
        <v>179</v>
      </c>
      <c r="Z1444" s="55" t="s">
        <v>179</v>
      </c>
    </row>
    <row r="1445" spans="1:26" ht="15" hidden="1" customHeight="1">
      <c r="A1445" s="60">
        <f>ROW() - ROW(Table1[[#Headers],[s]])</f>
        <v>1444</v>
      </c>
      <c r="B1445" t="s">
        <v>5841</v>
      </c>
      <c r="C1445" s="163">
        <v>46204</v>
      </c>
      <c r="D1445" s="52" t="s">
        <v>5842</v>
      </c>
      <c r="E1445" t="s">
        <v>5843</v>
      </c>
      <c r="F1445" t="e" vm="49">
        <v>#VALUE!</v>
      </c>
      <c r="G1445" s="43" t="s">
        <v>200</v>
      </c>
      <c r="H1445" s="18" t="s">
        <v>152</v>
      </c>
      <c r="J1445" s="18" t="s">
        <v>153</v>
      </c>
      <c r="K1445" s="44" t="s">
        <v>154</v>
      </c>
      <c r="L1445" s="44">
        <v>46226.624305555553</v>
      </c>
      <c r="M1445" s="55" t="s">
        <v>5587</v>
      </c>
      <c r="N1445" s="55" t="s">
        <v>5587</v>
      </c>
      <c r="O1445" s="56">
        <v>46226.708333333336</v>
      </c>
      <c r="P1445" s="22">
        <v>46226.708333333336</v>
      </c>
      <c r="Q1445" s="58">
        <v>46226.875</v>
      </c>
      <c r="S1445" s="21" t="s">
        <v>5844</v>
      </c>
      <c r="T1445" s="55" t="s">
        <v>179</v>
      </c>
      <c r="U1445" s="21"/>
      <c r="V1445" s="53" t="s">
        <v>5844</v>
      </c>
      <c r="Y1445" t="s">
        <v>158</v>
      </c>
      <c r="Z1445" t="s">
        <v>52</v>
      </c>
    </row>
    <row r="1446" spans="1:26" ht="15" hidden="1" customHeight="1">
      <c r="A1446" s="60">
        <f>ROW() - ROW(Table1[[#Headers],[s]])</f>
        <v>1445</v>
      </c>
      <c r="B1446" t="s">
        <v>5845</v>
      </c>
      <c r="C1446" s="163">
        <v>46204</v>
      </c>
      <c r="D1446" s="52" t="s">
        <v>5846</v>
      </c>
      <c r="E1446" t="s">
        <v>5847</v>
      </c>
      <c r="F1446" s="42" t="e" vm="25">
        <v>#VALUE!</v>
      </c>
      <c r="G1446" s="43" t="s">
        <v>200</v>
      </c>
      <c r="H1446" s="18" t="s">
        <v>152</v>
      </c>
      <c r="J1446" s="18" t="s">
        <v>153</v>
      </c>
      <c r="K1446" s="44" t="s">
        <v>154</v>
      </c>
      <c r="L1446" s="44">
        <v>46226.7</v>
      </c>
      <c r="M1446" s="55" t="s">
        <v>53</v>
      </c>
      <c r="N1446" s="55" t="s">
        <v>53</v>
      </c>
      <c r="O1446" s="56">
        <v>46226.75</v>
      </c>
      <c r="P1446" s="22">
        <v>46226.75</v>
      </c>
      <c r="Q1446" s="58">
        <v>46226.791666666664</v>
      </c>
      <c r="S1446" s="21" t="s">
        <v>5848</v>
      </c>
      <c r="T1446" s="55" t="s">
        <v>179</v>
      </c>
      <c r="U1446" s="21"/>
      <c r="V1446" s="53" t="s">
        <v>1225</v>
      </c>
      <c r="Y1446" t="s">
        <v>158</v>
      </c>
      <c r="Z1446" t="s">
        <v>70</v>
      </c>
    </row>
    <row r="1447" spans="1:26" ht="15" hidden="1" customHeight="1">
      <c r="A1447" s="60">
        <f>ROW() - ROW(Table1[[#Headers],[s]])</f>
        <v>1446</v>
      </c>
      <c r="B1447" t="s">
        <v>350</v>
      </c>
      <c r="C1447" s="181" t="s">
        <v>60</v>
      </c>
      <c r="D1447" s="52" t="s">
        <v>5849</v>
      </c>
      <c r="E1447" t="s">
        <v>5850</v>
      </c>
      <c r="F1447" s="42" t="e" vm="25">
        <v>#VALUE!</v>
      </c>
      <c r="G1447" s="43" t="s">
        <v>200</v>
      </c>
      <c r="H1447" s="18" t="s">
        <v>152</v>
      </c>
      <c r="J1447" s="18" t="s">
        <v>153</v>
      </c>
      <c r="K1447" s="44" t="s">
        <v>5851</v>
      </c>
      <c r="L1447" s="44">
        <v>46226.818055555559</v>
      </c>
      <c r="M1447" s="55" t="s">
        <v>179</v>
      </c>
      <c r="N1447" s="55" t="s">
        <v>179</v>
      </c>
      <c r="O1447" s="55" t="s">
        <v>179</v>
      </c>
      <c r="P1447" s="55" t="s">
        <v>179</v>
      </c>
      <c r="Q1447" s="55" t="s">
        <v>179</v>
      </c>
      <c r="R1447" s="55" t="s">
        <v>179</v>
      </c>
      <c r="S1447" s="55" t="s">
        <v>179</v>
      </c>
      <c r="T1447" s="55" t="s">
        <v>179</v>
      </c>
      <c r="U1447" s="55" t="s">
        <v>179</v>
      </c>
      <c r="V1447" s="55" t="s">
        <v>179</v>
      </c>
      <c r="W1447" s="55" t="s">
        <v>179</v>
      </c>
      <c r="X1447" s="55" t="s">
        <v>179</v>
      </c>
      <c r="Y1447" s="55" t="s">
        <v>179</v>
      </c>
      <c r="Z1447" s="55" t="s">
        <v>179</v>
      </c>
    </row>
    <row r="1448" spans="1:26" ht="15" hidden="1" customHeight="1">
      <c r="A1448" s="17">
        <f>ROW() - ROW(Table1[[#Headers],[s]])</f>
        <v>1447</v>
      </c>
      <c r="B1448" t="s">
        <v>5852</v>
      </c>
      <c r="C1448" s="181" t="s">
        <v>60</v>
      </c>
      <c r="D1448" s="19" t="s">
        <v>5853</v>
      </c>
      <c r="E1448" t="s">
        <v>5843</v>
      </c>
      <c r="F1448" t="e" vm="49">
        <v>#VALUE!</v>
      </c>
      <c r="G1448" s="43" t="s">
        <v>200</v>
      </c>
      <c r="H1448" s="18" t="s">
        <v>152</v>
      </c>
      <c r="J1448" s="18" t="s">
        <v>153</v>
      </c>
      <c r="K1448" s="20" t="s">
        <v>5854</v>
      </c>
      <c r="L1448" s="20">
        <v>46226.820833333331</v>
      </c>
      <c r="M1448" s="18" t="s">
        <v>179</v>
      </c>
      <c r="N1448" s="18" t="s">
        <v>179</v>
      </c>
      <c r="O1448" s="18" t="s">
        <v>179</v>
      </c>
      <c r="P1448" s="18" t="s">
        <v>179</v>
      </c>
      <c r="Q1448" s="18" t="s">
        <v>179</v>
      </c>
      <c r="R1448" s="18" t="s">
        <v>179</v>
      </c>
      <c r="S1448" s="18" t="s">
        <v>179</v>
      </c>
      <c r="T1448" s="18" t="s">
        <v>179</v>
      </c>
      <c r="U1448" s="18" t="s">
        <v>179</v>
      </c>
      <c r="V1448" s="18" t="s">
        <v>179</v>
      </c>
      <c r="W1448" s="18" t="s">
        <v>179</v>
      </c>
      <c r="X1448" s="18" t="s">
        <v>179</v>
      </c>
      <c r="Y1448" s="18" t="s">
        <v>179</v>
      </c>
      <c r="Z1448" s="18" t="s">
        <v>179</v>
      </c>
    </row>
    <row r="1449" spans="1:26" ht="15" hidden="1" customHeight="1">
      <c r="A1449" s="17">
        <f>ROW() - ROW(Table1[[#Headers],[s]])</f>
        <v>1448</v>
      </c>
      <c r="B1449" t="s">
        <v>5855</v>
      </c>
      <c r="C1449" s="272">
        <v>46204</v>
      </c>
      <c r="D1449" s="19" t="s">
        <v>5856</v>
      </c>
      <c r="E1449" t="s">
        <v>5857</v>
      </c>
      <c r="F1449" s="5" t="e" vm="37">
        <v>#VALUE!</v>
      </c>
      <c r="G1449" s="43" t="s">
        <v>200</v>
      </c>
      <c r="H1449" s="18" t="s">
        <v>152</v>
      </c>
      <c r="J1449" s="18" t="s">
        <v>153</v>
      </c>
      <c r="K1449" s="20" t="s">
        <v>154</v>
      </c>
      <c r="L1449" s="20">
        <v>46226.822916666664</v>
      </c>
      <c r="M1449" s="18" t="s">
        <v>1023</v>
      </c>
      <c r="N1449" s="18" t="s">
        <v>1023</v>
      </c>
      <c r="O1449" s="402">
        <v>46226.854166666664</v>
      </c>
      <c r="P1449" s="402">
        <v>46226.864583333336</v>
      </c>
      <c r="Q1449" s="402">
        <v>46226.864583333336</v>
      </c>
      <c r="R1449" s="18"/>
      <c r="S1449" s="18" t="s">
        <v>5858</v>
      </c>
      <c r="T1449" s="18" t="s">
        <v>179</v>
      </c>
      <c r="U1449" s="18"/>
      <c r="V1449" s="18" t="s">
        <v>5859</v>
      </c>
      <c r="W1449" s="18"/>
      <c r="X1449" s="18"/>
      <c r="Y1449" s="18" t="s">
        <v>203</v>
      </c>
      <c r="Z1449" s="18" t="s">
        <v>70</v>
      </c>
    </row>
    <row r="1450" spans="1:26" ht="15" hidden="1" customHeight="1">
      <c r="A1450" s="17">
        <f>ROW() - ROW(Table1[[#Headers],[s]])</f>
        <v>1449</v>
      </c>
      <c r="B1450" t="s">
        <v>5860</v>
      </c>
      <c r="C1450" s="181" t="s">
        <v>60</v>
      </c>
      <c r="D1450" s="19" t="s">
        <v>5861</v>
      </c>
      <c r="E1450" t="s">
        <v>5843</v>
      </c>
      <c r="F1450" t="e" vm="49">
        <v>#VALUE!</v>
      </c>
      <c r="G1450" s="43" t="s">
        <v>200</v>
      </c>
      <c r="H1450" s="18" t="s">
        <v>152</v>
      </c>
      <c r="J1450" s="18" t="s">
        <v>153</v>
      </c>
      <c r="K1450" s="20" t="s">
        <v>5854</v>
      </c>
      <c r="L1450" s="20">
        <v>46226.820833333331</v>
      </c>
      <c r="M1450" s="18" t="s">
        <v>179</v>
      </c>
      <c r="N1450" s="18" t="s">
        <v>179</v>
      </c>
      <c r="O1450" s="18" t="s">
        <v>179</v>
      </c>
      <c r="P1450" s="18" t="s">
        <v>179</v>
      </c>
      <c r="Q1450" s="18" t="s">
        <v>179</v>
      </c>
      <c r="R1450" s="18" t="s">
        <v>179</v>
      </c>
      <c r="S1450" s="18" t="s">
        <v>179</v>
      </c>
      <c r="T1450" s="18" t="s">
        <v>179</v>
      </c>
      <c r="U1450" s="18" t="s">
        <v>179</v>
      </c>
      <c r="V1450" s="18" t="s">
        <v>179</v>
      </c>
      <c r="W1450" s="18" t="s">
        <v>179</v>
      </c>
      <c r="X1450" s="18" t="s">
        <v>179</v>
      </c>
      <c r="Y1450" s="18" t="s">
        <v>179</v>
      </c>
      <c r="Z1450" s="18" t="s">
        <v>179</v>
      </c>
    </row>
    <row r="1451" spans="1:26" ht="15" hidden="1" customHeight="1">
      <c r="A1451" s="60">
        <f>ROW() - ROW(Table1[[#Headers],[s]])</f>
        <v>1450</v>
      </c>
      <c r="B1451" t="s">
        <v>5862</v>
      </c>
      <c r="C1451" s="163">
        <v>46204</v>
      </c>
      <c r="D1451" s="52" t="s">
        <v>5863</v>
      </c>
      <c r="E1451" t="s">
        <v>5591</v>
      </c>
      <c r="F1451" t="e" vm="49">
        <v>#VALUE!</v>
      </c>
      <c r="G1451" s="43" t="s">
        <v>200</v>
      </c>
      <c r="H1451" s="18" t="s">
        <v>245</v>
      </c>
      <c r="J1451" s="18" t="s">
        <v>253</v>
      </c>
      <c r="K1451" s="44" t="s">
        <v>154</v>
      </c>
      <c r="L1451" s="44">
        <v>46226.652777777781</v>
      </c>
      <c r="M1451" s="55" t="s">
        <v>55</v>
      </c>
      <c r="N1451" s="55" t="s">
        <v>55</v>
      </c>
      <c r="O1451" s="56"/>
      <c r="P1451" s="22"/>
      <c r="Q1451" s="58">
        <v>46226.938888888886</v>
      </c>
      <c r="S1451" s="21" t="s">
        <v>5864</v>
      </c>
      <c r="T1451" s="55" t="s">
        <v>164</v>
      </c>
      <c r="U1451" s="21"/>
      <c r="V1451" s="53" t="s">
        <v>5865</v>
      </c>
      <c r="Y1451" t="s">
        <v>158</v>
      </c>
      <c r="Z1451" t="s">
        <v>52</v>
      </c>
    </row>
    <row r="1452" spans="1:26" ht="15" customHeight="1">
      <c r="A1452" s="60">
        <f>ROW() - ROW(Table1[[#Headers],[s]])</f>
        <v>1451</v>
      </c>
      <c r="B1452" t="s">
        <v>5866</v>
      </c>
      <c r="C1452" s="163">
        <v>46204</v>
      </c>
      <c r="D1452" s="52" t="s">
        <v>5867</v>
      </c>
      <c r="E1452" t="s">
        <v>5177</v>
      </c>
      <c r="F1452" t="e" vm="17">
        <v>#VALUE!</v>
      </c>
      <c r="G1452" s="43" t="s">
        <v>83</v>
      </c>
      <c r="H1452" s="18" t="s">
        <v>747</v>
      </c>
      <c r="I1452" t="s">
        <v>43</v>
      </c>
      <c r="J1452" s="18" t="s">
        <v>253</v>
      </c>
      <c r="K1452" s="44" t="s">
        <v>154</v>
      </c>
      <c r="L1452" s="44">
        <v>46226.498611111114</v>
      </c>
      <c r="M1452" s="55" t="s">
        <v>227</v>
      </c>
      <c r="N1452" s="55" t="s">
        <v>227</v>
      </c>
      <c r="O1452" s="56">
        <v>46226.666666666664</v>
      </c>
      <c r="P1452" s="22">
        <v>46226.791666666664</v>
      </c>
      <c r="Q1452" s="58">
        <v>46226.776388888888</v>
      </c>
      <c r="S1452" s="21" t="s">
        <v>1776</v>
      </c>
      <c r="T1452" s="55" t="s">
        <v>5868</v>
      </c>
      <c r="U1452" s="21"/>
      <c r="V1452" s="53" t="s">
        <v>5869</v>
      </c>
      <c r="Y1452" t="s">
        <v>70</v>
      </c>
      <c r="Z1452" t="s">
        <v>158</v>
      </c>
    </row>
    <row r="1453" spans="1:26" ht="15" customHeight="1">
      <c r="A1453" s="60">
        <f>ROW() - ROW(Table1[[#Headers],[s]])</f>
        <v>1452</v>
      </c>
      <c r="B1453" t="s">
        <v>5870</v>
      </c>
      <c r="C1453" s="163">
        <v>46204</v>
      </c>
      <c r="D1453" s="415" t="s">
        <v>5871</v>
      </c>
      <c r="E1453" t="s">
        <v>5872</v>
      </c>
      <c r="F1453" t="e" vm="21">
        <v>#VALUE!</v>
      </c>
      <c r="G1453" s="43" t="s">
        <v>83</v>
      </c>
      <c r="H1453" s="18" t="s">
        <v>747</v>
      </c>
      <c r="I1453" t="s">
        <v>43</v>
      </c>
      <c r="J1453" s="18" t="s">
        <v>253</v>
      </c>
      <c r="K1453" s="44" t="s">
        <v>154</v>
      </c>
      <c r="L1453" s="44">
        <v>46227.4375</v>
      </c>
      <c r="M1453" s="55" t="s">
        <v>39</v>
      </c>
      <c r="N1453" s="55" t="s">
        <v>39</v>
      </c>
      <c r="O1453" s="56">
        <v>46227.458333333336</v>
      </c>
      <c r="P1453" s="22">
        <v>46227.465277777781</v>
      </c>
      <c r="Q1453" s="58">
        <v>46227.536805555559</v>
      </c>
      <c r="S1453" s="21" t="s">
        <v>5873</v>
      </c>
      <c r="T1453" s="55" t="s">
        <v>5874</v>
      </c>
      <c r="U1453" s="21"/>
      <c r="V1453" s="53" t="s">
        <v>299</v>
      </c>
      <c r="Y1453" t="s">
        <v>158</v>
      </c>
      <c r="Z1453" t="s">
        <v>158</v>
      </c>
    </row>
    <row r="1454" spans="1:26" ht="15" customHeight="1">
      <c r="A1454" s="60">
        <f>ROW() - ROW(Table1[[#Headers],[s]])</f>
        <v>1453</v>
      </c>
      <c r="B1454" t="s">
        <v>5875</v>
      </c>
      <c r="C1454" s="163">
        <v>46204</v>
      </c>
      <c r="D1454" s="415" t="s">
        <v>5876</v>
      </c>
      <c r="E1454" t="s">
        <v>5877</v>
      </c>
      <c r="F1454" t="e" vm="40">
        <v>#VALUE!</v>
      </c>
      <c r="G1454" s="43" t="s">
        <v>83</v>
      </c>
      <c r="H1454" s="18" t="s">
        <v>747</v>
      </c>
      <c r="I1454" t="s">
        <v>43</v>
      </c>
      <c r="J1454" s="18" t="s">
        <v>253</v>
      </c>
      <c r="K1454" s="44" t="s">
        <v>154</v>
      </c>
      <c r="L1454" s="44">
        <v>46227.504166666666</v>
      </c>
      <c r="M1454" s="55" t="s">
        <v>39</v>
      </c>
      <c r="N1454" s="55" t="s">
        <v>39</v>
      </c>
      <c r="O1454" s="56">
        <v>46227.583333333336</v>
      </c>
      <c r="P1454" s="22">
        <v>46227.590277777781</v>
      </c>
      <c r="Q1454" s="58">
        <v>46227.742361111108</v>
      </c>
      <c r="S1454" s="21" t="s">
        <v>1776</v>
      </c>
      <c r="T1454" s="55" t="s">
        <v>5868</v>
      </c>
      <c r="U1454" s="21"/>
      <c r="V1454" s="53" t="s">
        <v>5878</v>
      </c>
      <c r="Y1454" t="s">
        <v>158</v>
      </c>
      <c r="Z1454" t="s">
        <v>70</v>
      </c>
    </row>
    <row r="1455" spans="1:26" ht="15" customHeight="1">
      <c r="A1455" s="60">
        <f>ROW() - ROW(Table1[[#Headers],[s]])</f>
        <v>1454</v>
      </c>
      <c r="B1455" t="s">
        <v>5879</v>
      </c>
      <c r="C1455" s="272">
        <v>46204</v>
      </c>
      <c r="D1455" s="305" t="s">
        <v>5880</v>
      </c>
      <c r="E1455" t="s">
        <v>5768</v>
      </c>
      <c r="F1455" t="e" vm="10">
        <v>#VALUE!</v>
      </c>
      <c r="G1455" s="43" t="s">
        <v>83</v>
      </c>
      <c r="H1455" s="18" t="s">
        <v>245</v>
      </c>
      <c r="I1455" t="s">
        <v>43</v>
      </c>
      <c r="J1455" s="18" t="s">
        <v>253</v>
      </c>
      <c r="K1455" s="44" t="s">
        <v>154</v>
      </c>
      <c r="L1455" s="20">
        <v>46227.495833333334</v>
      </c>
      <c r="M1455" s="55" t="s">
        <v>78</v>
      </c>
      <c r="N1455" s="55" t="s">
        <v>78</v>
      </c>
      <c r="O1455" s="56">
        <v>46227.583333333336</v>
      </c>
      <c r="P1455" s="22">
        <v>46227.590277777781</v>
      </c>
      <c r="Q1455" s="22">
        <v>46227.804861111108</v>
      </c>
      <c r="S1455" s="21" t="s">
        <v>1776</v>
      </c>
      <c r="T1455" s="18" t="s">
        <v>5868</v>
      </c>
      <c r="U1455" s="21"/>
      <c r="V1455" s="21" t="s">
        <v>5881</v>
      </c>
      <c r="Y1455" t="s">
        <v>158</v>
      </c>
      <c r="Z1455" t="s">
        <v>70</v>
      </c>
    </row>
    <row r="1456" spans="1:26" ht="15" customHeight="1">
      <c r="A1456" s="60">
        <f>ROW() - ROW(Table1[[#Headers],[s]])</f>
        <v>1455</v>
      </c>
      <c r="B1456" s="305" t="s">
        <v>5882</v>
      </c>
      <c r="C1456" s="272">
        <v>46204</v>
      </c>
      <c r="D1456" s="416" t="s">
        <v>5883</v>
      </c>
      <c r="E1456" t="s">
        <v>5884</v>
      </c>
      <c r="F1456" t="e" vm="49">
        <v>#VALUE!</v>
      </c>
      <c r="G1456" s="43" t="s">
        <v>83</v>
      </c>
      <c r="H1456" s="18" t="s">
        <v>152</v>
      </c>
      <c r="I1456" t="s">
        <v>43</v>
      </c>
      <c r="J1456" s="18" t="s">
        <v>153</v>
      </c>
      <c r="K1456" s="44" t="s">
        <v>154</v>
      </c>
      <c r="L1456" s="20">
        <v>46227.509027777778</v>
      </c>
      <c r="M1456" s="18" t="s">
        <v>812</v>
      </c>
      <c r="N1456" s="18" t="s">
        <v>812</v>
      </c>
      <c r="O1456" s="3">
        <v>46227.708333333336</v>
      </c>
      <c r="P1456" s="22">
        <v>46227.715277777781</v>
      </c>
      <c r="Q1456" s="22">
        <v>46227.772916666669</v>
      </c>
      <c r="S1456" s="21" t="s">
        <v>5885</v>
      </c>
      <c r="T1456" s="55" t="s">
        <v>164</v>
      </c>
      <c r="U1456" s="21"/>
      <c r="V1456" s="21" t="s">
        <v>5886</v>
      </c>
      <c r="Y1456" t="s">
        <v>158</v>
      </c>
      <c r="Z1456" t="s">
        <v>70</v>
      </c>
    </row>
    <row r="1457" spans="1:26" ht="15" customHeight="1">
      <c r="A1457" s="60">
        <f>ROW() - ROW(Table1[[#Headers],[s]])</f>
        <v>1456</v>
      </c>
      <c r="B1457" s="305" t="s">
        <v>5887</v>
      </c>
      <c r="C1457" s="272">
        <v>46204</v>
      </c>
      <c r="D1457" s="416" t="s">
        <v>5888</v>
      </c>
      <c r="E1457" t="s">
        <v>5889</v>
      </c>
      <c r="F1457" t="e" vm="26">
        <v>#VALUE!</v>
      </c>
      <c r="G1457" s="43" t="s">
        <v>83</v>
      </c>
      <c r="H1457" s="18" t="s">
        <v>152</v>
      </c>
      <c r="I1457" t="s">
        <v>43</v>
      </c>
      <c r="J1457" s="18" t="s">
        <v>153</v>
      </c>
      <c r="K1457" s="44" t="s">
        <v>154</v>
      </c>
      <c r="L1457" s="20">
        <v>46227.515277777777</v>
      </c>
      <c r="M1457" s="18" t="s">
        <v>5890</v>
      </c>
      <c r="N1457" s="18" t="s">
        <v>5890</v>
      </c>
      <c r="O1457" s="56">
        <v>46227.583333333336</v>
      </c>
      <c r="P1457" s="22">
        <v>46227.590277777781</v>
      </c>
      <c r="Q1457" s="22">
        <v>46227.635416666664</v>
      </c>
      <c r="S1457" s="21" t="s">
        <v>5891</v>
      </c>
      <c r="T1457" s="55" t="s">
        <v>164</v>
      </c>
      <c r="U1457" s="21"/>
      <c r="V1457" s="21" t="s">
        <v>437</v>
      </c>
      <c r="Y1457" t="s">
        <v>158</v>
      </c>
      <c r="Z1457" t="s">
        <v>70</v>
      </c>
    </row>
    <row r="1458" spans="1:26" ht="15" customHeight="1">
      <c r="A1458" s="60">
        <f>ROW() - ROW(Table1[[#Headers],[s]])</f>
        <v>1457</v>
      </c>
      <c r="B1458" t="s">
        <v>5892</v>
      </c>
      <c r="C1458" s="272">
        <v>46204</v>
      </c>
      <c r="D1458" s="416" t="s">
        <v>5893</v>
      </c>
      <c r="E1458" t="s">
        <v>5210</v>
      </c>
      <c r="F1458" t="e" vm="17">
        <v>#VALUE!</v>
      </c>
      <c r="G1458" s="43" t="s">
        <v>83</v>
      </c>
      <c r="H1458" s="18" t="s">
        <v>152</v>
      </c>
      <c r="I1458" t="s">
        <v>43</v>
      </c>
      <c r="J1458" s="18" t="s">
        <v>153</v>
      </c>
      <c r="K1458" s="44" t="s">
        <v>154</v>
      </c>
      <c r="L1458" s="20">
        <v>46227.55</v>
      </c>
      <c r="M1458" s="18" t="s">
        <v>2659</v>
      </c>
      <c r="N1458" s="18" t="s">
        <v>2659</v>
      </c>
      <c r="O1458" s="3">
        <v>46230.625</v>
      </c>
      <c r="P1458" s="22">
        <v>46230.631944444445</v>
      </c>
      <c r="Q1458" s="22">
        <v>46230.697222222225</v>
      </c>
      <c r="S1458" s="21" t="s">
        <v>5894</v>
      </c>
      <c r="T1458" s="18" t="s">
        <v>5895</v>
      </c>
      <c r="U1458" s="21"/>
      <c r="V1458" s="21" t="s">
        <v>5896</v>
      </c>
      <c r="Y1458" t="s">
        <v>158</v>
      </c>
      <c r="Z1458" t="s">
        <v>158</v>
      </c>
    </row>
    <row r="1459" spans="1:26" ht="15" customHeight="1">
      <c r="A1459" s="60">
        <f>ROW() - ROW(Table1[[#Headers],[s]])</f>
        <v>1458</v>
      </c>
      <c r="B1459" t="s">
        <v>5897</v>
      </c>
      <c r="C1459" s="272">
        <v>46204</v>
      </c>
      <c r="D1459" s="416" t="s">
        <v>5898</v>
      </c>
      <c r="E1459" t="s">
        <v>5899</v>
      </c>
      <c r="F1459" t="e" vm="35">
        <v>#VALUE!</v>
      </c>
      <c r="G1459" s="43" t="s">
        <v>83</v>
      </c>
      <c r="H1459" s="18" t="s">
        <v>152</v>
      </c>
      <c r="I1459" t="s">
        <v>43</v>
      </c>
      <c r="J1459" s="18" t="s">
        <v>153</v>
      </c>
      <c r="K1459" s="44" t="s">
        <v>154</v>
      </c>
      <c r="L1459" s="20">
        <v>46227.586111111108</v>
      </c>
      <c r="M1459" s="18" t="s">
        <v>2659</v>
      </c>
      <c r="N1459" s="18" t="s">
        <v>2659</v>
      </c>
      <c r="O1459" s="3">
        <v>46227.791666666664</v>
      </c>
      <c r="P1459" s="22">
        <v>46227.826388888891</v>
      </c>
      <c r="Q1459" s="22">
        <v>46228.051388888889</v>
      </c>
      <c r="S1459" s="21" t="s">
        <v>5900</v>
      </c>
      <c r="T1459" s="55" t="s">
        <v>164</v>
      </c>
      <c r="U1459" s="21"/>
      <c r="V1459" s="21" t="s">
        <v>5901</v>
      </c>
      <c r="Y1459" t="s">
        <v>158</v>
      </c>
      <c r="Z1459" t="s">
        <v>70</v>
      </c>
    </row>
    <row r="1460" spans="1:26" ht="15" hidden="1" customHeight="1">
      <c r="A1460" s="60">
        <f>ROW() - ROW(Table1[[#Headers],[s]])</f>
        <v>1459</v>
      </c>
      <c r="B1460" s="223" t="s">
        <v>5902</v>
      </c>
      <c r="C1460" s="181" t="s">
        <v>60</v>
      </c>
      <c r="D1460" s="52" t="s">
        <v>5903</v>
      </c>
      <c r="E1460" t="s">
        <v>5736</v>
      </c>
      <c r="F1460" t="e" vm="2">
        <v>#VALUE!</v>
      </c>
      <c r="G1460" s="43" t="s">
        <v>36</v>
      </c>
      <c r="H1460" s="18" t="s">
        <v>152</v>
      </c>
      <c r="I1460" s="181" t="s">
        <v>60</v>
      </c>
      <c r="J1460" s="18" t="s">
        <v>153</v>
      </c>
      <c r="K1460" s="42" t="s">
        <v>154</v>
      </c>
      <c r="L1460" s="44">
        <v>46228.474999999999</v>
      </c>
      <c r="M1460" s="55" t="s">
        <v>162</v>
      </c>
      <c r="N1460" s="55" t="s">
        <v>162</v>
      </c>
      <c r="O1460" s="56"/>
      <c r="P1460" s="22"/>
      <c r="Q1460" s="44">
        <v>46228.474999999999</v>
      </c>
      <c r="S1460" s="403" t="s">
        <v>5840</v>
      </c>
      <c r="T1460" s="55" t="s">
        <v>164</v>
      </c>
      <c r="U1460" s="21"/>
      <c r="V1460" s="403" t="s">
        <v>5840</v>
      </c>
      <c r="Y1460" t="s">
        <v>179</v>
      </c>
      <c r="Z1460" t="s">
        <v>179</v>
      </c>
    </row>
    <row r="1461" spans="1:26" ht="15" hidden="1" customHeight="1">
      <c r="A1461" s="60">
        <f>ROW() - ROW(Table1[[#Headers],[s]])</f>
        <v>1460</v>
      </c>
      <c r="B1461" s="223" t="s">
        <v>686</v>
      </c>
      <c r="C1461" s="163">
        <v>46204</v>
      </c>
      <c r="D1461" s="52" t="s">
        <v>5904</v>
      </c>
      <c r="E1461" t="s">
        <v>5905</v>
      </c>
      <c r="F1461" t="e" vm="16">
        <v>#VALUE!</v>
      </c>
      <c r="G1461" s="43" t="s">
        <v>174</v>
      </c>
      <c r="H1461" s="18" t="s">
        <v>152</v>
      </c>
      <c r="J1461" s="18" t="s">
        <v>153</v>
      </c>
      <c r="K1461" s="44" t="s">
        <v>154</v>
      </c>
      <c r="L1461" s="44">
        <v>46228.477777777778</v>
      </c>
      <c r="M1461" s="55" t="s">
        <v>58</v>
      </c>
      <c r="N1461" s="55" t="s">
        <v>58</v>
      </c>
      <c r="O1461" s="44">
        <v>46228.5625</v>
      </c>
      <c r="P1461" s="44">
        <v>46228.583333333336</v>
      </c>
      <c r="Q1461" s="44">
        <v>46228.645833333336</v>
      </c>
      <c r="S1461" s="21" t="s">
        <v>5906</v>
      </c>
      <c r="T1461" s="55" t="s">
        <v>164</v>
      </c>
      <c r="U1461" s="21"/>
      <c r="V1461" s="53" t="s">
        <v>3284</v>
      </c>
      <c r="Y1461" t="s">
        <v>158</v>
      </c>
      <c r="Z1461" t="s">
        <v>70</v>
      </c>
    </row>
    <row r="1462" spans="1:26" ht="15" hidden="1" customHeight="1">
      <c r="A1462" s="60">
        <f>ROW() - ROW(Table1[[#Headers],[s]])</f>
        <v>1461</v>
      </c>
      <c r="B1462" t="s">
        <v>5907</v>
      </c>
      <c r="C1462" s="163">
        <v>46204</v>
      </c>
      <c r="D1462" s="52" t="s">
        <v>5908</v>
      </c>
      <c r="E1462" t="s">
        <v>5251</v>
      </c>
      <c r="F1462" t="e" vm="2">
        <v>#VALUE!</v>
      </c>
      <c r="G1462" s="43" t="s">
        <v>174</v>
      </c>
      <c r="H1462" s="18" t="s">
        <v>747</v>
      </c>
      <c r="J1462" s="18" t="s">
        <v>253</v>
      </c>
      <c r="K1462" s="44" t="s">
        <v>154</v>
      </c>
      <c r="L1462" s="44">
        <v>46228.439583333333</v>
      </c>
      <c r="M1462" s="55" t="s">
        <v>162</v>
      </c>
      <c r="N1462" s="55" t="s">
        <v>162</v>
      </c>
      <c r="O1462" s="44">
        <v>46228.489583333336</v>
      </c>
      <c r="P1462" s="44">
        <v>46228.5</v>
      </c>
      <c r="Q1462" s="44">
        <v>46228.559027777781</v>
      </c>
      <c r="S1462" s="21" t="s">
        <v>5909</v>
      </c>
      <c r="T1462" s="55" t="s">
        <v>266</v>
      </c>
      <c r="U1462" s="21"/>
      <c r="V1462" s="53" t="s">
        <v>5910</v>
      </c>
      <c r="Y1462" t="s">
        <v>158</v>
      </c>
      <c r="Z1462" t="s">
        <v>158</v>
      </c>
    </row>
    <row r="1463" spans="1:26" ht="15" hidden="1" customHeight="1">
      <c r="A1463" s="60">
        <f>ROW() - ROW(Table1[[#Headers],[s]])</f>
        <v>1462</v>
      </c>
      <c r="B1463" s="223" t="s">
        <v>5485</v>
      </c>
      <c r="C1463" s="181" t="s">
        <v>60</v>
      </c>
      <c r="D1463" s="52" t="s">
        <v>5911</v>
      </c>
      <c r="E1463" t="s">
        <v>5251</v>
      </c>
      <c r="F1463" t="e" vm="2">
        <v>#VALUE!</v>
      </c>
      <c r="G1463" s="43" t="s">
        <v>174</v>
      </c>
      <c r="H1463" s="18" t="s">
        <v>152</v>
      </c>
      <c r="J1463" s="18" t="s">
        <v>153</v>
      </c>
      <c r="K1463" s="42" t="s">
        <v>154</v>
      </c>
      <c r="L1463" s="44">
        <v>46228.563888888886</v>
      </c>
      <c r="M1463" s="55" t="s">
        <v>162</v>
      </c>
      <c r="N1463" s="55" t="s">
        <v>162</v>
      </c>
      <c r="O1463" s="56"/>
      <c r="P1463" s="22"/>
      <c r="Q1463" s="44">
        <v>46228.559027777781</v>
      </c>
      <c r="S1463" s="44" t="s">
        <v>5912</v>
      </c>
      <c r="T1463" s="55" t="s">
        <v>266</v>
      </c>
      <c r="U1463" s="21"/>
      <c r="V1463" s="44" t="s">
        <v>5912</v>
      </c>
      <c r="Y1463" t="s">
        <v>179</v>
      </c>
      <c r="Z1463" t="s">
        <v>179</v>
      </c>
    </row>
    <row r="1464" spans="1:26" ht="15" hidden="1" customHeight="1">
      <c r="A1464" s="60">
        <f>ROW() - ROW(Table1[[#Headers],[s]])</f>
        <v>1463</v>
      </c>
      <c r="B1464" s="223" t="s">
        <v>5913</v>
      </c>
      <c r="C1464" s="163">
        <v>46204</v>
      </c>
      <c r="D1464" s="52" t="s">
        <v>5914</v>
      </c>
      <c r="E1464" t="s">
        <v>5915</v>
      </c>
      <c r="F1464" t="e" vm="49">
        <v>#VALUE!</v>
      </c>
      <c r="G1464" s="43" t="s">
        <v>174</v>
      </c>
      <c r="H1464" s="18" t="s">
        <v>152</v>
      </c>
      <c r="J1464" s="18" t="s">
        <v>153</v>
      </c>
      <c r="K1464" s="44" t="s">
        <v>154</v>
      </c>
      <c r="L1464" s="44">
        <v>46228.566666666666</v>
      </c>
      <c r="M1464" s="55" t="s">
        <v>227</v>
      </c>
      <c r="N1464" s="55" t="s">
        <v>227</v>
      </c>
      <c r="O1464" s="44">
        <v>46228.625</v>
      </c>
      <c r="P1464" s="44">
        <v>46228.645833333336</v>
      </c>
      <c r="Q1464" s="44">
        <v>46228.71875</v>
      </c>
      <c r="S1464" s="21" t="s">
        <v>5916</v>
      </c>
      <c r="T1464" s="55" t="s">
        <v>266</v>
      </c>
      <c r="U1464" s="21"/>
      <c r="V1464" s="53" t="s">
        <v>5917</v>
      </c>
      <c r="Y1464" t="s">
        <v>158</v>
      </c>
      <c r="Z1464" t="s">
        <v>158</v>
      </c>
    </row>
    <row r="1465" spans="1:26" ht="15" hidden="1" customHeight="1">
      <c r="A1465" s="60">
        <f>ROW() - ROW(Table1[[#Headers],[s]])</f>
        <v>1464</v>
      </c>
      <c r="B1465" s="223" t="s">
        <v>5918</v>
      </c>
      <c r="C1465" s="163">
        <v>46204</v>
      </c>
      <c r="D1465" s="52" t="s">
        <v>5919</v>
      </c>
      <c r="E1465" t="s">
        <v>5920</v>
      </c>
      <c r="F1465" s="42" t="e" vm="25">
        <v>#VALUE!</v>
      </c>
      <c r="G1465" s="43" t="s">
        <v>174</v>
      </c>
      <c r="H1465" s="18" t="s">
        <v>152</v>
      </c>
      <c r="J1465" s="18" t="s">
        <v>153</v>
      </c>
      <c r="K1465" s="44" t="s">
        <v>154</v>
      </c>
      <c r="L1465" s="44">
        <v>46228.568749999999</v>
      </c>
      <c r="M1465" s="55" t="s">
        <v>53</v>
      </c>
      <c r="N1465" s="55" t="s">
        <v>53</v>
      </c>
      <c r="O1465" s="44">
        <v>46228.607638888891</v>
      </c>
      <c r="P1465" s="44">
        <v>46228.635416666664</v>
      </c>
      <c r="Q1465" s="44">
        <v>46228.6875</v>
      </c>
      <c r="S1465" s="21" t="s">
        <v>5921</v>
      </c>
      <c r="T1465" s="55" t="s">
        <v>164</v>
      </c>
      <c r="U1465" s="21"/>
      <c r="V1465" s="53" t="s">
        <v>5922</v>
      </c>
      <c r="Y1465" t="s">
        <v>158</v>
      </c>
      <c r="Z1465" t="s">
        <v>70</v>
      </c>
    </row>
    <row r="1466" spans="1:26" ht="15" hidden="1" customHeight="1">
      <c r="A1466" s="60">
        <f>ROW() - ROW(Table1[[#Headers],[s]])</f>
        <v>1465</v>
      </c>
      <c r="B1466" s="223" t="s">
        <v>5923</v>
      </c>
      <c r="C1466" s="163">
        <v>46204</v>
      </c>
      <c r="D1466" s="52" t="s">
        <v>5924</v>
      </c>
      <c r="E1466" t="s">
        <v>5925</v>
      </c>
      <c r="F1466" s="5" t="e" vm="19">
        <v>#VALUE!</v>
      </c>
      <c r="G1466" s="43" t="s">
        <v>174</v>
      </c>
      <c r="H1466" s="18" t="s">
        <v>152</v>
      </c>
      <c r="J1466" s="18" t="s">
        <v>153</v>
      </c>
      <c r="K1466" s="44" t="s">
        <v>154</v>
      </c>
      <c r="L1466" s="44">
        <v>46228.572916666664</v>
      </c>
      <c r="M1466" s="55" t="s">
        <v>82</v>
      </c>
      <c r="N1466" s="55" t="s">
        <v>82</v>
      </c>
      <c r="O1466" s="56">
        <v>46229.333333333336</v>
      </c>
      <c r="P1466" s="56">
        <v>46229.354166666664</v>
      </c>
      <c r="Q1466" s="56">
        <v>46229.375</v>
      </c>
      <c r="S1466" s="21" t="s">
        <v>5926</v>
      </c>
      <c r="T1466" s="55" t="s">
        <v>2765</v>
      </c>
      <c r="U1466" s="21"/>
      <c r="V1466" s="53" t="s">
        <v>4225</v>
      </c>
      <c r="Y1466" t="s">
        <v>158</v>
      </c>
      <c r="Z1466" t="s">
        <v>70</v>
      </c>
    </row>
    <row r="1467" spans="1:26" ht="15" hidden="1" customHeight="1">
      <c r="A1467" s="60">
        <f>ROW() - ROW(Table1[[#Headers],[s]])</f>
        <v>1466</v>
      </c>
      <c r="B1467" s="223" t="s">
        <v>5927</v>
      </c>
      <c r="C1467" s="163">
        <v>46204</v>
      </c>
      <c r="D1467" s="52" t="s">
        <v>5928</v>
      </c>
      <c r="E1467" t="s">
        <v>5929</v>
      </c>
      <c r="F1467" s="5" t="e" vm="25">
        <v>#VALUE!</v>
      </c>
      <c r="G1467" s="43" t="s">
        <v>174</v>
      </c>
      <c r="H1467" s="18" t="s">
        <v>152</v>
      </c>
      <c r="J1467" s="18" t="s">
        <v>153</v>
      </c>
      <c r="K1467" s="44" t="s">
        <v>154</v>
      </c>
      <c r="L1467" s="44">
        <v>46228.574305555558</v>
      </c>
      <c r="M1467" s="55" t="s">
        <v>57</v>
      </c>
      <c r="N1467" s="55" t="s">
        <v>57</v>
      </c>
      <c r="O1467" s="44">
        <v>46228.625</v>
      </c>
      <c r="P1467" s="44">
        <v>46228.645833333336</v>
      </c>
      <c r="Q1467" s="44">
        <v>46228.677083333336</v>
      </c>
      <c r="S1467" s="21" t="s">
        <v>3010</v>
      </c>
      <c r="T1467" s="55" t="s">
        <v>2765</v>
      </c>
      <c r="U1467" s="21"/>
      <c r="V1467" s="53" t="s">
        <v>4225</v>
      </c>
      <c r="Y1467" t="s">
        <v>158</v>
      </c>
      <c r="Z1467" t="s">
        <v>70</v>
      </c>
    </row>
    <row r="1468" spans="1:26" ht="15" hidden="1" customHeight="1">
      <c r="A1468" s="60">
        <f>ROW() - ROW(Table1[[#Headers],[s]])</f>
        <v>1467</v>
      </c>
      <c r="B1468" t="s">
        <v>5930</v>
      </c>
      <c r="C1468" s="163" t="s">
        <v>60</v>
      </c>
      <c r="D1468" s="52" t="s">
        <v>5931</v>
      </c>
      <c r="E1468" t="s">
        <v>5932</v>
      </c>
      <c r="F1468" s="5" t="e" vm="22">
        <v>#VALUE!</v>
      </c>
      <c r="G1468" s="43" t="s">
        <v>174</v>
      </c>
      <c r="H1468" s="18" t="s">
        <v>747</v>
      </c>
      <c r="J1468" s="18" t="s">
        <v>253</v>
      </c>
      <c r="K1468" s="44" t="s">
        <v>548</v>
      </c>
      <c r="L1468" s="44">
        <v>46229.074999999997</v>
      </c>
      <c r="M1468" s="55" t="s">
        <v>5933</v>
      </c>
      <c r="N1468" s="55" t="s">
        <v>5933</v>
      </c>
      <c r="O1468" s="56"/>
      <c r="P1468" s="22"/>
      <c r="Q1468" s="58">
        <v>46229.541666666664</v>
      </c>
      <c r="S1468" s="363" t="s">
        <v>548</v>
      </c>
      <c r="T1468" s="53" t="s">
        <v>50</v>
      </c>
      <c r="U1468" s="21"/>
      <c r="V1468" s="363" t="s">
        <v>548</v>
      </c>
      <c r="Y1468" t="s">
        <v>179</v>
      </c>
      <c r="Z1468" t="s">
        <v>179</v>
      </c>
    </row>
    <row r="1469" spans="1:26" ht="15" customHeight="1">
      <c r="A1469" s="60">
        <f>ROW() - ROW(Table1[[#Headers],[s]])</f>
        <v>1468</v>
      </c>
      <c r="B1469" s="305" t="s">
        <v>5934</v>
      </c>
      <c r="C1469" s="163">
        <v>46204</v>
      </c>
      <c r="D1469" s="52" t="s">
        <v>5935</v>
      </c>
      <c r="E1469" t="s">
        <v>5807</v>
      </c>
      <c r="F1469" t="e" vm="12">
        <v>#VALUE!</v>
      </c>
      <c r="G1469" s="43" t="s">
        <v>83</v>
      </c>
      <c r="H1469" s="18" t="s">
        <v>152</v>
      </c>
      <c r="I1469" t="s">
        <v>43</v>
      </c>
      <c r="J1469" s="18" t="s">
        <v>153</v>
      </c>
      <c r="K1469" s="44" t="s">
        <v>154</v>
      </c>
      <c r="L1469" s="44">
        <v>46229.538194444445</v>
      </c>
      <c r="M1469" s="55" t="s">
        <v>4759</v>
      </c>
      <c r="N1469" s="55" t="s">
        <v>4759</v>
      </c>
      <c r="O1469" s="56">
        <v>46230.416666666664</v>
      </c>
      <c r="P1469" s="22">
        <v>46230.423611111109</v>
      </c>
      <c r="Q1469" s="58">
        <v>46230.474305555559</v>
      </c>
      <c r="S1469" s="21" t="s">
        <v>5936</v>
      </c>
      <c r="T1469" s="55" t="s">
        <v>164</v>
      </c>
      <c r="U1469" s="21"/>
      <c r="V1469" s="403" t="s">
        <v>5937</v>
      </c>
      <c r="Y1469" t="s">
        <v>158</v>
      </c>
      <c r="Z1469" t="s">
        <v>70</v>
      </c>
    </row>
    <row r="1470" spans="1:26" ht="15" hidden="1" customHeight="1">
      <c r="A1470" s="60">
        <f>ROW() - ROW(Table1[[#Headers],[s]])</f>
        <v>1469</v>
      </c>
      <c r="B1470" t="s">
        <v>5938</v>
      </c>
      <c r="C1470" s="163" t="s">
        <v>60</v>
      </c>
      <c r="D1470" s="52" t="s">
        <v>5939</v>
      </c>
      <c r="E1470" t="s">
        <v>5940</v>
      </c>
      <c r="F1470" s="5" t="e" vm="7">
        <v>#VALUE!</v>
      </c>
      <c r="G1470" s="43" t="s">
        <v>174</v>
      </c>
      <c r="H1470" s="18" t="s">
        <v>747</v>
      </c>
      <c r="J1470" s="18" t="s">
        <v>253</v>
      </c>
      <c r="K1470" s="60" t="s">
        <v>1003</v>
      </c>
      <c r="L1470" s="44">
        <v>46229.23541666667</v>
      </c>
      <c r="M1470" s="44" t="s">
        <v>1003</v>
      </c>
      <c r="N1470" s="44" t="s">
        <v>1003</v>
      </c>
      <c r="O1470" s="56"/>
      <c r="P1470" s="22"/>
      <c r="Q1470" s="44">
        <v>46229.23541666667</v>
      </c>
      <c r="S1470" s="21" t="s">
        <v>3101</v>
      </c>
      <c r="T1470" s="53" t="s">
        <v>50</v>
      </c>
      <c r="U1470" s="21"/>
      <c r="V1470" s="21" t="s">
        <v>3101</v>
      </c>
      <c r="Y1470" t="s">
        <v>179</v>
      </c>
      <c r="Z1470" t="s">
        <v>179</v>
      </c>
    </row>
    <row r="1471" spans="1:26" ht="15" customHeight="1">
      <c r="A1471" s="60">
        <f>ROW() - ROW(Table1[[#Headers],[s]])</f>
        <v>1470</v>
      </c>
      <c r="B1471" t="s">
        <v>5941</v>
      </c>
      <c r="C1471" s="163">
        <v>46204</v>
      </c>
      <c r="D1471" s="52" t="s">
        <v>5942</v>
      </c>
      <c r="E1471" t="s">
        <v>5943</v>
      </c>
      <c r="F1471" t="e" vm="37">
        <v>#VALUE!</v>
      </c>
      <c r="G1471" s="43" t="s">
        <v>83</v>
      </c>
      <c r="H1471" s="18" t="s">
        <v>152</v>
      </c>
      <c r="I1471" t="s">
        <v>43</v>
      </c>
      <c r="J1471" s="18" t="s">
        <v>153</v>
      </c>
      <c r="K1471" s="44" t="s">
        <v>154</v>
      </c>
      <c r="L1471" s="44">
        <v>46230.306250000001</v>
      </c>
      <c r="M1471" s="55" t="s">
        <v>317</v>
      </c>
      <c r="N1471" s="55" t="s">
        <v>317</v>
      </c>
      <c r="O1471" s="56">
        <v>46230.354166666664</v>
      </c>
      <c r="P1471" s="22">
        <v>46230.361111111109</v>
      </c>
      <c r="Q1471" s="58">
        <v>46230.393055555556</v>
      </c>
      <c r="S1471" s="21" t="s">
        <v>5944</v>
      </c>
      <c r="T1471" s="55" t="s">
        <v>164</v>
      </c>
      <c r="U1471" s="21"/>
      <c r="V1471" s="53" t="s">
        <v>5945</v>
      </c>
      <c r="Y1471" t="s">
        <v>158</v>
      </c>
      <c r="Z1471" t="s">
        <v>70</v>
      </c>
    </row>
    <row r="1472" spans="1:26" ht="15" customHeight="1">
      <c r="A1472" s="60">
        <f>ROW() - ROW(Table1[[#Headers],[s]])</f>
        <v>1471</v>
      </c>
      <c r="B1472" t="s">
        <v>5946</v>
      </c>
      <c r="C1472" s="163">
        <v>46204</v>
      </c>
      <c r="D1472" s="52" t="s">
        <v>5947</v>
      </c>
      <c r="E1472" t="s">
        <v>5948</v>
      </c>
      <c r="F1472" t="e" vm="10">
        <v>#VALUE!</v>
      </c>
      <c r="G1472" s="43" t="s">
        <v>83</v>
      </c>
      <c r="H1472" s="18" t="s">
        <v>152</v>
      </c>
      <c r="I1472" t="s">
        <v>43</v>
      </c>
      <c r="J1472" s="18" t="s">
        <v>153</v>
      </c>
      <c r="K1472" s="44" t="s">
        <v>154</v>
      </c>
      <c r="L1472" s="44">
        <v>46230.529861111114</v>
      </c>
      <c r="M1472" s="55" t="s">
        <v>78</v>
      </c>
      <c r="N1472" s="55" t="s">
        <v>78</v>
      </c>
      <c r="O1472" s="56">
        <v>46230.791666666664</v>
      </c>
      <c r="P1472" s="22">
        <v>46230.798611111109</v>
      </c>
      <c r="Q1472" s="58">
        <v>46230.830555555556</v>
      </c>
      <c r="S1472" s="21" t="s">
        <v>5949</v>
      </c>
      <c r="T1472" s="55" t="s">
        <v>164</v>
      </c>
      <c r="U1472" s="21"/>
      <c r="V1472" s="53" t="s">
        <v>5950</v>
      </c>
      <c r="Y1472" t="s">
        <v>158</v>
      </c>
      <c r="Z1472" t="s">
        <v>158</v>
      </c>
    </row>
    <row r="1473" spans="1:26" ht="15" customHeight="1">
      <c r="A1473" s="60">
        <f>ROW() - ROW(Table1[[#Headers],[s]])</f>
        <v>1472</v>
      </c>
      <c r="B1473" t="s">
        <v>5951</v>
      </c>
      <c r="C1473" s="163">
        <v>46204</v>
      </c>
      <c r="D1473" s="52" t="s">
        <v>5952</v>
      </c>
      <c r="E1473" t="s">
        <v>5953</v>
      </c>
      <c r="F1473" t="e" vm="10">
        <v>#VALUE!</v>
      </c>
      <c r="G1473" s="43" t="s">
        <v>83</v>
      </c>
      <c r="H1473" s="18" t="s">
        <v>152</v>
      </c>
      <c r="I1473" t="s">
        <v>43</v>
      </c>
      <c r="J1473" s="18" t="s">
        <v>153</v>
      </c>
      <c r="K1473" s="44" t="s">
        <v>154</v>
      </c>
      <c r="L1473" s="44">
        <v>46230.614583333336</v>
      </c>
      <c r="M1473" s="55" t="s">
        <v>78</v>
      </c>
      <c r="N1473" s="55" t="s">
        <v>78</v>
      </c>
      <c r="O1473" s="56">
        <v>46230.666666666664</v>
      </c>
      <c r="P1473" s="22">
        <v>46230.756944444445</v>
      </c>
      <c r="Q1473" s="58">
        <v>46230.893055555556</v>
      </c>
      <c r="S1473" s="21" t="s">
        <v>5954</v>
      </c>
      <c r="T1473" s="55" t="s">
        <v>164</v>
      </c>
      <c r="U1473" s="21"/>
      <c r="V1473" s="53" t="s">
        <v>5955</v>
      </c>
      <c r="Y1473" t="s">
        <v>158</v>
      </c>
      <c r="Z1473" t="s">
        <v>70</v>
      </c>
    </row>
    <row r="1474" spans="1:26" ht="15" customHeight="1">
      <c r="A1474" s="60">
        <f>ROW() - ROW(Table1[[#Headers],[s]])</f>
        <v>1473</v>
      </c>
      <c r="B1474" t="s">
        <v>5956</v>
      </c>
      <c r="C1474" s="181" t="s">
        <v>60</v>
      </c>
      <c r="D1474" s="52" t="s">
        <v>5957</v>
      </c>
      <c r="E1474" t="s">
        <v>5210</v>
      </c>
      <c r="F1474" t="e" vm="17">
        <v>#VALUE!</v>
      </c>
      <c r="G1474" s="43" t="s">
        <v>83</v>
      </c>
      <c r="H1474" s="18" t="s">
        <v>152</v>
      </c>
      <c r="I1474" s="403" t="s">
        <v>5958</v>
      </c>
      <c r="J1474" s="18" t="s">
        <v>153</v>
      </c>
      <c r="K1474" s="42" t="s">
        <v>154</v>
      </c>
      <c r="L1474" s="44">
        <v>46230.5</v>
      </c>
      <c r="M1474" s="18" t="s">
        <v>2659</v>
      </c>
      <c r="N1474" s="55"/>
      <c r="O1474" s="18" t="s">
        <v>179</v>
      </c>
      <c r="P1474" s="18" t="s">
        <v>179</v>
      </c>
      <c r="Q1474" s="18" t="s">
        <v>179</v>
      </c>
      <c r="S1474" s="169" t="s">
        <v>5959</v>
      </c>
      <c r="T1474" s="53" t="s">
        <v>50</v>
      </c>
      <c r="U1474" s="21"/>
      <c r="V1474" s="53"/>
      <c r="Y1474" s="18" t="s">
        <v>179</v>
      </c>
      <c r="Z1474" s="18" t="s">
        <v>179</v>
      </c>
    </row>
    <row r="1475" spans="1:26" ht="15" hidden="1" customHeight="1">
      <c r="A1475" s="60">
        <f>ROW() - ROW(Table1[[#Headers],[s]])</f>
        <v>1474</v>
      </c>
      <c r="B1475" t="s">
        <v>5960</v>
      </c>
      <c r="C1475" s="163">
        <v>46204</v>
      </c>
      <c r="D1475" s="182" t="s">
        <v>5961</v>
      </c>
      <c r="E1475" t="s">
        <v>5962</v>
      </c>
      <c r="F1475" t="e" vm="10">
        <v>#VALUE!</v>
      </c>
      <c r="G1475" s="43" t="s">
        <v>584</v>
      </c>
      <c r="H1475" s="18" t="s">
        <v>152</v>
      </c>
      <c r="J1475" s="18" t="s">
        <v>153</v>
      </c>
      <c r="K1475" s="44" t="s">
        <v>154</v>
      </c>
      <c r="L1475" s="44">
        <v>46230.823611111111</v>
      </c>
      <c r="M1475" s="55" t="s">
        <v>78</v>
      </c>
      <c r="N1475" s="55" t="s">
        <v>78</v>
      </c>
      <c r="O1475" s="56">
        <v>46231.333333333336</v>
      </c>
      <c r="P1475" s="56">
        <v>46231.354166666664</v>
      </c>
      <c r="Q1475" s="56">
        <v>46231.375</v>
      </c>
      <c r="S1475" s="21" t="s">
        <v>720</v>
      </c>
      <c r="T1475" s="55" t="s">
        <v>164</v>
      </c>
      <c r="U1475" s="21"/>
      <c r="V1475" s="53" t="s">
        <v>183</v>
      </c>
      <c r="Y1475" t="s">
        <v>158</v>
      </c>
      <c r="Z1475" t="s">
        <v>70</v>
      </c>
    </row>
    <row r="1476" spans="1:26" ht="15" customHeight="1">
      <c r="A1476" s="60">
        <f>ROW() - ROW(Table1[[#Headers],[s]])</f>
        <v>1475</v>
      </c>
      <c r="B1476" t="s">
        <v>5963</v>
      </c>
      <c r="C1476" s="163">
        <v>46204</v>
      </c>
      <c r="D1476" s="52" t="s">
        <v>5964</v>
      </c>
      <c r="E1476" t="s">
        <v>5965</v>
      </c>
      <c r="F1476" t="e" vm="10">
        <v>#VALUE!</v>
      </c>
      <c r="G1476" s="43" t="s">
        <v>83</v>
      </c>
      <c r="H1476" s="18" t="s">
        <v>152</v>
      </c>
      <c r="I1476" t="s">
        <v>43</v>
      </c>
      <c r="J1476" s="18" t="s">
        <v>153</v>
      </c>
      <c r="K1476" s="44" t="s">
        <v>154</v>
      </c>
      <c r="L1476" s="44">
        <v>46230.822916666664</v>
      </c>
      <c r="M1476" s="55" t="s">
        <v>78</v>
      </c>
      <c r="N1476" s="55" t="s">
        <v>78</v>
      </c>
      <c r="O1476" s="56">
        <v>46231.916666666664</v>
      </c>
      <c r="P1476" s="22">
        <v>46231.923611111109</v>
      </c>
      <c r="Q1476" s="58">
        <v>46231.969444444447</v>
      </c>
      <c r="S1476" s="21" t="s">
        <v>5966</v>
      </c>
      <c r="T1476" s="55" t="s">
        <v>164</v>
      </c>
      <c r="U1476" s="21"/>
      <c r="V1476" s="53" t="s">
        <v>5967</v>
      </c>
      <c r="Y1476" t="s">
        <v>158</v>
      </c>
      <c r="Z1476" t="s">
        <v>158</v>
      </c>
    </row>
    <row r="1477" spans="1:26" ht="15" hidden="1" customHeight="1">
      <c r="A1477" s="60">
        <f>ROW() - ROW(Table1[[#Headers],[s]])</f>
        <v>1476</v>
      </c>
      <c r="B1477" t="s">
        <v>5968</v>
      </c>
      <c r="C1477" s="163">
        <v>46204</v>
      </c>
      <c r="D1477" s="52" t="s">
        <v>5969</v>
      </c>
      <c r="E1477" t="s">
        <v>5970</v>
      </c>
      <c r="F1477" s="5" t="e" vm="26">
        <v>#VALUE!</v>
      </c>
      <c r="G1477" s="43" t="s">
        <v>36</v>
      </c>
      <c r="H1477" s="18" t="s">
        <v>747</v>
      </c>
      <c r="I1477" t="s">
        <v>43</v>
      </c>
      <c r="J1477" s="18" t="s">
        <v>253</v>
      </c>
      <c r="K1477" s="44" t="s">
        <v>5971</v>
      </c>
      <c r="L1477" s="44">
        <v>46231.130555555559</v>
      </c>
      <c r="M1477" s="55" t="s">
        <v>59</v>
      </c>
      <c r="N1477" s="55" t="s">
        <v>59</v>
      </c>
      <c r="O1477" s="56">
        <v>46231.270833333336</v>
      </c>
      <c r="P1477" s="22">
        <v>46231.375</v>
      </c>
      <c r="Q1477" s="58">
        <v>46231.486111111109</v>
      </c>
      <c r="S1477" s="21" t="s">
        <v>5972</v>
      </c>
      <c r="T1477" s="55" t="s">
        <v>5973</v>
      </c>
      <c r="U1477" s="21"/>
      <c r="V1477" s="21" t="s">
        <v>5972</v>
      </c>
      <c r="Y1477" s="18" t="s">
        <v>179</v>
      </c>
      <c r="Z1477" s="18" t="s">
        <v>179</v>
      </c>
    </row>
    <row r="1478" spans="1:26" ht="15" hidden="1" customHeight="1">
      <c r="A1478" s="60">
        <f>ROW() - ROW(Table1[[#Headers],[s]])</f>
        <v>1477</v>
      </c>
      <c r="B1478" s="223" t="s">
        <v>5974</v>
      </c>
      <c r="C1478" s="163">
        <v>46204</v>
      </c>
      <c r="D1478" s="52" t="s">
        <v>5975</v>
      </c>
      <c r="E1478" t="s">
        <v>5807</v>
      </c>
      <c r="F1478" t="e" vm="12">
        <v>#VALUE!</v>
      </c>
      <c r="G1478" s="43" t="s">
        <v>174</v>
      </c>
      <c r="H1478" s="18" t="s">
        <v>152</v>
      </c>
      <c r="J1478" s="18" t="s">
        <v>153</v>
      </c>
      <c r="K1478" s="44" t="s">
        <v>154</v>
      </c>
      <c r="L1478" s="44">
        <v>46231.65347222222</v>
      </c>
      <c r="M1478" s="55" t="s">
        <v>53</v>
      </c>
      <c r="N1478" s="55" t="s">
        <v>53</v>
      </c>
      <c r="O1478" s="44">
        <v>46231.729166666664</v>
      </c>
      <c r="P1478" s="44">
        <v>46231.75</v>
      </c>
      <c r="Q1478" s="44">
        <v>46231.8125</v>
      </c>
      <c r="S1478" s="21" t="s">
        <v>5976</v>
      </c>
      <c r="T1478" s="55" t="s">
        <v>164</v>
      </c>
      <c r="U1478" s="21"/>
      <c r="V1478" s="53" t="s">
        <v>5922</v>
      </c>
      <c r="Y1478" t="s">
        <v>158</v>
      </c>
      <c r="Z1478" t="s">
        <v>70</v>
      </c>
    </row>
    <row r="1479" spans="1:26" ht="15" hidden="1" customHeight="1">
      <c r="A1479" s="60">
        <f>ROW() - ROW(Table1[[#Headers],[s]])</f>
        <v>1478</v>
      </c>
      <c r="B1479" s="223" t="s">
        <v>5698</v>
      </c>
      <c r="C1479" s="272">
        <v>46204</v>
      </c>
      <c r="D1479" s="19" t="s">
        <v>5977</v>
      </c>
      <c r="E1479" t="s">
        <v>5727</v>
      </c>
      <c r="F1479" s="5" t="e" vm="25">
        <v>#VALUE!</v>
      </c>
      <c r="G1479" s="43" t="s">
        <v>151</v>
      </c>
      <c r="H1479" s="18" t="s">
        <v>152</v>
      </c>
      <c r="J1479" s="18" t="s">
        <v>153</v>
      </c>
      <c r="K1479" s="20" t="s">
        <v>154</v>
      </c>
      <c r="L1479" s="44">
        <v>46231.681250000001</v>
      </c>
      <c r="M1479" s="55" t="s">
        <v>53</v>
      </c>
      <c r="N1479" s="55" t="s">
        <v>53</v>
      </c>
      <c r="O1479" s="3">
        <v>46231.35833333333</v>
      </c>
      <c r="P1479" s="22">
        <v>46231.35833333333</v>
      </c>
      <c r="Q1479" s="22">
        <v>46231.383333333331</v>
      </c>
      <c r="S1479" s="21" t="s">
        <v>5978</v>
      </c>
      <c r="T1479" s="18" t="s">
        <v>164</v>
      </c>
      <c r="U1479" s="21"/>
      <c r="V1479" s="21" t="s">
        <v>5978</v>
      </c>
      <c r="Y1479" t="s">
        <v>158</v>
      </c>
      <c r="Z1479" t="s">
        <v>70</v>
      </c>
    </row>
    <row r="1480" spans="1:26" ht="15" hidden="1" customHeight="1">
      <c r="A1480" s="60">
        <f>ROW() - ROW(Table1[[#Headers],[s]])</f>
        <v>1479</v>
      </c>
      <c r="B1480" s="223" t="s">
        <v>5979</v>
      </c>
      <c r="C1480" s="272">
        <v>46204</v>
      </c>
      <c r="D1480" s="19" t="s">
        <v>5980</v>
      </c>
      <c r="E1480" t="s">
        <v>4655</v>
      </c>
      <c r="F1480" t="e" vm="40">
        <v>#VALUE!</v>
      </c>
      <c r="G1480" s="43" t="s">
        <v>174</v>
      </c>
      <c r="H1480" s="18" t="s">
        <v>152</v>
      </c>
      <c r="J1480" s="18" t="s">
        <v>153</v>
      </c>
      <c r="K1480" s="44" t="s">
        <v>154</v>
      </c>
      <c r="L1480" s="44">
        <v>46231.492361111108</v>
      </c>
      <c r="M1480" s="18" t="s">
        <v>39</v>
      </c>
      <c r="N1480" s="18" t="s">
        <v>39</v>
      </c>
      <c r="O1480" s="44">
        <v>46231.5625</v>
      </c>
      <c r="P1480" s="44">
        <v>46231.576388888891</v>
      </c>
      <c r="Q1480" s="44">
        <v>46231.614583333336</v>
      </c>
      <c r="S1480" s="21" t="s">
        <v>5981</v>
      </c>
      <c r="T1480" s="18" t="s">
        <v>5982</v>
      </c>
      <c r="U1480" s="21"/>
      <c r="V1480" s="21" t="s">
        <v>3744</v>
      </c>
      <c r="Y1480" t="s">
        <v>158</v>
      </c>
      <c r="Z1480" t="s">
        <v>158</v>
      </c>
    </row>
    <row r="1481" spans="1:26" ht="15" hidden="1" customHeight="1">
      <c r="A1481" s="60">
        <f>ROW() - ROW(Table1[[#Headers],[s]])</f>
        <v>1480</v>
      </c>
      <c r="B1481" t="s">
        <v>5983</v>
      </c>
      <c r="C1481" s="272">
        <v>46204</v>
      </c>
      <c r="D1481" s="19" t="s">
        <v>5984</v>
      </c>
      <c r="E1481" t="s">
        <v>5985</v>
      </c>
      <c r="F1481" s="5" t="e" vm="21">
        <v>#VALUE!</v>
      </c>
      <c r="G1481" s="43" t="s">
        <v>174</v>
      </c>
      <c r="H1481" s="18" t="s">
        <v>747</v>
      </c>
      <c r="J1481" s="18" t="s">
        <v>253</v>
      </c>
      <c r="K1481" s="44" t="s">
        <v>154</v>
      </c>
      <c r="L1481" s="44">
        <v>46231.381249999999</v>
      </c>
      <c r="M1481" s="18" t="s">
        <v>39</v>
      </c>
      <c r="N1481" s="18" t="s">
        <v>39</v>
      </c>
      <c r="O1481" s="44">
        <v>46231.395833333336</v>
      </c>
      <c r="P1481" s="44">
        <v>46231.423611111109</v>
      </c>
      <c r="Q1481" s="44">
        <v>46231.459027777775</v>
      </c>
      <c r="S1481" s="21" t="s">
        <v>473</v>
      </c>
      <c r="T1481" s="55" t="s">
        <v>266</v>
      </c>
      <c r="U1481" s="21"/>
      <c r="V1481" s="21" t="s">
        <v>2995</v>
      </c>
      <c r="Y1481" t="s">
        <v>158</v>
      </c>
      <c r="Z1481" t="s">
        <v>70</v>
      </c>
    </row>
    <row r="1482" spans="1:26" s="24" customFormat="1" ht="15" hidden="1" customHeight="1">
      <c r="A1482" s="87">
        <f>ROW() - ROW(Table1[[#Headers],[s]])</f>
        <v>1481</v>
      </c>
      <c r="B1482" s="24" t="s">
        <v>5986</v>
      </c>
      <c r="C1482" s="366">
        <v>46204</v>
      </c>
      <c r="D1482" s="242" t="s">
        <v>5987</v>
      </c>
      <c r="E1482" s="24" t="s">
        <v>5988</v>
      </c>
      <c r="F1482" t="e" vm="30">
        <v>#VALUE!</v>
      </c>
      <c r="G1482" s="256" t="s">
        <v>174</v>
      </c>
      <c r="H1482" s="259" t="s">
        <v>747</v>
      </c>
      <c r="J1482" s="259" t="s">
        <v>253</v>
      </c>
      <c r="K1482" s="142" t="s">
        <v>5989</v>
      </c>
      <c r="L1482" s="142">
        <v>46231.429861111108</v>
      </c>
      <c r="M1482" s="259" t="s">
        <v>82</v>
      </c>
      <c r="N1482" s="259" t="s">
        <v>82</v>
      </c>
      <c r="O1482" s="142">
        <v>46231.503472222219</v>
      </c>
      <c r="P1482" s="142">
        <v>46231.524305555555</v>
      </c>
      <c r="Q1482" s="142">
        <v>46231.636111111111</v>
      </c>
      <c r="S1482" s="345" t="s">
        <v>5990</v>
      </c>
      <c r="T1482" s="134" t="s">
        <v>164</v>
      </c>
      <c r="U1482" s="345"/>
      <c r="V1482" s="345" t="s">
        <v>2719</v>
      </c>
      <c r="Y1482" s="24" t="s">
        <v>158</v>
      </c>
      <c r="Z1482" s="24" t="s">
        <v>158</v>
      </c>
    </row>
    <row r="1483" spans="1:26" ht="15" hidden="1" customHeight="1">
      <c r="A1483" s="60">
        <f>ROW() - ROW(Table1[[#Headers],[s]])</f>
        <v>1482</v>
      </c>
      <c r="B1483" s="305" t="s">
        <v>5991</v>
      </c>
      <c r="C1483" s="272">
        <v>46204</v>
      </c>
      <c r="D1483" s="19" t="s">
        <v>5992</v>
      </c>
      <c r="E1483" t="s">
        <v>5993</v>
      </c>
      <c r="F1483" s="5" t="e" vm="7">
        <v>#VALUE!</v>
      </c>
      <c r="G1483" s="43" t="s">
        <v>174</v>
      </c>
      <c r="H1483" s="18" t="s">
        <v>152</v>
      </c>
      <c r="J1483" s="18" t="s">
        <v>261</v>
      </c>
      <c r="K1483" s="20" t="s">
        <v>154</v>
      </c>
      <c r="L1483" s="44">
        <v>46231.727777777778</v>
      </c>
      <c r="M1483" s="18" t="s">
        <v>85</v>
      </c>
      <c r="N1483" s="18" t="s">
        <v>85</v>
      </c>
      <c r="O1483" s="3">
        <v>46231.829861111109</v>
      </c>
      <c r="P1483" s="22">
        <v>46231.829861111109</v>
      </c>
      <c r="Q1483" s="22">
        <v>46232.468055555553</v>
      </c>
      <c r="S1483" s="21" t="s">
        <v>5994</v>
      </c>
      <c r="T1483" s="18" t="s">
        <v>5995</v>
      </c>
      <c r="U1483" s="21"/>
      <c r="V1483" s="21" t="s">
        <v>5994</v>
      </c>
      <c r="Y1483" t="s">
        <v>70</v>
      </c>
      <c r="Z1483" t="s">
        <v>158</v>
      </c>
    </row>
    <row r="1484" spans="1:26" ht="15" hidden="1" customHeight="1">
      <c r="A1484" s="60">
        <f>ROW() - ROW(Table1[[#Headers],[s]])</f>
        <v>1483</v>
      </c>
      <c r="B1484" s="223" t="s">
        <v>5996</v>
      </c>
      <c r="C1484" s="163">
        <v>46204</v>
      </c>
      <c r="D1484" s="52" t="s">
        <v>5997</v>
      </c>
      <c r="E1484" t="s">
        <v>5998</v>
      </c>
      <c r="F1484" s="5" t="e" vm="25">
        <v>#VALUE!</v>
      </c>
      <c r="G1484" s="5" t="s">
        <v>151</v>
      </c>
      <c r="H1484" s="18" t="s">
        <v>152</v>
      </c>
      <c r="J1484" s="18" t="s">
        <v>153</v>
      </c>
      <c r="K1484" s="20" t="s">
        <v>154</v>
      </c>
      <c r="L1484" s="44">
        <v>46231.71875</v>
      </c>
      <c r="M1484" s="55" t="s">
        <v>5999</v>
      </c>
      <c r="N1484" s="55" t="s">
        <v>5999</v>
      </c>
      <c r="O1484" s="56">
        <v>46232.427083333336</v>
      </c>
      <c r="P1484" s="22">
        <v>46232.448611111111</v>
      </c>
      <c r="Q1484" s="58">
        <v>46232.484027777777</v>
      </c>
      <c r="S1484" s="21" t="s">
        <v>6000</v>
      </c>
      <c r="T1484" s="55" t="s">
        <v>164</v>
      </c>
      <c r="U1484" s="21"/>
      <c r="V1484" s="53" t="s">
        <v>6000</v>
      </c>
      <c r="Y1484" t="s">
        <v>158</v>
      </c>
      <c r="Z1484" t="s">
        <v>70</v>
      </c>
    </row>
    <row r="1485" spans="1:26" ht="15" hidden="1" customHeight="1">
      <c r="A1485" s="60">
        <f>ROW() - ROW(Table1[[#Headers],[s]])</f>
        <v>1484</v>
      </c>
      <c r="B1485" s="223" t="s">
        <v>6001</v>
      </c>
      <c r="C1485" s="163">
        <v>46204</v>
      </c>
      <c r="D1485" s="52" t="s">
        <v>6002</v>
      </c>
      <c r="E1485" t="s">
        <v>6003</v>
      </c>
      <c r="F1485" t="e" vm="26">
        <v>#VALUE!</v>
      </c>
      <c r="G1485" s="43" t="s">
        <v>151</v>
      </c>
      <c r="H1485" s="18" t="s">
        <v>747</v>
      </c>
      <c r="J1485" s="18" t="s">
        <v>253</v>
      </c>
      <c r="K1485" s="44" t="s">
        <v>6004</v>
      </c>
      <c r="L1485" s="44">
        <v>46231.279861111114</v>
      </c>
      <c r="M1485" s="55" t="s">
        <v>59</v>
      </c>
      <c r="N1485" s="55" t="s">
        <v>59</v>
      </c>
      <c r="O1485" s="3">
        <v>46232.454861111109</v>
      </c>
      <c r="P1485" s="3">
        <v>46232.454861111109</v>
      </c>
      <c r="Q1485" s="58">
        <v>46232.602083333331</v>
      </c>
      <c r="S1485" s="21" t="s">
        <v>6005</v>
      </c>
      <c r="T1485" s="55" t="s">
        <v>164</v>
      </c>
      <c r="U1485" s="21"/>
      <c r="V1485" t="s">
        <v>6005</v>
      </c>
      <c r="Y1485" t="s">
        <v>158</v>
      </c>
      <c r="Z1485" t="s">
        <v>158</v>
      </c>
    </row>
    <row r="1486" spans="1:26" ht="15" hidden="1" customHeight="1">
      <c r="A1486" s="60">
        <f>ROW() - ROW(Table1[[#Headers],[s]])</f>
        <v>1485</v>
      </c>
      <c r="B1486" s="223" t="s">
        <v>6006</v>
      </c>
      <c r="C1486" s="272">
        <v>46204</v>
      </c>
      <c r="D1486" s="19" t="s">
        <v>6007</v>
      </c>
      <c r="E1486" t="s">
        <v>5190</v>
      </c>
      <c r="F1486" t="e" vm="17">
        <v>#VALUE!</v>
      </c>
      <c r="G1486" s="5" t="s">
        <v>151</v>
      </c>
      <c r="H1486" s="18" t="s">
        <v>747</v>
      </c>
      <c r="J1486" s="18" t="s">
        <v>253</v>
      </c>
      <c r="K1486" s="20" t="s">
        <v>154</v>
      </c>
      <c r="L1486" s="20">
        <v>46231.363194444442</v>
      </c>
      <c r="M1486" s="18" t="s">
        <v>4359</v>
      </c>
      <c r="N1486" s="18" t="s">
        <v>4359</v>
      </c>
      <c r="O1486" s="56">
        <v>46232.479166666664</v>
      </c>
      <c r="P1486" s="22">
        <v>46232.505555555559</v>
      </c>
      <c r="Q1486" s="22">
        <v>46232.510416666664</v>
      </c>
      <c r="S1486" s="21" t="s">
        <v>598</v>
      </c>
      <c r="T1486" s="18" t="s">
        <v>164</v>
      </c>
      <c r="U1486" s="21"/>
      <c r="V1486" s="21" t="s">
        <v>4155</v>
      </c>
      <c r="Y1486" t="s">
        <v>158</v>
      </c>
      <c r="Z1486" t="s">
        <v>158</v>
      </c>
    </row>
    <row r="1487" spans="1:26" ht="15" hidden="1" customHeight="1">
      <c r="A1487" s="60">
        <f>ROW() - ROW(Table1[[#Headers],[s]])</f>
        <v>1486</v>
      </c>
      <c r="B1487" s="405" t="s">
        <v>6008</v>
      </c>
      <c r="C1487" s="272">
        <v>46204</v>
      </c>
      <c r="D1487" s="19" t="s">
        <v>6009</v>
      </c>
      <c r="E1487" t="s">
        <v>6010</v>
      </c>
      <c r="F1487" t="e" vm="2">
        <v>#VALUE!</v>
      </c>
      <c r="G1487" s="5" t="s">
        <v>151</v>
      </c>
      <c r="H1487" s="18" t="s">
        <v>152</v>
      </c>
      <c r="J1487" s="18" t="s">
        <v>153</v>
      </c>
      <c r="K1487" s="20" t="s">
        <v>154</v>
      </c>
      <c r="L1487" s="20">
        <v>46232.413888888892</v>
      </c>
      <c r="M1487" s="18" t="s">
        <v>162</v>
      </c>
      <c r="N1487" s="18" t="s">
        <v>162</v>
      </c>
      <c r="O1487" s="3">
        <v>46232.570833333331</v>
      </c>
      <c r="P1487" s="22">
        <v>46232.572222222225</v>
      </c>
      <c r="Q1487" s="22">
        <v>46232.584027777775</v>
      </c>
      <c r="S1487" s="21" t="s">
        <v>6011</v>
      </c>
      <c r="T1487" s="18" t="s">
        <v>164</v>
      </c>
      <c r="U1487" s="21"/>
      <c r="V1487" s="21" t="s">
        <v>6011</v>
      </c>
      <c r="Y1487" t="s">
        <v>158</v>
      </c>
      <c r="Z1487" t="s">
        <v>70</v>
      </c>
    </row>
    <row r="1488" spans="1:26" ht="15" hidden="1" customHeight="1">
      <c r="A1488" s="60">
        <f>ROW() - ROW(Table1[[#Headers],[s]])</f>
        <v>1487</v>
      </c>
      <c r="B1488" s="405" t="s">
        <v>6012</v>
      </c>
      <c r="C1488" s="272">
        <v>46204</v>
      </c>
      <c r="D1488" s="19" t="s">
        <v>6013</v>
      </c>
      <c r="E1488" t="s">
        <v>6014</v>
      </c>
      <c r="F1488" t="e" vm="12">
        <v>#VALUE!</v>
      </c>
      <c r="G1488" s="5" t="s">
        <v>151</v>
      </c>
      <c r="H1488" s="18" t="s">
        <v>152</v>
      </c>
      <c r="J1488" s="18" t="s">
        <v>153</v>
      </c>
      <c r="K1488" s="20" t="s">
        <v>154</v>
      </c>
      <c r="L1488" s="20">
        <v>46232.552083333336</v>
      </c>
      <c r="M1488" s="18" t="s">
        <v>352</v>
      </c>
      <c r="N1488" s="18" t="s">
        <v>352</v>
      </c>
      <c r="O1488" s="3">
        <v>46232.62222222222</v>
      </c>
      <c r="P1488" s="22">
        <v>46232.62222222222</v>
      </c>
      <c r="Q1488" s="22">
        <v>46232.638888888891</v>
      </c>
      <c r="S1488" s="21" t="s">
        <v>6015</v>
      </c>
      <c r="T1488" s="18" t="s">
        <v>164</v>
      </c>
      <c r="U1488" s="21"/>
      <c r="V1488" s="21" t="s">
        <v>6015</v>
      </c>
      <c r="Y1488" t="s">
        <v>158</v>
      </c>
      <c r="Z1488" t="s">
        <v>70</v>
      </c>
    </row>
    <row r="1489" spans="1:26" ht="15" hidden="1" customHeight="1">
      <c r="A1489" s="60">
        <f>ROW() - ROW(Table1[[#Headers],[s]])</f>
        <v>1488</v>
      </c>
      <c r="B1489" s="405" t="s">
        <v>6016</v>
      </c>
      <c r="C1489" s="272">
        <v>46204</v>
      </c>
      <c r="D1489" s="19" t="s">
        <v>6017</v>
      </c>
      <c r="E1489" t="s">
        <v>5368</v>
      </c>
      <c r="F1489" t="e" vm="26">
        <v>#VALUE!</v>
      </c>
      <c r="G1489" s="5" t="s">
        <v>151</v>
      </c>
      <c r="H1489" s="18" t="s">
        <v>152</v>
      </c>
      <c r="J1489" s="18" t="s">
        <v>153</v>
      </c>
      <c r="K1489" s="20" t="s">
        <v>154</v>
      </c>
      <c r="L1489" s="20">
        <v>46232.658333333333</v>
      </c>
      <c r="M1489" s="18" t="s">
        <v>5059</v>
      </c>
      <c r="N1489" s="18" t="s">
        <v>5059</v>
      </c>
      <c r="O1489" s="3">
        <v>46232.75</v>
      </c>
      <c r="P1489" s="22">
        <v>46232.75</v>
      </c>
      <c r="Q1489" s="22">
        <v>46232.756944444445</v>
      </c>
      <c r="S1489" s="21" t="s">
        <v>6018</v>
      </c>
      <c r="T1489" s="18" t="s">
        <v>164</v>
      </c>
      <c r="U1489" s="21"/>
      <c r="V1489" s="21" t="s">
        <v>6019</v>
      </c>
      <c r="Y1489" t="s">
        <v>158</v>
      </c>
      <c r="Z1489" t="s">
        <v>70</v>
      </c>
    </row>
    <row r="1490" spans="1:26" ht="15" hidden="1" customHeight="1">
      <c r="A1490" s="60">
        <f>ROW() - ROW(Table1[[#Headers],[s]])</f>
        <v>1489</v>
      </c>
      <c r="B1490" s="405" t="s">
        <v>6020</v>
      </c>
      <c r="C1490" s="272">
        <v>46204</v>
      </c>
      <c r="D1490" s="19" t="s">
        <v>6021</v>
      </c>
      <c r="E1490" t="s">
        <v>6022</v>
      </c>
      <c r="F1490" t="e" vm="17">
        <v>#VALUE!</v>
      </c>
      <c r="G1490" s="5" t="s">
        <v>36</v>
      </c>
      <c r="H1490" s="18" t="s">
        <v>152</v>
      </c>
      <c r="I1490" t="s">
        <v>43</v>
      </c>
      <c r="J1490" s="18" t="s">
        <v>153</v>
      </c>
      <c r="K1490" s="20" t="s">
        <v>154</v>
      </c>
      <c r="L1490" s="20">
        <v>46232.660416666666</v>
      </c>
      <c r="M1490" s="18" t="s">
        <v>2659</v>
      </c>
      <c r="N1490" s="18" t="s">
        <v>2659</v>
      </c>
      <c r="O1490" s="3"/>
      <c r="P1490" s="22"/>
      <c r="Q1490" s="22">
        <v>46233.541666666664</v>
      </c>
      <c r="S1490" s="21" t="s">
        <v>6023</v>
      </c>
      <c r="T1490" s="18" t="s">
        <v>164</v>
      </c>
      <c r="U1490" s="21"/>
      <c r="V1490" s="21" t="s">
        <v>6024</v>
      </c>
      <c r="Y1490" t="s">
        <v>158</v>
      </c>
      <c r="Z1490" t="s">
        <v>70</v>
      </c>
    </row>
    <row r="1491" spans="1:26" ht="15" hidden="1" customHeight="1">
      <c r="A1491" s="60">
        <f>ROW() - ROW(Table1[[#Headers],[s]])</f>
        <v>1490</v>
      </c>
      <c r="B1491" s="405" t="s">
        <v>6025</v>
      </c>
      <c r="C1491" s="272">
        <v>46204</v>
      </c>
      <c r="D1491" s="19" t="s">
        <v>6026</v>
      </c>
      <c r="E1491" t="s">
        <v>6027</v>
      </c>
      <c r="F1491" t="e" vm="7">
        <v>#VALUE!</v>
      </c>
      <c r="G1491" s="5" t="s">
        <v>36</v>
      </c>
      <c r="H1491" s="18" t="s">
        <v>152</v>
      </c>
      <c r="I1491" t="s">
        <v>43</v>
      </c>
      <c r="J1491" s="18" t="s">
        <v>153</v>
      </c>
      <c r="K1491" s="20" t="s">
        <v>154</v>
      </c>
      <c r="L1491" s="20">
        <v>46232.661111111112</v>
      </c>
      <c r="M1491" s="18" t="s">
        <v>68</v>
      </c>
      <c r="N1491" s="18" t="s">
        <v>68</v>
      </c>
      <c r="O1491" s="3"/>
      <c r="P1491" s="22"/>
      <c r="Q1491" s="22">
        <v>46233.645833333336</v>
      </c>
      <c r="S1491" s="21" t="s">
        <v>2580</v>
      </c>
      <c r="T1491" s="18" t="s">
        <v>164</v>
      </c>
      <c r="U1491" s="21"/>
      <c r="V1491" s="21" t="s">
        <v>761</v>
      </c>
      <c r="Y1491" t="s">
        <v>158</v>
      </c>
      <c r="Z1491" t="s">
        <v>70</v>
      </c>
    </row>
    <row r="1492" spans="1:26" ht="15" hidden="1" customHeight="1">
      <c r="A1492" s="60">
        <f>ROW() - ROW(Table1[[#Headers],[s]])</f>
        <v>1491</v>
      </c>
      <c r="B1492" s="405" t="s">
        <v>6028</v>
      </c>
      <c r="C1492" s="272">
        <v>46204</v>
      </c>
      <c r="D1492" s="308" t="s">
        <v>6029</v>
      </c>
      <c r="E1492" t="s">
        <v>5803</v>
      </c>
      <c r="F1492" t="e" vm="10">
        <v>#VALUE!</v>
      </c>
      <c r="G1492" s="5" t="s">
        <v>151</v>
      </c>
      <c r="H1492" s="18" t="s">
        <v>152</v>
      </c>
      <c r="J1492" s="18" t="s">
        <v>153</v>
      </c>
      <c r="K1492" s="20" t="s">
        <v>154</v>
      </c>
      <c r="L1492" s="20">
        <v>46232.663194444445</v>
      </c>
      <c r="M1492" s="18" t="s">
        <v>78</v>
      </c>
      <c r="N1492" s="55" t="s">
        <v>78</v>
      </c>
      <c r="O1492" s="3">
        <v>46232.736111111109</v>
      </c>
      <c r="P1492" s="22">
        <v>46232.741666666669</v>
      </c>
      <c r="Q1492" s="22">
        <v>46232.748611111114</v>
      </c>
      <c r="S1492" s="21" t="s">
        <v>6030</v>
      </c>
      <c r="T1492" s="18" t="s">
        <v>164</v>
      </c>
      <c r="U1492" s="21"/>
      <c r="V1492" s="21" t="s">
        <v>6030</v>
      </c>
      <c r="Y1492" t="s">
        <v>158</v>
      </c>
      <c r="Z1492" t="s">
        <v>70</v>
      </c>
    </row>
    <row r="1493" spans="1:26" ht="15" hidden="1" customHeight="1">
      <c r="A1493" s="60">
        <f>ROW() - ROW(Table1[[#Headers],[s]])</f>
        <v>1492</v>
      </c>
      <c r="B1493" s="405" t="s">
        <v>6031</v>
      </c>
      <c r="C1493" s="272">
        <v>46204</v>
      </c>
      <c r="D1493" s="19" t="s">
        <v>6032</v>
      </c>
      <c r="E1493" t="s">
        <v>6033</v>
      </c>
      <c r="F1493" t="e" vm="12">
        <v>#VALUE!</v>
      </c>
      <c r="G1493" s="5" t="s">
        <v>151</v>
      </c>
      <c r="H1493" s="18" t="s">
        <v>152</v>
      </c>
      <c r="J1493" s="18" t="s">
        <v>153</v>
      </c>
      <c r="K1493" s="20" t="s">
        <v>154</v>
      </c>
      <c r="L1493" s="20">
        <v>46232.664583333331</v>
      </c>
      <c r="M1493" s="18" t="s">
        <v>352</v>
      </c>
      <c r="N1493" s="18" t="s">
        <v>352</v>
      </c>
      <c r="O1493" s="3">
        <v>46232.6875</v>
      </c>
      <c r="P1493" s="22">
        <v>46232.6875</v>
      </c>
      <c r="Q1493" s="22">
        <v>46232.709722222222</v>
      </c>
      <c r="S1493" s="21" t="s">
        <v>6034</v>
      </c>
      <c r="T1493" s="18" t="s">
        <v>164</v>
      </c>
      <c r="U1493" s="21"/>
      <c r="V1493" s="21" t="s">
        <v>3926</v>
      </c>
      <c r="Y1493" t="s">
        <v>158</v>
      </c>
      <c r="Z1493" t="s">
        <v>70</v>
      </c>
    </row>
    <row r="1494" spans="1:26" ht="15" hidden="1" customHeight="1">
      <c r="A1494" s="60">
        <f>ROW() - ROW(Table1[[#Headers],[s]])</f>
        <v>1493</v>
      </c>
      <c r="B1494" s="405" t="s">
        <v>6035</v>
      </c>
      <c r="C1494" s="272">
        <v>46204</v>
      </c>
      <c r="D1494" s="19" t="s">
        <v>6036</v>
      </c>
      <c r="E1494" t="s">
        <v>6037</v>
      </c>
      <c r="F1494" t="e" vm="2">
        <v>#VALUE!</v>
      </c>
      <c r="G1494" s="5" t="s">
        <v>151</v>
      </c>
      <c r="H1494" s="18" t="s">
        <v>747</v>
      </c>
      <c r="J1494" s="18" t="s">
        <v>253</v>
      </c>
      <c r="K1494" s="20" t="s">
        <v>154</v>
      </c>
      <c r="L1494" s="20">
        <v>46232.682638888888</v>
      </c>
      <c r="M1494" s="18" t="s">
        <v>162</v>
      </c>
      <c r="N1494" s="18" t="s">
        <v>162</v>
      </c>
      <c r="O1494" s="3"/>
      <c r="P1494" s="22"/>
      <c r="Q1494" s="22">
        <v>46232.897222222222</v>
      </c>
      <c r="S1494" s="21" t="s">
        <v>6038</v>
      </c>
      <c r="T1494" s="18" t="s">
        <v>164</v>
      </c>
      <c r="U1494" s="21"/>
      <c r="V1494" s="21" t="s">
        <v>5071</v>
      </c>
      <c r="Y1494" t="s">
        <v>158</v>
      </c>
      <c r="Z1494" t="s">
        <v>70</v>
      </c>
    </row>
    <row r="1495" spans="1:26" ht="15" hidden="1" customHeight="1">
      <c r="A1495" s="60">
        <f>ROW() - ROW(Table1[[#Headers],[s]])</f>
        <v>1494</v>
      </c>
      <c r="B1495" s="405" t="s">
        <v>6039</v>
      </c>
      <c r="C1495" s="272">
        <v>46204</v>
      </c>
      <c r="D1495" s="19" t="s">
        <v>6040</v>
      </c>
      <c r="E1495" t="s">
        <v>6041</v>
      </c>
      <c r="F1495" t="e" vm="25">
        <v>#VALUE!</v>
      </c>
      <c r="G1495" s="5" t="s">
        <v>151</v>
      </c>
      <c r="H1495" s="18" t="s">
        <v>152</v>
      </c>
      <c r="J1495" s="18" t="s">
        <v>153</v>
      </c>
      <c r="K1495" s="20" t="s">
        <v>154</v>
      </c>
      <c r="L1495" s="20">
        <v>46232.720138888886</v>
      </c>
      <c r="M1495" s="18" t="s">
        <v>72</v>
      </c>
      <c r="N1495" s="18" t="s">
        <v>72</v>
      </c>
      <c r="O1495" s="3">
        <v>46233.276388888888</v>
      </c>
      <c r="P1495" s="22">
        <v>46233.276388888888</v>
      </c>
      <c r="Q1495" s="22">
        <v>46233.290972222225</v>
      </c>
      <c r="S1495" s="21" t="s">
        <v>6042</v>
      </c>
      <c r="T1495" s="18" t="s">
        <v>164</v>
      </c>
      <c r="U1495" s="21"/>
      <c r="V1495" s="21" t="s">
        <v>6042</v>
      </c>
      <c r="Y1495" t="s">
        <v>158</v>
      </c>
      <c r="Z1495" t="s">
        <v>70</v>
      </c>
    </row>
    <row r="1496" spans="1:26" ht="15" hidden="1" customHeight="1">
      <c r="A1496" s="60">
        <f>ROW() - ROW(Table1[[#Headers],[s]])</f>
        <v>1495</v>
      </c>
      <c r="B1496" s="405" t="s">
        <v>6043</v>
      </c>
      <c r="C1496" s="272">
        <v>46204</v>
      </c>
      <c r="D1496" s="19" t="s">
        <v>6044</v>
      </c>
      <c r="E1496" t="s">
        <v>6045</v>
      </c>
      <c r="F1496" t="e" vm="17">
        <v>#VALUE!</v>
      </c>
      <c r="G1496" s="5" t="s">
        <v>151</v>
      </c>
      <c r="H1496" s="18" t="s">
        <v>152</v>
      </c>
      <c r="J1496" s="18" t="s">
        <v>153</v>
      </c>
      <c r="K1496" s="20" t="s">
        <v>154</v>
      </c>
      <c r="L1496" s="20">
        <v>46232.720833333333</v>
      </c>
      <c r="M1496" s="18" t="s">
        <v>2659</v>
      </c>
      <c r="N1496" s="18" t="s">
        <v>2659</v>
      </c>
      <c r="O1496" s="3">
        <v>46232.852083333331</v>
      </c>
      <c r="P1496" s="22">
        <v>46232.852083333331</v>
      </c>
      <c r="Q1496" s="22">
        <v>46232.924305555556</v>
      </c>
      <c r="S1496" s="21" t="s">
        <v>6046</v>
      </c>
      <c r="T1496" s="18" t="s">
        <v>164</v>
      </c>
      <c r="U1496" s="21"/>
      <c r="V1496" s="21" t="s">
        <v>6046</v>
      </c>
      <c r="Y1496" t="s">
        <v>158</v>
      </c>
      <c r="Z1496" t="s">
        <v>70</v>
      </c>
    </row>
    <row r="1497" spans="1:26" ht="15" hidden="1" customHeight="1">
      <c r="A1497" s="60">
        <f>ROW() - ROW(Table1[[#Headers],[s]])</f>
        <v>1496</v>
      </c>
      <c r="B1497" s="405" t="s">
        <v>6047</v>
      </c>
      <c r="C1497" s="272">
        <v>46204</v>
      </c>
      <c r="D1497" s="19" t="s">
        <v>6048</v>
      </c>
      <c r="E1497" t="s">
        <v>5719</v>
      </c>
      <c r="F1497" t="e" vm="37">
        <v>#VALUE!</v>
      </c>
      <c r="G1497" s="5" t="s">
        <v>151</v>
      </c>
      <c r="H1497" s="18" t="s">
        <v>152</v>
      </c>
      <c r="J1497" s="18" t="s">
        <v>153</v>
      </c>
      <c r="K1497" s="20" t="s">
        <v>154</v>
      </c>
      <c r="L1497" s="20">
        <v>46232.78125</v>
      </c>
      <c r="M1497" s="18" t="s">
        <v>5059</v>
      </c>
      <c r="N1497" s="18" t="s">
        <v>5059</v>
      </c>
      <c r="O1497" s="3">
        <v>46232.820833333331</v>
      </c>
      <c r="P1497" s="22">
        <v>46232.829861111109</v>
      </c>
      <c r="Q1497" s="22">
        <v>46232.840277777781</v>
      </c>
      <c r="S1497" s="21" t="s">
        <v>6049</v>
      </c>
      <c r="T1497" s="18" t="s">
        <v>164</v>
      </c>
      <c r="U1497" s="21"/>
      <c r="V1497" s="21" t="s">
        <v>6049</v>
      </c>
      <c r="Y1497" t="s">
        <v>158</v>
      </c>
      <c r="Z1497" t="s">
        <v>70</v>
      </c>
    </row>
    <row r="1498" spans="1:26" ht="15" hidden="1" customHeight="1">
      <c r="A1498" s="60">
        <f>ROW() - ROW(Table1[[#Headers],[s]])</f>
        <v>1497</v>
      </c>
      <c r="B1498" t="s">
        <v>6050</v>
      </c>
      <c r="C1498" s="163">
        <v>46204</v>
      </c>
      <c r="D1498" s="52" t="s">
        <v>6051</v>
      </c>
      <c r="E1498" t="s">
        <v>6052</v>
      </c>
      <c r="F1498" t="e" vm="2">
        <v>#VALUE!</v>
      </c>
      <c r="G1498" s="43" t="s">
        <v>36</v>
      </c>
      <c r="H1498" s="18" t="s">
        <v>747</v>
      </c>
      <c r="I1498" t="s">
        <v>43</v>
      </c>
      <c r="J1498" s="18" t="s">
        <v>253</v>
      </c>
      <c r="K1498" s="20" t="s">
        <v>154</v>
      </c>
      <c r="L1498" s="44">
        <v>46232.972916666666</v>
      </c>
      <c r="M1498" s="55" t="s">
        <v>162</v>
      </c>
      <c r="N1498" s="55" t="s">
        <v>162</v>
      </c>
      <c r="O1498" s="56"/>
      <c r="P1498" s="22"/>
      <c r="Q1498" s="58">
        <v>46233.433333333334</v>
      </c>
      <c r="S1498" s="21" t="s">
        <v>6053</v>
      </c>
      <c r="T1498" s="55" t="s">
        <v>164</v>
      </c>
      <c r="U1498" s="21"/>
      <c r="V1498" s="21" t="s">
        <v>6053</v>
      </c>
      <c r="Y1498" t="s">
        <v>179</v>
      </c>
      <c r="Z1498" t="s">
        <v>179</v>
      </c>
    </row>
    <row r="1499" spans="1:26" ht="15" hidden="1" customHeight="1">
      <c r="A1499" s="60">
        <f>ROW() - ROW(Table1[[#Headers],[s]])</f>
        <v>1498</v>
      </c>
      <c r="B1499" t="s">
        <v>6054</v>
      </c>
      <c r="C1499" s="163">
        <v>46204</v>
      </c>
      <c r="D1499" s="52" t="s">
        <v>6055</v>
      </c>
      <c r="E1499" t="s">
        <v>6056</v>
      </c>
      <c r="F1499" s="5" t="e" vm="21">
        <v>#VALUE!</v>
      </c>
      <c r="G1499" s="43" t="s">
        <v>36</v>
      </c>
      <c r="H1499" s="18" t="s">
        <v>152</v>
      </c>
      <c r="I1499" t="s">
        <v>43</v>
      </c>
      <c r="J1499" s="18" t="s">
        <v>153</v>
      </c>
      <c r="K1499" s="44" t="s">
        <v>154</v>
      </c>
      <c r="L1499" s="44">
        <v>46233.418749999997</v>
      </c>
      <c r="M1499" s="55" t="s">
        <v>39</v>
      </c>
      <c r="N1499" s="55" t="s">
        <v>39</v>
      </c>
      <c r="O1499" s="56"/>
      <c r="P1499" s="22"/>
      <c r="Q1499" s="58">
        <v>46233.621527777781</v>
      </c>
      <c r="S1499" s="21" t="s">
        <v>6057</v>
      </c>
      <c r="T1499" s="55" t="s">
        <v>164</v>
      </c>
      <c r="U1499" s="21"/>
      <c r="V1499" s="53" t="s">
        <v>6058</v>
      </c>
      <c r="Y1499" t="s">
        <v>158</v>
      </c>
      <c r="Z1499" t="s">
        <v>70</v>
      </c>
    </row>
    <row r="1500" spans="1:26" ht="15" hidden="1" customHeight="1">
      <c r="A1500" s="60">
        <f>ROW() - ROW(Table1[[#Headers],[s]])</f>
        <v>1499</v>
      </c>
      <c r="B1500" t="s">
        <v>6059</v>
      </c>
      <c r="C1500" s="163">
        <v>46204</v>
      </c>
      <c r="D1500" s="52" t="s">
        <v>6060</v>
      </c>
      <c r="E1500" t="s">
        <v>5278</v>
      </c>
      <c r="F1500" s="5" t="e" vm="21">
        <v>#VALUE!</v>
      </c>
      <c r="G1500" s="43" t="s">
        <v>36</v>
      </c>
      <c r="H1500" s="18" t="s">
        <v>152</v>
      </c>
      <c r="I1500" t="s">
        <v>43</v>
      </c>
      <c r="J1500" s="18" t="s">
        <v>153</v>
      </c>
      <c r="K1500" s="44" t="s">
        <v>154</v>
      </c>
      <c r="L1500" s="44">
        <v>46233.452777777777</v>
      </c>
      <c r="M1500" s="55" t="s">
        <v>39</v>
      </c>
      <c r="N1500" s="55" t="s">
        <v>39</v>
      </c>
      <c r="O1500" s="56"/>
      <c r="P1500" s="22"/>
      <c r="Q1500" s="58">
        <v>46233.614583333336</v>
      </c>
      <c r="S1500" s="21" t="s">
        <v>3607</v>
      </c>
      <c r="T1500" s="55" t="s">
        <v>164</v>
      </c>
      <c r="U1500" s="21"/>
      <c r="V1500" s="53" t="s">
        <v>6061</v>
      </c>
      <c r="Y1500" t="s">
        <v>158</v>
      </c>
      <c r="Z1500" t="s">
        <v>158</v>
      </c>
    </row>
    <row r="1501" spans="1:26" ht="15" hidden="1" customHeight="1">
      <c r="A1501" s="60">
        <f>ROW() - ROW(Table1[[#Headers],[s]])</f>
        <v>1500</v>
      </c>
      <c r="B1501" t="s">
        <v>6062</v>
      </c>
      <c r="C1501" s="163">
        <v>46204</v>
      </c>
      <c r="D1501" s="52" t="s">
        <v>6063</v>
      </c>
      <c r="E1501" t="s">
        <v>975</v>
      </c>
      <c r="F1501" s="5" t="e" vm="25">
        <v>#VALUE!</v>
      </c>
      <c r="G1501" s="43" t="s">
        <v>36</v>
      </c>
      <c r="H1501" s="18" t="s">
        <v>152</v>
      </c>
      <c r="I1501" t="s">
        <v>43</v>
      </c>
      <c r="J1501" s="18" t="s">
        <v>153</v>
      </c>
      <c r="K1501" s="44" t="s">
        <v>154</v>
      </c>
      <c r="L1501" s="44">
        <v>46233.585416666669</v>
      </c>
      <c r="M1501" s="55" t="s">
        <v>72</v>
      </c>
      <c r="N1501" s="55" t="s">
        <v>72</v>
      </c>
      <c r="O1501" s="56"/>
      <c r="P1501" s="22"/>
      <c r="Q1501" s="58">
        <v>46233.868055555555</v>
      </c>
      <c r="S1501" s="21" t="s">
        <v>6064</v>
      </c>
      <c r="T1501" s="55" t="s">
        <v>164</v>
      </c>
      <c r="U1501" s="21"/>
      <c r="V1501" s="53" t="s">
        <v>6065</v>
      </c>
      <c r="Y1501" t="s">
        <v>158</v>
      </c>
      <c r="Z1501" t="s">
        <v>70</v>
      </c>
    </row>
    <row r="1502" spans="1:26" ht="15" hidden="1" customHeight="1">
      <c r="A1502" s="60">
        <f>ROW() - ROW(Table1[[#Headers],[s]])</f>
        <v>1501</v>
      </c>
      <c r="B1502" t="s">
        <v>6066</v>
      </c>
      <c r="C1502" s="163">
        <v>46204</v>
      </c>
      <c r="D1502" s="52" t="s">
        <v>6067</v>
      </c>
      <c r="E1502" t="s">
        <v>6068</v>
      </c>
      <c r="F1502" t="e" vm="12">
        <v>#VALUE!</v>
      </c>
      <c r="G1502" s="43" t="s">
        <v>36</v>
      </c>
      <c r="H1502" s="18" t="s">
        <v>152</v>
      </c>
      <c r="I1502" t="s">
        <v>43</v>
      </c>
      <c r="J1502" s="18" t="s">
        <v>153</v>
      </c>
      <c r="K1502" s="44" t="s">
        <v>154</v>
      </c>
      <c r="L1502" s="44">
        <v>46233.59375</v>
      </c>
      <c r="M1502" s="55" t="s">
        <v>882</v>
      </c>
      <c r="N1502" s="55" t="s">
        <v>882</v>
      </c>
      <c r="O1502" s="56"/>
      <c r="P1502" s="22"/>
      <c r="Q1502" s="58">
        <v>46233.645833333336</v>
      </c>
      <c r="S1502" s="21" t="s">
        <v>6069</v>
      </c>
      <c r="T1502" s="55" t="s">
        <v>164</v>
      </c>
      <c r="U1502" s="21"/>
      <c r="V1502" s="53" t="s">
        <v>6070</v>
      </c>
      <c r="Y1502" t="s">
        <v>158</v>
      </c>
      <c r="Z1502" t="s">
        <v>70</v>
      </c>
    </row>
    <row r="1503" spans="1:26" ht="15" hidden="1" customHeight="1">
      <c r="A1503" s="60">
        <f>ROW() - ROW(Table1[[#Headers],[s]])</f>
        <v>1502</v>
      </c>
      <c r="B1503" t="s">
        <v>6071</v>
      </c>
      <c r="C1503" s="163">
        <v>46204</v>
      </c>
      <c r="D1503" s="52" t="s">
        <v>6072</v>
      </c>
      <c r="E1503" t="s">
        <v>6073</v>
      </c>
      <c r="F1503" s="5" t="e" vm="42">
        <v>#VALUE!</v>
      </c>
      <c r="G1503" s="43" t="s">
        <v>36</v>
      </c>
      <c r="H1503" s="18" t="s">
        <v>152</v>
      </c>
      <c r="I1503" t="s">
        <v>43</v>
      </c>
      <c r="J1503" s="18" t="s">
        <v>153</v>
      </c>
      <c r="K1503" s="44" t="s">
        <v>154</v>
      </c>
      <c r="L1503" s="44">
        <v>46233.592361111114</v>
      </c>
      <c r="M1503" s="55" t="s">
        <v>3868</v>
      </c>
      <c r="N1503" s="55" t="s">
        <v>3868</v>
      </c>
      <c r="O1503" s="56"/>
      <c r="P1503" s="22"/>
      <c r="Q1503" s="58">
        <v>46233.75</v>
      </c>
      <c r="S1503" s="21" t="s">
        <v>6074</v>
      </c>
      <c r="T1503" s="55" t="s">
        <v>164</v>
      </c>
      <c r="U1503" s="21"/>
      <c r="V1503" s="53" t="s">
        <v>6075</v>
      </c>
      <c r="Y1503" t="s">
        <v>158</v>
      </c>
      <c r="Z1503" t="s">
        <v>70</v>
      </c>
    </row>
    <row r="1504" spans="1:26" ht="15" hidden="1" customHeight="1">
      <c r="A1504" s="60">
        <f>ROW() - ROW(Table1[[#Headers],[s]])</f>
        <v>1503</v>
      </c>
      <c r="B1504" s="210" t="s">
        <v>6076</v>
      </c>
      <c r="C1504" s="163">
        <v>46204</v>
      </c>
      <c r="D1504" s="52" t="s">
        <v>6077</v>
      </c>
      <c r="E1504" t="s">
        <v>5546</v>
      </c>
      <c r="F1504" s="5" t="e" vm="5">
        <v>#VALUE!</v>
      </c>
      <c r="G1504" s="43" t="s">
        <v>36</v>
      </c>
      <c r="H1504" s="18" t="s">
        <v>152</v>
      </c>
      <c r="I1504" t="s">
        <v>43</v>
      </c>
      <c r="J1504" s="18" t="s">
        <v>153</v>
      </c>
      <c r="K1504" s="44" t="s">
        <v>154</v>
      </c>
      <c r="L1504" s="44">
        <v>46233.609722222223</v>
      </c>
      <c r="M1504" s="55" t="s">
        <v>55</v>
      </c>
      <c r="N1504" s="55" t="s">
        <v>55</v>
      </c>
      <c r="O1504" s="56"/>
      <c r="P1504" s="22"/>
      <c r="Q1504" s="58">
        <v>46233.875</v>
      </c>
      <c r="S1504" s="21" t="s">
        <v>6078</v>
      </c>
      <c r="T1504" s="55" t="s">
        <v>164</v>
      </c>
      <c r="U1504" s="21"/>
      <c r="V1504" s="53" t="s">
        <v>6079</v>
      </c>
      <c r="Y1504" t="s">
        <v>158</v>
      </c>
      <c r="Z1504" t="s">
        <v>158</v>
      </c>
    </row>
    <row r="1505" spans="1:26" ht="15" hidden="1" customHeight="1">
      <c r="A1505" s="60">
        <f>ROW() - ROW(Table1[[#Headers],[s]])</f>
        <v>1504</v>
      </c>
      <c r="B1505" t="s">
        <v>6080</v>
      </c>
      <c r="C1505" s="163">
        <v>46204</v>
      </c>
      <c r="D1505" s="52" t="s">
        <v>6081</v>
      </c>
      <c r="E1505" t="s">
        <v>6082</v>
      </c>
      <c r="F1505" t="e" vm="40">
        <v>#VALUE!</v>
      </c>
      <c r="G1505" s="43" t="s">
        <v>174</v>
      </c>
      <c r="H1505" s="18" t="s">
        <v>152</v>
      </c>
      <c r="J1505" s="18" t="s">
        <v>153</v>
      </c>
      <c r="K1505" s="44" t="s">
        <v>154</v>
      </c>
      <c r="L1505" s="44">
        <v>46233.689583333333</v>
      </c>
      <c r="M1505" s="55" t="s">
        <v>39</v>
      </c>
      <c r="N1505" s="55" t="s">
        <v>39</v>
      </c>
      <c r="O1505" s="56">
        <v>46234.333333333336</v>
      </c>
      <c r="P1505" s="56">
        <v>46234.354166666664</v>
      </c>
      <c r="Q1505" s="56">
        <v>46234.375</v>
      </c>
      <c r="S1505" s="21" t="s">
        <v>6083</v>
      </c>
      <c r="T1505" s="55" t="s">
        <v>3081</v>
      </c>
      <c r="U1505" s="21"/>
      <c r="V1505" s="53" t="s">
        <v>4746</v>
      </c>
      <c r="Y1505" t="s">
        <v>158</v>
      </c>
      <c r="Z1505" t="s">
        <v>70</v>
      </c>
    </row>
    <row r="1506" spans="1:26" ht="15" hidden="1" customHeight="1">
      <c r="A1506" s="60">
        <f>ROW() - ROW(Table1[[#Headers],[s]])</f>
        <v>1505</v>
      </c>
      <c r="B1506" s="350" t="s">
        <v>6084</v>
      </c>
      <c r="C1506" s="163">
        <v>46235</v>
      </c>
      <c r="D1506" s="52" t="s">
        <v>6085</v>
      </c>
      <c r="E1506" t="s">
        <v>6086</v>
      </c>
      <c r="F1506" s="5" t="e" vm="25">
        <v>#VALUE!</v>
      </c>
      <c r="G1506" s="43" t="s">
        <v>174</v>
      </c>
      <c r="H1506" s="18" t="s">
        <v>152</v>
      </c>
      <c r="J1506" s="18" t="s">
        <v>153</v>
      </c>
      <c r="K1506" s="44" t="s">
        <v>154</v>
      </c>
      <c r="L1506" s="44">
        <v>46234.365972222222</v>
      </c>
      <c r="M1506" s="55" t="s">
        <v>352</v>
      </c>
      <c r="N1506" s="55" t="s">
        <v>352</v>
      </c>
      <c r="O1506" s="44">
        <v>46234.416666666664</v>
      </c>
      <c r="P1506" s="44">
        <v>46234.440972222219</v>
      </c>
      <c r="Q1506" s="44">
        <v>46234.520833333336</v>
      </c>
      <c r="S1506" s="21" t="s">
        <v>6087</v>
      </c>
      <c r="T1506" s="55" t="s">
        <v>516</v>
      </c>
      <c r="U1506" s="21"/>
      <c r="V1506" s="53" t="s">
        <v>6088</v>
      </c>
      <c r="Y1506" t="s">
        <v>158</v>
      </c>
      <c r="Z1506" t="s">
        <v>70</v>
      </c>
    </row>
    <row r="1507" spans="1:26" s="24" customFormat="1" ht="15" hidden="1" customHeight="1">
      <c r="A1507" s="87">
        <f>ROW() - ROW(Table1[[#Headers],[s]])</f>
        <v>1506</v>
      </c>
      <c r="B1507" s="406" t="s">
        <v>6089</v>
      </c>
      <c r="C1507" s="348">
        <v>46204</v>
      </c>
      <c r="D1507" s="59" t="s">
        <v>6090</v>
      </c>
      <c r="E1507" s="24" t="s">
        <v>5449</v>
      </c>
      <c r="F1507" s="256" t="e" vm="7">
        <v>#VALUE!</v>
      </c>
      <c r="G1507" s="90" t="s">
        <v>174</v>
      </c>
      <c r="H1507" s="259" t="s">
        <v>747</v>
      </c>
      <c r="J1507" s="259" t="s">
        <v>253</v>
      </c>
      <c r="K1507" s="407" t="s">
        <v>6091</v>
      </c>
      <c r="L1507" s="142">
        <v>46234.384027777778</v>
      </c>
      <c r="M1507" s="134" t="s">
        <v>68</v>
      </c>
      <c r="N1507" s="134" t="s">
        <v>68</v>
      </c>
      <c r="O1507" s="142">
        <v>46234.46875</v>
      </c>
      <c r="P1507" s="142">
        <v>46234.5</v>
      </c>
      <c r="Q1507" s="142">
        <v>46234.665972222225</v>
      </c>
      <c r="S1507" s="345" t="s">
        <v>2902</v>
      </c>
      <c r="T1507" s="134" t="s">
        <v>4685</v>
      </c>
      <c r="U1507" s="345"/>
      <c r="V1507" s="341" t="s">
        <v>2501</v>
      </c>
      <c r="Y1507" s="24" t="s">
        <v>158</v>
      </c>
      <c r="Z1507" s="24" t="s">
        <v>158</v>
      </c>
    </row>
    <row r="1508" spans="1:26" ht="15" hidden="1" customHeight="1">
      <c r="A1508" s="60">
        <f>ROW() - ROW(Table1[[#Headers],[s]])</f>
        <v>1507</v>
      </c>
      <c r="B1508" s="223" t="s">
        <v>6092</v>
      </c>
      <c r="C1508" s="163">
        <v>46235</v>
      </c>
      <c r="D1508" s="305" t="s">
        <v>6093</v>
      </c>
      <c r="E1508" t="s">
        <v>6094</v>
      </c>
      <c r="F1508" t="e" vm="49">
        <v>#VALUE!</v>
      </c>
      <c r="G1508" s="43" t="s">
        <v>174</v>
      </c>
      <c r="H1508" s="18" t="s">
        <v>152</v>
      </c>
      <c r="J1508" s="18" t="s">
        <v>153</v>
      </c>
      <c r="K1508" s="44" t="s">
        <v>154</v>
      </c>
      <c r="L1508" s="44">
        <v>46234.65</v>
      </c>
      <c r="M1508" s="55" t="s">
        <v>779</v>
      </c>
      <c r="N1508" s="55" t="s">
        <v>779</v>
      </c>
      <c r="O1508" s="44">
        <v>46234.71875</v>
      </c>
      <c r="P1508" s="44">
        <v>46234.732638888891</v>
      </c>
      <c r="Q1508" s="44">
        <v>46234.798611111109</v>
      </c>
      <c r="S1508" s="21" t="s">
        <v>6095</v>
      </c>
      <c r="T1508" s="55" t="s">
        <v>516</v>
      </c>
      <c r="U1508" s="21"/>
      <c r="V1508" s="53" t="s">
        <v>6096</v>
      </c>
      <c r="Y1508" t="s">
        <v>158</v>
      </c>
      <c r="Z1508" t="s">
        <v>70</v>
      </c>
    </row>
    <row r="1509" spans="1:26" ht="15" hidden="1" customHeight="1">
      <c r="A1509" s="60">
        <f>ROW() - ROW(Table1[[#Headers],[s]])</f>
        <v>1508</v>
      </c>
      <c r="B1509" s="223" t="s">
        <v>6097</v>
      </c>
      <c r="C1509" s="181" t="s">
        <v>60</v>
      </c>
      <c r="D1509" s="305" t="s">
        <v>6098</v>
      </c>
      <c r="E1509" t="s">
        <v>6099</v>
      </c>
      <c r="F1509" s="18" t="e" vm="10">
        <v>#VALUE!</v>
      </c>
      <c r="G1509" s="43" t="s">
        <v>174</v>
      </c>
      <c r="H1509" s="18" t="s">
        <v>152</v>
      </c>
      <c r="J1509" s="18" t="s">
        <v>153</v>
      </c>
      <c r="K1509" s="42" t="s">
        <v>154</v>
      </c>
      <c r="L1509" s="44">
        <v>46234.654861111114</v>
      </c>
      <c r="M1509" s="55" t="s">
        <v>78</v>
      </c>
      <c r="N1509" s="55" t="s">
        <v>78</v>
      </c>
      <c r="O1509" s="56"/>
      <c r="P1509" s="22"/>
      <c r="Q1509" s="58"/>
      <c r="S1509" s="44" t="s">
        <v>6100</v>
      </c>
      <c r="T1509" s="55" t="s">
        <v>164</v>
      </c>
      <c r="U1509" s="21"/>
      <c r="V1509" s="44" t="s">
        <v>6100</v>
      </c>
      <c r="Y1509" t="s">
        <v>179</v>
      </c>
      <c r="Z1509" t="s">
        <v>179</v>
      </c>
    </row>
    <row r="1510" spans="1:26" ht="15" hidden="1" customHeight="1">
      <c r="A1510" s="60">
        <f>ROW() - ROW(Table1[[#Headers],[s]])</f>
        <v>1509</v>
      </c>
      <c r="B1510" s="223" t="s">
        <v>6101</v>
      </c>
      <c r="C1510" s="181" t="s">
        <v>60</v>
      </c>
      <c r="D1510" s="305" t="s">
        <v>6102</v>
      </c>
      <c r="E1510" t="s">
        <v>6099</v>
      </c>
      <c r="F1510" s="18" t="e" vm="10">
        <v>#VALUE!</v>
      </c>
      <c r="G1510" s="43" t="s">
        <v>174</v>
      </c>
      <c r="H1510" s="18" t="s">
        <v>152</v>
      </c>
      <c r="J1510" s="18" t="s">
        <v>153</v>
      </c>
      <c r="K1510" s="42" t="s">
        <v>154</v>
      </c>
      <c r="L1510" s="44">
        <v>46234.654166666667</v>
      </c>
      <c r="M1510" s="55" t="s">
        <v>78</v>
      </c>
      <c r="N1510" s="55" t="s">
        <v>78</v>
      </c>
      <c r="O1510" s="56"/>
      <c r="P1510" s="22"/>
      <c r="Q1510" s="58"/>
      <c r="S1510" s="44" t="s">
        <v>6100</v>
      </c>
      <c r="T1510" s="55" t="s">
        <v>164</v>
      </c>
      <c r="U1510" s="21"/>
      <c r="V1510" s="44" t="s">
        <v>6100</v>
      </c>
      <c r="Y1510" t="s">
        <v>179</v>
      </c>
      <c r="Z1510" t="s">
        <v>179</v>
      </c>
    </row>
    <row r="1511" spans="1:26" ht="15" hidden="1" customHeight="1">
      <c r="A1511" s="60">
        <f>ROW() - ROW(Table1[[#Headers],[s]])</f>
        <v>1510</v>
      </c>
      <c r="B1511" s="223" t="s">
        <v>6103</v>
      </c>
      <c r="C1511" s="163">
        <v>46235</v>
      </c>
      <c r="D1511" s="305" t="s">
        <v>6104</v>
      </c>
      <c r="E1511" t="s">
        <v>6105</v>
      </c>
      <c r="F1511" s="18" t="e" vm="25">
        <v>#VALUE!</v>
      </c>
      <c r="G1511" s="43" t="s">
        <v>174</v>
      </c>
      <c r="H1511" s="18" t="s">
        <v>152</v>
      </c>
      <c r="J1511" s="18" t="s">
        <v>153</v>
      </c>
      <c r="K1511" s="44" t="s">
        <v>154</v>
      </c>
      <c r="L1511" s="44">
        <v>46234.609027777777</v>
      </c>
      <c r="M1511" s="55" t="s">
        <v>72</v>
      </c>
      <c r="N1511" s="55" t="s">
        <v>72</v>
      </c>
      <c r="O1511" s="44">
        <v>46234.645833333336</v>
      </c>
      <c r="P1511" s="44">
        <v>46234.673611111109</v>
      </c>
      <c r="Q1511" s="44">
        <v>46234.729166666664</v>
      </c>
      <c r="S1511" s="21" t="s">
        <v>6083</v>
      </c>
      <c r="T1511" s="55" t="s">
        <v>2765</v>
      </c>
      <c r="U1511" s="21"/>
      <c r="V1511" s="53" t="s">
        <v>4746</v>
      </c>
      <c r="Y1511" t="s">
        <v>158</v>
      </c>
      <c r="Z1511" t="s">
        <v>70</v>
      </c>
    </row>
    <row r="1512" spans="1:26" ht="15" hidden="1" customHeight="1">
      <c r="A1512" s="60">
        <f>ROW() - ROW(Table1[[#Headers],[s]])</f>
        <v>1511</v>
      </c>
      <c r="B1512" s="223" t="s">
        <v>6106</v>
      </c>
      <c r="C1512" s="163">
        <v>46235</v>
      </c>
      <c r="D1512" s="417" t="s">
        <v>6107</v>
      </c>
      <c r="E1512" t="s">
        <v>5736</v>
      </c>
      <c r="F1512" s="18" t="e" vm="2">
        <v>#VALUE!</v>
      </c>
      <c r="G1512" s="43" t="s">
        <v>174</v>
      </c>
      <c r="H1512" s="18" t="s">
        <v>152</v>
      </c>
      <c r="J1512" s="18" t="s">
        <v>153</v>
      </c>
      <c r="K1512" s="44" t="s">
        <v>154</v>
      </c>
      <c r="L1512" s="44">
        <v>46234.590277777781</v>
      </c>
      <c r="M1512" s="55" t="s">
        <v>162</v>
      </c>
      <c r="N1512" s="55" t="s">
        <v>162</v>
      </c>
      <c r="O1512" s="44">
        <v>46234.666666666664</v>
      </c>
      <c r="P1512" s="44">
        <v>46234.690972222219</v>
      </c>
      <c r="Q1512" s="44">
        <v>46234.756944444445</v>
      </c>
      <c r="S1512" s="21" t="s">
        <v>6108</v>
      </c>
      <c r="T1512" s="55" t="s">
        <v>2765</v>
      </c>
      <c r="U1512" s="21"/>
      <c r="V1512" s="53" t="s">
        <v>4746</v>
      </c>
      <c r="Y1512" t="s">
        <v>158</v>
      </c>
      <c r="Z1512" t="s">
        <v>70</v>
      </c>
    </row>
    <row r="1513" spans="1:26" ht="15" hidden="1" customHeight="1">
      <c r="A1513" s="60">
        <f>ROW() - ROW(Table1[[#Headers],[s]])</f>
        <v>1512</v>
      </c>
      <c r="B1513" s="223" t="s">
        <v>6109</v>
      </c>
      <c r="C1513" s="163">
        <v>46235</v>
      </c>
      <c r="D1513" s="305" t="s">
        <v>6110</v>
      </c>
      <c r="E1513" t="s">
        <v>6111</v>
      </c>
      <c r="F1513" s="18" t="e" vm="25">
        <v>#VALUE!</v>
      </c>
      <c r="G1513" s="43" t="s">
        <v>174</v>
      </c>
      <c r="H1513" s="18" t="s">
        <v>152</v>
      </c>
      <c r="J1513" s="18" t="s">
        <v>153</v>
      </c>
      <c r="K1513" s="44" t="s">
        <v>154</v>
      </c>
      <c r="L1513" s="44">
        <v>46234.566666666666</v>
      </c>
      <c r="M1513" s="55" t="s">
        <v>72</v>
      </c>
      <c r="N1513" s="55" t="s">
        <v>72</v>
      </c>
      <c r="O1513" s="44">
        <v>46234.566666666666</v>
      </c>
      <c r="P1513" s="44">
        <v>46234.566666666666</v>
      </c>
      <c r="Q1513" s="44">
        <v>46234.566666666666</v>
      </c>
      <c r="S1513" s="21" t="s">
        <v>6112</v>
      </c>
      <c r="T1513" s="55" t="s">
        <v>2765</v>
      </c>
      <c r="U1513" s="21"/>
      <c r="V1513" s="53" t="s">
        <v>3012</v>
      </c>
      <c r="Y1513" t="s">
        <v>158</v>
      </c>
      <c r="Z1513" t="s">
        <v>70</v>
      </c>
    </row>
    <row r="1514" spans="1:26" ht="15" hidden="1" customHeight="1">
      <c r="A1514" s="60">
        <f>ROW() - ROW(Table1[[#Headers],[s]])</f>
        <v>1513</v>
      </c>
      <c r="B1514" s="223" t="s">
        <v>6113</v>
      </c>
      <c r="C1514" s="163">
        <v>46235</v>
      </c>
      <c r="D1514" s="305" t="s">
        <v>6114</v>
      </c>
      <c r="E1514" t="s">
        <v>5210</v>
      </c>
      <c r="F1514" s="5" t="e" vm="17">
        <v>#VALUE!</v>
      </c>
      <c r="G1514" s="43" t="s">
        <v>174</v>
      </c>
      <c r="H1514" s="18" t="s">
        <v>152</v>
      </c>
      <c r="J1514" s="18" t="s">
        <v>153</v>
      </c>
      <c r="K1514" s="44" t="s">
        <v>154</v>
      </c>
      <c r="L1514" s="44">
        <v>46234.446527777778</v>
      </c>
      <c r="M1514" s="55" t="s">
        <v>227</v>
      </c>
      <c r="N1514" s="55" t="s">
        <v>227</v>
      </c>
      <c r="O1514" s="44">
        <v>46234.53125</v>
      </c>
      <c r="P1514" s="44">
        <v>46234.552083333336</v>
      </c>
      <c r="Q1514" s="44">
        <v>46234.614583333336</v>
      </c>
      <c r="S1514" s="21" t="s">
        <v>6083</v>
      </c>
      <c r="T1514" s="55" t="s">
        <v>2765</v>
      </c>
      <c r="U1514" s="21"/>
      <c r="V1514" s="53" t="s">
        <v>3012</v>
      </c>
      <c r="Y1514" t="s">
        <v>158</v>
      </c>
      <c r="Z1514" t="s">
        <v>70</v>
      </c>
    </row>
    <row r="1515" spans="1:26" ht="15" hidden="1" customHeight="1">
      <c r="A1515" s="60">
        <f>ROW() - ROW(Table1[[#Headers],[s]])</f>
        <v>1514</v>
      </c>
      <c r="B1515" s="223" t="s">
        <v>6115</v>
      </c>
      <c r="C1515" s="163">
        <v>46235</v>
      </c>
      <c r="D1515" s="52" t="s">
        <v>6116</v>
      </c>
      <c r="E1515" t="s">
        <v>5347</v>
      </c>
      <c r="F1515" t="e" vm="12">
        <v>#VALUE!</v>
      </c>
      <c r="G1515" s="43" t="s">
        <v>174</v>
      </c>
      <c r="H1515" s="18" t="s">
        <v>152</v>
      </c>
      <c r="J1515" s="18" t="s">
        <v>153</v>
      </c>
      <c r="K1515" s="44" t="s">
        <v>154</v>
      </c>
      <c r="L1515" s="44">
        <v>46234.443055555559</v>
      </c>
      <c r="M1515" s="55" t="s">
        <v>882</v>
      </c>
      <c r="N1515" s="55" t="s">
        <v>882</v>
      </c>
      <c r="O1515" s="44">
        <v>46234.5</v>
      </c>
      <c r="P1515" s="44">
        <v>46234.520833333336</v>
      </c>
      <c r="Q1515" s="44">
        <v>46234.565972222219</v>
      </c>
      <c r="S1515" s="21" t="s">
        <v>3737</v>
      </c>
      <c r="T1515" s="55" t="s">
        <v>478</v>
      </c>
      <c r="U1515" s="21"/>
      <c r="V1515" s="53" t="s">
        <v>3744</v>
      </c>
      <c r="Y1515" t="s">
        <v>158</v>
      </c>
      <c r="Z1515" t="s">
        <v>158</v>
      </c>
    </row>
    <row r="1516" spans="1:26" ht="15" hidden="1" customHeight="1">
      <c r="A1516" s="60">
        <f>ROW() - ROW(Table1[[#Headers],[s]])</f>
        <v>1515</v>
      </c>
      <c r="B1516" s="223" t="s">
        <v>5996</v>
      </c>
      <c r="C1516" s="163">
        <v>46235</v>
      </c>
      <c r="D1516" s="305" t="s">
        <v>6117</v>
      </c>
      <c r="E1516" t="s">
        <v>5998</v>
      </c>
      <c r="F1516" s="5" t="e" vm="25">
        <v>#VALUE!</v>
      </c>
      <c r="G1516" s="43" t="s">
        <v>174</v>
      </c>
      <c r="H1516" s="18" t="s">
        <v>152</v>
      </c>
      <c r="J1516" s="18" t="s">
        <v>153</v>
      </c>
      <c r="K1516" s="44" t="s">
        <v>154</v>
      </c>
      <c r="L1516" s="44">
        <v>46234.599305555559</v>
      </c>
      <c r="M1516" s="55" t="s">
        <v>72</v>
      </c>
      <c r="N1516" s="55" t="s">
        <v>72</v>
      </c>
      <c r="O1516" s="44">
        <v>46234.645833333336</v>
      </c>
      <c r="P1516" s="44">
        <v>46234.65625</v>
      </c>
      <c r="Q1516" s="44">
        <v>46234.697916666664</v>
      </c>
      <c r="S1516" s="21" t="s">
        <v>6118</v>
      </c>
      <c r="T1516" s="55" t="s">
        <v>478</v>
      </c>
      <c r="U1516" s="21"/>
      <c r="V1516" s="53" t="s">
        <v>3869</v>
      </c>
      <c r="Y1516" t="s">
        <v>158</v>
      </c>
      <c r="Z1516" t="s">
        <v>70</v>
      </c>
    </row>
    <row r="1517" spans="1:26" ht="15" hidden="1" customHeight="1">
      <c r="A1517" s="60">
        <f>ROW() - ROW(Table1[[#Headers],[s]])</f>
        <v>1516</v>
      </c>
      <c r="B1517" t="s">
        <v>6119</v>
      </c>
      <c r="C1517" s="163">
        <v>46235</v>
      </c>
      <c r="D1517" s="52" t="s">
        <v>6120</v>
      </c>
      <c r="E1517" t="s">
        <v>6121</v>
      </c>
      <c r="F1517" s="5" t="e" vm="21">
        <v>#VALUE!</v>
      </c>
      <c r="G1517" s="43" t="s">
        <v>200</v>
      </c>
      <c r="H1517" s="18" t="s">
        <v>747</v>
      </c>
      <c r="J1517" s="18" t="s">
        <v>253</v>
      </c>
      <c r="K1517" s="44" t="s">
        <v>154</v>
      </c>
      <c r="L1517" s="44">
        <v>46234.701388888891</v>
      </c>
      <c r="M1517" s="55" t="s">
        <v>39</v>
      </c>
      <c r="N1517" s="55" t="s">
        <v>39</v>
      </c>
      <c r="O1517" s="56">
        <v>46235.333333333336</v>
      </c>
      <c r="P1517" s="22">
        <v>46235.375</v>
      </c>
      <c r="Q1517" s="58">
        <v>46235.479166666664</v>
      </c>
      <c r="S1517" s="21" t="s">
        <v>6122</v>
      </c>
      <c r="T1517" s="55" t="s">
        <v>516</v>
      </c>
      <c r="U1517" s="21"/>
      <c r="V1517" s="53" t="s">
        <v>6123</v>
      </c>
      <c r="Y1517" t="s">
        <v>70</v>
      </c>
      <c r="Z1517" t="s">
        <v>52</v>
      </c>
    </row>
    <row r="1518" spans="1:26" ht="15" hidden="1" customHeight="1">
      <c r="A1518" s="60">
        <f>ROW() - ROW(Table1[[#Headers],[s]])</f>
        <v>1517</v>
      </c>
      <c r="B1518" t="s">
        <v>6124</v>
      </c>
      <c r="C1518" s="163">
        <v>46204</v>
      </c>
      <c r="D1518" s="52" t="s">
        <v>6125</v>
      </c>
      <c r="E1518" t="s">
        <v>5227</v>
      </c>
      <c r="F1518" t="e" vm="40">
        <v>#VALUE!</v>
      </c>
      <c r="G1518" s="43" t="s">
        <v>174</v>
      </c>
      <c r="H1518" s="18" t="s">
        <v>747</v>
      </c>
      <c r="J1518" s="18" t="s">
        <v>253</v>
      </c>
      <c r="K1518" s="44" t="s">
        <v>154</v>
      </c>
      <c r="L1518" s="44">
        <v>46234.46597222222</v>
      </c>
      <c r="M1518" s="55" t="s">
        <v>39</v>
      </c>
      <c r="N1518" s="55" t="s">
        <v>39</v>
      </c>
      <c r="O1518" s="44">
        <v>46234.510416666664</v>
      </c>
      <c r="P1518" s="44">
        <v>46234.520833333336</v>
      </c>
      <c r="Q1518" s="44">
        <v>46234.55972222222</v>
      </c>
      <c r="S1518" s="21" t="s">
        <v>6126</v>
      </c>
      <c r="T1518" s="55" t="s">
        <v>4701</v>
      </c>
      <c r="U1518" s="21"/>
      <c r="V1518" s="53" t="s">
        <v>6127</v>
      </c>
      <c r="Y1518" t="s">
        <v>158</v>
      </c>
      <c r="Z1518" t="s">
        <v>70</v>
      </c>
    </row>
    <row r="1519" spans="1:26" ht="15" hidden="1" customHeight="1">
      <c r="A1519" s="60">
        <f>ROW() - ROW(Table1[[#Headers],[s]])</f>
        <v>1518</v>
      </c>
      <c r="B1519" s="223" t="s">
        <v>6128</v>
      </c>
      <c r="C1519" s="181" t="s">
        <v>60</v>
      </c>
      <c r="D1519" s="52" t="s">
        <v>6129</v>
      </c>
      <c r="E1519" t="s">
        <v>5347</v>
      </c>
      <c r="F1519" t="e" vm="12">
        <v>#VALUE!</v>
      </c>
      <c r="G1519" s="43" t="s">
        <v>174</v>
      </c>
      <c r="H1519" s="18" t="s">
        <v>152</v>
      </c>
      <c r="J1519" s="18" t="s">
        <v>153</v>
      </c>
      <c r="K1519" s="42" t="s">
        <v>154</v>
      </c>
      <c r="L1519" s="44">
        <v>46234.603472222225</v>
      </c>
      <c r="M1519" s="55" t="s">
        <v>882</v>
      </c>
      <c r="N1519" s="55" t="s">
        <v>882</v>
      </c>
      <c r="O1519" s="56"/>
      <c r="P1519" s="22"/>
      <c r="Q1519" s="58"/>
      <c r="S1519" s="44" t="s">
        <v>6130</v>
      </c>
      <c r="T1519" s="55" t="s">
        <v>179</v>
      </c>
      <c r="U1519" s="21"/>
      <c r="V1519" s="53"/>
      <c r="Y1519" t="s">
        <v>179</v>
      </c>
      <c r="Z1519" t="s">
        <v>179</v>
      </c>
    </row>
    <row r="1520" spans="1:26" ht="15" hidden="1" customHeight="1">
      <c r="A1520" s="60">
        <f>ROW() - ROW(Table1[[#Headers],[s]])</f>
        <v>1519</v>
      </c>
      <c r="B1520" s="223" t="s">
        <v>6131</v>
      </c>
      <c r="C1520" s="163">
        <v>46235</v>
      </c>
      <c r="D1520" s="52" t="s">
        <v>6132</v>
      </c>
      <c r="E1520" t="s">
        <v>5278</v>
      </c>
      <c r="F1520" s="5" t="e" vm="21">
        <v>#VALUE!</v>
      </c>
      <c r="G1520" s="43" t="s">
        <v>200</v>
      </c>
      <c r="H1520" s="18" t="s">
        <v>152</v>
      </c>
      <c r="J1520" s="18" t="s">
        <v>153</v>
      </c>
      <c r="K1520" s="44" t="s">
        <v>154</v>
      </c>
      <c r="L1520" s="44">
        <v>46234.841666666667</v>
      </c>
      <c r="M1520" s="55" t="s">
        <v>39</v>
      </c>
      <c r="N1520" s="55" t="s">
        <v>39</v>
      </c>
      <c r="O1520" s="56">
        <v>46235.708333333336</v>
      </c>
      <c r="P1520" s="22">
        <v>46235.729166666664</v>
      </c>
      <c r="Q1520" s="58">
        <v>46235.791666666664</v>
      </c>
      <c r="S1520" s="21" t="s">
        <v>3692</v>
      </c>
      <c r="T1520" s="55" t="s">
        <v>478</v>
      </c>
      <c r="U1520" s="21"/>
      <c r="V1520" s="53" t="s">
        <v>6133</v>
      </c>
      <c r="Y1520" t="s">
        <v>158</v>
      </c>
      <c r="Z1520" t="s">
        <v>203</v>
      </c>
    </row>
    <row r="1521" spans="1:26" ht="15" hidden="1" customHeight="1">
      <c r="A1521" s="60">
        <f>ROW() - ROW(Table1[[#Headers],[s]])</f>
        <v>1520</v>
      </c>
      <c r="B1521" t="s">
        <v>6134</v>
      </c>
      <c r="C1521" s="163">
        <v>46204</v>
      </c>
      <c r="D1521" s="52" t="s">
        <v>6135</v>
      </c>
      <c r="E1521" t="s">
        <v>6099</v>
      </c>
      <c r="F1521" s="18" t="e" vm="10">
        <v>#VALUE!</v>
      </c>
      <c r="G1521" s="43" t="s">
        <v>174</v>
      </c>
      <c r="H1521" s="18" t="s">
        <v>747</v>
      </c>
      <c r="J1521" s="18" t="s">
        <v>253</v>
      </c>
      <c r="K1521" s="44" t="s">
        <v>154</v>
      </c>
      <c r="L1521" s="44">
        <v>46234.901388888888</v>
      </c>
      <c r="M1521" s="55" t="s">
        <v>78</v>
      </c>
      <c r="N1521" s="55" t="s">
        <v>78</v>
      </c>
      <c r="O1521" s="44">
        <v>46234.916666666664</v>
      </c>
      <c r="P1521" s="44">
        <v>46234.916666666664</v>
      </c>
      <c r="Q1521" s="44">
        <v>46234.938888888886</v>
      </c>
      <c r="S1521" s="21" t="s">
        <v>6136</v>
      </c>
      <c r="T1521" s="55" t="s">
        <v>478</v>
      </c>
      <c r="U1521" s="21"/>
      <c r="V1521" s="53" t="s">
        <v>5132</v>
      </c>
      <c r="Y1521" t="s">
        <v>158</v>
      </c>
      <c r="Z1521" t="s">
        <v>158</v>
      </c>
    </row>
    <row r="1522" spans="1:26" ht="15" hidden="1" customHeight="1">
      <c r="A1522" s="60">
        <f>ROW() - ROW(Table1[[#Headers],[s]])</f>
        <v>1521</v>
      </c>
      <c r="B1522" t="s">
        <v>6137</v>
      </c>
      <c r="C1522" s="163">
        <v>46235</v>
      </c>
      <c r="D1522" s="52" t="s">
        <v>6138</v>
      </c>
      <c r="E1522" t="s">
        <v>6139</v>
      </c>
      <c r="F1522" s="5" t="e" vm="1">
        <v>#VALUE!</v>
      </c>
      <c r="G1522" s="43" t="s">
        <v>200</v>
      </c>
      <c r="H1522" s="18" t="s">
        <v>245</v>
      </c>
      <c r="J1522" s="18" t="s">
        <v>253</v>
      </c>
      <c r="K1522" s="44" t="s">
        <v>154</v>
      </c>
      <c r="L1522" s="44">
        <v>46235.441666666666</v>
      </c>
      <c r="M1522" s="55" t="s">
        <v>1937</v>
      </c>
      <c r="N1522" s="55" t="s">
        <v>1937</v>
      </c>
      <c r="O1522" s="56">
        <v>46235.5</v>
      </c>
      <c r="P1522" s="22">
        <v>46235.541666666664</v>
      </c>
      <c r="Q1522" s="58">
        <v>46235.802777777775</v>
      </c>
      <c r="S1522" s="21" t="s">
        <v>6140</v>
      </c>
      <c r="T1522" s="55" t="s">
        <v>478</v>
      </c>
      <c r="U1522" s="21"/>
      <c r="V1522" s="53" t="s">
        <v>6141</v>
      </c>
      <c r="Y1522" t="s">
        <v>158</v>
      </c>
      <c r="Z1522" t="s">
        <v>158</v>
      </c>
    </row>
    <row r="1523" spans="1:26" ht="15" hidden="1" customHeight="1">
      <c r="A1523" s="60">
        <f>ROW() - ROW(Table1[[#Headers],[s]])</f>
        <v>1522</v>
      </c>
      <c r="B1523" t="s">
        <v>6142</v>
      </c>
      <c r="C1523" s="163">
        <v>46235</v>
      </c>
      <c r="D1523" s="52" t="s">
        <v>6143</v>
      </c>
      <c r="E1523" t="s">
        <v>5227</v>
      </c>
      <c r="F1523" t="e" vm="40">
        <v>#VALUE!</v>
      </c>
      <c r="G1523" s="43" t="s">
        <v>200</v>
      </c>
      <c r="H1523" s="18" t="s">
        <v>152</v>
      </c>
      <c r="J1523" s="18" t="s">
        <v>268</v>
      </c>
      <c r="K1523" s="44" t="s">
        <v>154</v>
      </c>
      <c r="L1523" s="44">
        <v>46235.598611111112</v>
      </c>
      <c r="M1523" s="55" t="s">
        <v>39</v>
      </c>
      <c r="N1523" s="55" t="s">
        <v>39</v>
      </c>
      <c r="O1523" s="56">
        <v>46235.708333333336</v>
      </c>
      <c r="P1523" s="22">
        <v>46235.708333333336</v>
      </c>
      <c r="Q1523" s="58">
        <v>46235.729166666664</v>
      </c>
      <c r="S1523" s="21" t="s">
        <v>6144</v>
      </c>
      <c r="T1523" s="55" t="s">
        <v>179</v>
      </c>
      <c r="U1523" s="21"/>
      <c r="V1523" s="53" t="s">
        <v>6145</v>
      </c>
      <c r="Y1523" t="s">
        <v>158</v>
      </c>
      <c r="Z1523" t="s">
        <v>52</v>
      </c>
    </row>
    <row r="1524" spans="1:26" ht="15" hidden="1" customHeight="1">
      <c r="A1524" s="60">
        <f>ROW() - ROW(Table1[[#Headers],[s]])</f>
        <v>1523</v>
      </c>
      <c r="B1524" t="s">
        <v>6146</v>
      </c>
      <c r="C1524" s="163">
        <v>46235</v>
      </c>
      <c r="D1524" s="52" t="s">
        <v>6147</v>
      </c>
      <c r="E1524" t="s">
        <v>6148</v>
      </c>
      <c r="F1524" s="5" t="e" vm="23">
        <v>#VALUE!</v>
      </c>
      <c r="G1524" s="43" t="s">
        <v>200</v>
      </c>
      <c r="H1524" s="18" t="s">
        <v>245</v>
      </c>
      <c r="J1524" s="18" t="s">
        <v>280</v>
      </c>
      <c r="K1524" s="44" t="s">
        <v>154</v>
      </c>
      <c r="L1524" s="44">
        <v>46235.481944444444</v>
      </c>
      <c r="M1524" s="55" t="s">
        <v>58</v>
      </c>
      <c r="N1524" s="55" t="s">
        <v>58</v>
      </c>
      <c r="O1524" s="56">
        <v>46235.520833333336</v>
      </c>
      <c r="P1524" s="22">
        <v>46235.541666666664</v>
      </c>
      <c r="Q1524" s="58">
        <v>46235.760416666664</v>
      </c>
      <c r="S1524" s="21" t="s">
        <v>6149</v>
      </c>
      <c r="T1524" s="55" t="s">
        <v>6150</v>
      </c>
      <c r="U1524" s="21"/>
      <c r="V1524" s="53" t="s">
        <v>6151</v>
      </c>
      <c r="Y1524" t="s">
        <v>158</v>
      </c>
      <c r="Z1524" t="s">
        <v>158</v>
      </c>
    </row>
    <row r="1525" spans="1:26" ht="15" hidden="1" customHeight="1">
      <c r="A1525" s="60">
        <f>ROW() - ROW(Table1[[#Headers],[s]])</f>
        <v>1524</v>
      </c>
      <c r="B1525" t="s">
        <v>6152</v>
      </c>
      <c r="C1525" s="163">
        <v>46235</v>
      </c>
      <c r="D1525" s="52" t="s">
        <v>6153</v>
      </c>
      <c r="E1525" t="s">
        <v>5347</v>
      </c>
      <c r="F1525" t="e" vm="12">
        <v>#VALUE!</v>
      </c>
      <c r="G1525" s="43" t="s">
        <v>200</v>
      </c>
      <c r="H1525" s="18" t="s">
        <v>152</v>
      </c>
      <c r="J1525" s="18" t="s">
        <v>153</v>
      </c>
      <c r="K1525" s="44" t="s">
        <v>154</v>
      </c>
      <c r="L1525" s="44">
        <v>46235.784722222219</v>
      </c>
      <c r="M1525" s="18" t="s">
        <v>55</v>
      </c>
      <c r="N1525" s="18" t="s">
        <v>55</v>
      </c>
      <c r="O1525" s="56">
        <v>46236</v>
      </c>
      <c r="P1525" s="22">
        <v>46236.020833333336</v>
      </c>
      <c r="Q1525" s="58">
        <v>46236.041666666664</v>
      </c>
      <c r="S1525" s="21" t="s">
        <v>6154</v>
      </c>
      <c r="T1525" s="55" t="s">
        <v>50</v>
      </c>
      <c r="U1525" s="21"/>
      <c r="V1525" s="53" t="s">
        <v>374</v>
      </c>
      <c r="Y1525" t="s">
        <v>158</v>
      </c>
      <c r="Z1525" t="s">
        <v>52</v>
      </c>
    </row>
    <row r="1526" spans="1:26" s="24" customFormat="1" ht="15" hidden="1" customHeight="1">
      <c r="A1526" s="87">
        <f>ROW() - ROW(Table1[[#Headers],[s]])</f>
        <v>1525</v>
      </c>
      <c r="B1526" s="24" t="s">
        <v>1539</v>
      </c>
      <c r="C1526" s="348">
        <v>46235</v>
      </c>
      <c r="D1526" s="59" t="s">
        <v>6155</v>
      </c>
      <c r="E1526" s="24" t="s">
        <v>6156</v>
      </c>
      <c r="F1526" s="256" t="e" vm="10">
        <v>#VALUE!</v>
      </c>
      <c r="G1526" s="90" t="s">
        <v>200</v>
      </c>
      <c r="H1526" s="259" t="s">
        <v>747</v>
      </c>
      <c r="J1526" s="259" t="s">
        <v>253</v>
      </c>
      <c r="K1526" s="142" t="s">
        <v>6157</v>
      </c>
      <c r="L1526" s="142">
        <v>46236.82916666667</v>
      </c>
      <c r="M1526" s="134" t="s">
        <v>78</v>
      </c>
      <c r="N1526" s="55" t="s">
        <v>78</v>
      </c>
      <c r="O1526" s="143">
        <v>46236.854166666664</v>
      </c>
      <c r="P1526" s="346">
        <v>46236.958333333336</v>
      </c>
      <c r="Q1526" s="213">
        <v>46237.011805555558</v>
      </c>
      <c r="S1526" s="345" t="s">
        <v>6158</v>
      </c>
      <c r="T1526" s="134" t="s">
        <v>50</v>
      </c>
      <c r="U1526" s="345"/>
      <c r="V1526" s="341" t="s">
        <v>239</v>
      </c>
      <c r="Y1526" s="24" t="s">
        <v>158</v>
      </c>
      <c r="Z1526" s="24" t="s">
        <v>203</v>
      </c>
    </row>
    <row r="1527" spans="1:26" ht="15" hidden="1" customHeight="1">
      <c r="A1527" s="60">
        <f>ROW() - ROW(Table1[[#Headers],[s]])</f>
        <v>1526</v>
      </c>
      <c r="B1527" t="s">
        <v>6159</v>
      </c>
      <c r="C1527" s="163">
        <v>46235</v>
      </c>
      <c r="D1527" s="52" t="s">
        <v>6160</v>
      </c>
      <c r="E1527" t="s">
        <v>6161</v>
      </c>
      <c r="F1527" s="5" t="e" vm="46">
        <v>#VALUE!</v>
      </c>
      <c r="G1527" s="43" t="s">
        <v>36</v>
      </c>
      <c r="H1527" s="18" t="s">
        <v>747</v>
      </c>
      <c r="I1527" t="s">
        <v>43</v>
      </c>
      <c r="J1527" s="18" t="s">
        <v>253</v>
      </c>
      <c r="K1527" s="44" t="s">
        <v>154</v>
      </c>
      <c r="L1527" s="44">
        <v>46237.365277777775</v>
      </c>
      <c r="M1527" s="55" t="s">
        <v>1023</v>
      </c>
      <c r="N1527" s="55" t="s">
        <v>1023</v>
      </c>
      <c r="O1527" s="56"/>
      <c r="P1527" s="22"/>
      <c r="Q1527" s="58">
        <v>46237.513194444444</v>
      </c>
      <c r="S1527" s="21" t="s">
        <v>861</v>
      </c>
      <c r="T1527" s="55" t="s">
        <v>164</v>
      </c>
      <c r="U1527" s="21"/>
      <c r="V1527" s="53" t="s">
        <v>4486</v>
      </c>
      <c r="Y1527" t="s">
        <v>158</v>
      </c>
      <c r="Z1527" t="s">
        <v>203</v>
      </c>
    </row>
    <row r="1528" spans="1:26" ht="15" hidden="1" customHeight="1">
      <c r="A1528" s="60">
        <f>ROW() - ROW(Table1[[#Headers],[s]])</f>
        <v>1527</v>
      </c>
      <c r="B1528" t="s">
        <v>6162</v>
      </c>
      <c r="C1528" s="272">
        <v>46235</v>
      </c>
      <c r="D1528" s="19" t="s">
        <v>6163</v>
      </c>
      <c r="E1528" t="s">
        <v>5727</v>
      </c>
      <c r="F1528" s="5" t="e" vm="25">
        <v>#VALUE!</v>
      </c>
      <c r="G1528" s="5" t="s">
        <v>36</v>
      </c>
      <c r="H1528" s="18" t="s">
        <v>152</v>
      </c>
      <c r="I1528" t="s">
        <v>43</v>
      </c>
      <c r="J1528" s="18" t="s">
        <v>153</v>
      </c>
      <c r="K1528" s="20" t="s">
        <v>154</v>
      </c>
      <c r="L1528" s="20">
        <v>46237.40625</v>
      </c>
      <c r="M1528" s="18" t="s">
        <v>72</v>
      </c>
      <c r="N1528" s="18" t="s">
        <v>72</v>
      </c>
      <c r="O1528" s="3"/>
      <c r="P1528" s="22"/>
      <c r="Q1528" s="22">
        <v>46237.5</v>
      </c>
      <c r="S1528" s="21" t="s">
        <v>6164</v>
      </c>
      <c r="T1528" s="18" t="s">
        <v>164</v>
      </c>
      <c r="U1528" s="21"/>
      <c r="V1528" s="21" t="s">
        <v>6165</v>
      </c>
      <c r="Y1528" t="s">
        <v>158</v>
      </c>
      <c r="Z1528" t="s">
        <v>52</v>
      </c>
    </row>
    <row r="1529" spans="1:26" ht="15" hidden="1" customHeight="1">
      <c r="A1529" s="60">
        <f>ROW() - ROW(Table1[[#Headers],[s]])</f>
        <v>1528</v>
      </c>
      <c r="B1529" t="s">
        <v>6166</v>
      </c>
      <c r="C1529" s="272">
        <v>46235</v>
      </c>
      <c r="D1529" s="19" t="s">
        <v>6167</v>
      </c>
      <c r="E1529" t="s">
        <v>6168</v>
      </c>
      <c r="F1529" t="e" vm="12">
        <v>#VALUE!</v>
      </c>
      <c r="G1529" s="5" t="s">
        <v>36</v>
      </c>
      <c r="H1529" s="18" t="s">
        <v>152</v>
      </c>
      <c r="I1529" t="s">
        <v>43</v>
      </c>
      <c r="J1529" s="18" t="s">
        <v>153</v>
      </c>
      <c r="K1529" s="20" t="s">
        <v>154</v>
      </c>
      <c r="L1529" s="20">
        <v>46237.407638888886</v>
      </c>
      <c r="M1529" s="18" t="s">
        <v>882</v>
      </c>
      <c r="N1529" s="18" t="s">
        <v>882</v>
      </c>
      <c r="O1529" s="3"/>
      <c r="P1529" s="22"/>
      <c r="Q1529" s="22">
        <v>46237.638888888891</v>
      </c>
      <c r="S1529" s="21" t="s">
        <v>6169</v>
      </c>
      <c r="T1529" s="18" t="s">
        <v>164</v>
      </c>
      <c r="U1529" s="21"/>
      <c r="V1529" s="21" t="s">
        <v>6170</v>
      </c>
      <c r="Y1529" t="s">
        <v>158</v>
      </c>
      <c r="Z1529" t="s">
        <v>52</v>
      </c>
    </row>
    <row r="1530" spans="1:26" ht="15" hidden="1" customHeight="1">
      <c r="A1530" s="60">
        <f>ROW() - ROW(Table1[[#Headers],[s]])</f>
        <v>1529</v>
      </c>
      <c r="B1530" t="s">
        <v>6171</v>
      </c>
      <c r="C1530" s="272">
        <v>46235</v>
      </c>
      <c r="D1530" s="19" t="s">
        <v>6172</v>
      </c>
      <c r="E1530" t="s">
        <v>6173</v>
      </c>
      <c r="F1530" s="5" t="e" vm="10">
        <v>#VALUE!</v>
      </c>
      <c r="G1530" s="5" t="s">
        <v>36</v>
      </c>
      <c r="H1530" s="18" t="s">
        <v>152</v>
      </c>
      <c r="I1530" t="s">
        <v>43</v>
      </c>
      <c r="J1530" s="18" t="s">
        <v>153</v>
      </c>
      <c r="K1530" s="20" t="s">
        <v>154</v>
      </c>
      <c r="L1530" s="20">
        <v>46237.416666666664</v>
      </c>
      <c r="M1530" s="18" t="s">
        <v>78</v>
      </c>
      <c r="N1530" s="55" t="s">
        <v>78</v>
      </c>
      <c r="O1530" s="3"/>
      <c r="P1530" s="22"/>
      <c r="Q1530" s="22">
        <v>46237.760416666664</v>
      </c>
      <c r="S1530" s="21" t="s">
        <v>6174</v>
      </c>
      <c r="T1530" s="18" t="s">
        <v>4252</v>
      </c>
      <c r="U1530" s="21"/>
      <c r="V1530" s="21" t="s">
        <v>6175</v>
      </c>
      <c r="Y1530" t="s">
        <v>158</v>
      </c>
      <c r="Z1530" t="s">
        <v>52</v>
      </c>
    </row>
    <row r="1531" spans="1:26" ht="15" hidden="1" customHeight="1">
      <c r="A1531" s="60">
        <f>ROW() - ROW(Table1[[#Headers],[s]])</f>
        <v>1530</v>
      </c>
      <c r="B1531" s="240" t="s">
        <v>6176</v>
      </c>
      <c r="C1531" s="272">
        <v>46235</v>
      </c>
      <c r="D1531" s="19" t="s">
        <v>6177</v>
      </c>
      <c r="E1531" t="s">
        <v>5216</v>
      </c>
      <c r="F1531" t="e" vm="49">
        <v>#VALUE!</v>
      </c>
      <c r="G1531" s="5" t="s">
        <v>36</v>
      </c>
      <c r="H1531" s="18" t="s">
        <v>152</v>
      </c>
      <c r="I1531" t="s">
        <v>43</v>
      </c>
      <c r="J1531" s="18" t="s">
        <v>153</v>
      </c>
      <c r="K1531" s="20" t="s">
        <v>154</v>
      </c>
      <c r="L1531" s="20">
        <v>46237.446527777778</v>
      </c>
      <c r="M1531" s="18" t="s">
        <v>2659</v>
      </c>
      <c r="N1531" s="18" t="s">
        <v>2659</v>
      </c>
      <c r="O1531" s="3"/>
      <c r="P1531" s="22"/>
      <c r="Q1531" s="22">
        <v>46237.833333333336</v>
      </c>
      <c r="S1531" s="21" t="s">
        <v>6178</v>
      </c>
      <c r="T1531" s="18" t="s">
        <v>6179</v>
      </c>
      <c r="U1531" s="21"/>
      <c r="V1531" s="21" t="s">
        <v>6180</v>
      </c>
      <c r="Y1531" t="s">
        <v>158</v>
      </c>
      <c r="Z1531" t="s">
        <v>203</v>
      </c>
    </row>
    <row r="1532" spans="1:26" ht="15" hidden="1" customHeight="1">
      <c r="A1532" s="60">
        <f>ROW() - ROW(Table1[[#Headers],[s]])</f>
        <v>1531</v>
      </c>
      <c r="B1532" t="s">
        <v>6181</v>
      </c>
      <c r="C1532" s="272">
        <v>46235</v>
      </c>
      <c r="D1532" s="19" t="s">
        <v>6182</v>
      </c>
      <c r="E1532" t="s">
        <v>5546</v>
      </c>
      <c r="F1532" s="5" t="e" vm="5">
        <v>#VALUE!</v>
      </c>
      <c r="G1532" s="5" t="s">
        <v>36</v>
      </c>
      <c r="H1532" s="18" t="s">
        <v>152</v>
      </c>
      <c r="I1532" t="s">
        <v>43</v>
      </c>
      <c r="J1532" s="18" t="s">
        <v>153</v>
      </c>
      <c r="K1532" s="20" t="s">
        <v>154</v>
      </c>
      <c r="L1532" s="20">
        <v>46237.479166666664</v>
      </c>
      <c r="M1532" s="18" t="s">
        <v>55</v>
      </c>
      <c r="N1532" s="18" t="s">
        <v>55</v>
      </c>
      <c r="O1532" s="3"/>
      <c r="P1532" s="22"/>
      <c r="Q1532" s="22">
        <v>46237.604166666664</v>
      </c>
      <c r="S1532" s="21" t="s">
        <v>6183</v>
      </c>
      <c r="T1532" s="18" t="s">
        <v>164</v>
      </c>
      <c r="U1532" s="21"/>
      <c r="V1532" s="21" t="s">
        <v>6184</v>
      </c>
      <c r="Y1532" t="s">
        <v>158</v>
      </c>
      <c r="Z1532" t="s">
        <v>52</v>
      </c>
    </row>
    <row r="1533" spans="1:26" ht="15" hidden="1" customHeight="1">
      <c r="A1533" s="60">
        <f>ROW() - ROW(Table1[[#Headers],[s]])</f>
        <v>1532</v>
      </c>
      <c r="B1533" t="s">
        <v>6185</v>
      </c>
      <c r="C1533" s="272">
        <v>46235</v>
      </c>
      <c r="D1533" s="19" t="s">
        <v>6186</v>
      </c>
      <c r="E1533" t="s">
        <v>6111</v>
      </c>
      <c r="F1533" s="5" t="e" vm="25">
        <v>#VALUE!</v>
      </c>
      <c r="G1533" s="5" t="s">
        <v>36</v>
      </c>
      <c r="H1533" s="18" t="s">
        <v>152</v>
      </c>
      <c r="I1533" t="s">
        <v>43</v>
      </c>
      <c r="J1533" s="18" t="s">
        <v>153</v>
      </c>
      <c r="K1533" s="20" t="s">
        <v>154</v>
      </c>
      <c r="L1533" s="20">
        <v>46237.509722222225</v>
      </c>
      <c r="M1533" s="18" t="s">
        <v>72</v>
      </c>
      <c r="N1533" s="18" t="s">
        <v>6187</v>
      </c>
      <c r="O1533" s="3"/>
      <c r="P1533" s="22"/>
      <c r="Q1533" s="22">
        <v>46237.635416666664</v>
      </c>
      <c r="S1533" s="21" t="s">
        <v>6188</v>
      </c>
      <c r="T1533" s="18" t="s">
        <v>266</v>
      </c>
      <c r="U1533" s="21"/>
      <c r="V1533" s="21" t="s">
        <v>6189</v>
      </c>
      <c r="Y1533" t="s">
        <v>158</v>
      </c>
      <c r="Z1533" t="s">
        <v>203</v>
      </c>
    </row>
    <row r="1534" spans="1:26" ht="15" hidden="1" customHeight="1">
      <c r="A1534" s="60">
        <f>ROW() - ROW(Table1[[#Headers],[s]])</f>
        <v>1533</v>
      </c>
      <c r="B1534" t="s">
        <v>6190</v>
      </c>
      <c r="C1534" s="23" t="s">
        <v>60</v>
      </c>
      <c r="D1534" s="19" t="s">
        <v>6191</v>
      </c>
      <c r="E1534" t="s">
        <v>6168</v>
      </c>
      <c r="F1534" t="e" vm="12">
        <v>#VALUE!</v>
      </c>
      <c r="G1534" s="5" t="s">
        <v>36</v>
      </c>
      <c r="H1534" s="18" t="s">
        <v>152</v>
      </c>
      <c r="I1534" s="181" t="s">
        <v>60</v>
      </c>
      <c r="J1534" s="18" t="s">
        <v>153</v>
      </c>
      <c r="K1534" s="42" t="s">
        <v>154</v>
      </c>
      <c r="L1534" s="20">
        <v>46237.526388888888</v>
      </c>
      <c r="M1534" s="18" t="s">
        <v>882</v>
      </c>
      <c r="N1534" s="18" t="s">
        <v>882</v>
      </c>
      <c r="O1534" s="3"/>
      <c r="P1534" s="22"/>
      <c r="Q1534" s="22">
        <v>46237.638888888891</v>
      </c>
      <c r="S1534" s="21" t="s">
        <v>6192</v>
      </c>
      <c r="T1534" s="18" t="s">
        <v>50</v>
      </c>
      <c r="U1534" s="21"/>
      <c r="V1534" s="21" t="s">
        <v>6192</v>
      </c>
      <c r="Y1534" t="s">
        <v>179</v>
      </c>
      <c r="Z1534" t="s">
        <v>50</v>
      </c>
    </row>
    <row r="1535" spans="1:26" ht="15" hidden="1" customHeight="1">
      <c r="A1535" s="60">
        <f>ROW() - ROW(Table1[[#Headers],[s]])</f>
        <v>1534</v>
      </c>
      <c r="B1535" s="210" t="s">
        <v>6193</v>
      </c>
      <c r="C1535" s="272">
        <v>46235</v>
      </c>
      <c r="D1535" s="19" t="s">
        <v>6194</v>
      </c>
      <c r="E1535" t="s">
        <v>6195</v>
      </c>
      <c r="F1535" s="5" t="e" vm="35">
        <v>#VALUE!</v>
      </c>
      <c r="G1535" s="5" t="s">
        <v>151</v>
      </c>
      <c r="H1535" s="18" t="s">
        <v>152</v>
      </c>
      <c r="J1535" s="18" t="s">
        <v>153</v>
      </c>
      <c r="K1535" s="20" t="s">
        <v>154</v>
      </c>
      <c r="L1535" s="20">
        <v>46237.523611111108</v>
      </c>
      <c r="M1535" s="18" t="s">
        <v>6196</v>
      </c>
      <c r="N1535" s="18" t="s">
        <v>6196</v>
      </c>
      <c r="O1535" s="3">
        <v>46237.708333333336</v>
      </c>
      <c r="P1535" s="22">
        <v>46237.75</v>
      </c>
      <c r="Q1535" s="22">
        <v>46238.575694444444</v>
      </c>
      <c r="S1535" s="21" t="s">
        <v>6197</v>
      </c>
      <c r="T1535" s="18" t="s">
        <v>164</v>
      </c>
      <c r="U1535" s="21"/>
      <c r="V1535" s="21" t="s">
        <v>6197</v>
      </c>
      <c r="Y1535" t="s">
        <v>70</v>
      </c>
      <c r="Z1535" t="s">
        <v>158</v>
      </c>
    </row>
    <row r="1536" spans="1:26" ht="15" hidden="1" customHeight="1">
      <c r="A1536" s="60">
        <f>ROW() - ROW(Table1[[#Headers],[s]])</f>
        <v>1535</v>
      </c>
      <c r="B1536" t="s">
        <v>6198</v>
      </c>
      <c r="C1536" s="163">
        <v>46235</v>
      </c>
      <c r="D1536" s="52" t="s">
        <v>6199</v>
      </c>
      <c r="E1536" t="s">
        <v>6200</v>
      </c>
      <c r="F1536" s="5" t="e" vm="7">
        <v>#VALUE!</v>
      </c>
      <c r="G1536" s="43" t="s">
        <v>36</v>
      </c>
      <c r="H1536" s="18" t="s">
        <v>152</v>
      </c>
      <c r="I1536" t="s">
        <v>43</v>
      </c>
      <c r="J1536" s="18" t="s">
        <v>153</v>
      </c>
      <c r="K1536" s="44" t="s">
        <v>154</v>
      </c>
      <c r="L1536" s="44">
        <v>46237.534722222219</v>
      </c>
      <c r="M1536" s="55" t="s">
        <v>6201</v>
      </c>
      <c r="N1536" s="55" t="s">
        <v>6201</v>
      </c>
      <c r="O1536" s="56"/>
      <c r="P1536" s="22"/>
      <c r="Q1536" s="58">
        <v>46237.777777777781</v>
      </c>
      <c r="S1536" s="21" t="s">
        <v>6202</v>
      </c>
      <c r="T1536" s="55" t="s">
        <v>164</v>
      </c>
      <c r="U1536" s="21"/>
      <c r="V1536" s="53" t="s">
        <v>6203</v>
      </c>
      <c r="Y1536" t="s">
        <v>158</v>
      </c>
      <c r="Z1536" t="s">
        <v>52</v>
      </c>
    </row>
    <row r="1537" spans="1:26" ht="15" hidden="1" customHeight="1">
      <c r="A1537" s="60">
        <f>ROW() - ROW(Table1[[#Headers],[s]])</f>
        <v>1536</v>
      </c>
      <c r="B1537" t="s">
        <v>2275</v>
      </c>
      <c r="C1537" s="163">
        <v>46235</v>
      </c>
      <c r="D1537" s="52" t="s">
        <v>6204</v>
      </c>
      <c r="E1537" t="s">
        <v>5201</v>
      </c>
      <c r="F1537" t="e" vm="16">
        <v>#VALUE!</v>
      </c>
      <c r="G1537" s="43" t="s">
        <v>151</v>
      </c>
      <c r="H1537" s="18" t="s">
        <v>152</v>
      </c>
      <c r="J1537" s="18" t="s">
        <v>153</v>
      </c>
      <c r="K1537" s="44" t="s">
        <v>154</v>
      </c>
      <c r="L1537" s="44">
        <v>46237.54791666667</v>
      </c>
      <c r="M1537" s="55" t="s">
        <v>58</v>
      </c>
      <c r="N1537" s="55" t="s">
        <v>58</v>
      </c>
      <c r="O1537" s="56">
        <v>46238.4375</v>
      </c>
      <c r="P1537" s="22">
        <v>46238.479166666664</v>
      </c>
      <c r="Q1537" s="58">
        <v>46238.482638888891</v>
      </c>
      <c r="S1537" s="21" t="s">
        <v>6205</v>
      </c>
      <c r="T1537" s="55" t="s">
        <v>164</v>
      </c>
      <c r="U1537" s="21"/>
      <c r="V1537" s="53" t="s">
        <v>934</v>
      </c>
      <c r="Y1537" t="s">
        <v>158</v>
      </c>
      <c r="Z1537" t="s">
        <v>70</v>
      </c>
    </row>
    <row r="1538" spans="1:26" ht="15" hidden="1" customHeight="1">
      <c r="A1538" s="60">
        <f>ROW() - ROW(Table1[[#Headers],[s]])</f>
        <v>1537</v>
      </c>
      <c r="B1538" t="s">
        <v>6206</v>
      </c>
      <c r="C1538" s="163">
        <v>46235</v>
      </c>
      <c r="D1538" s="52" t="s">
        <v>6207</v>
      </c>
      <c r="E1538" t="s">
        <v>5201</v>
      </c>
      <c r="F1538" t="e" vm="16">
        <v>#VALUE!</v>
      </c>
      <c r="G1538" s="43" t="s">
        <v>36</v>
      </c>
      <c r="H1538" s="18" t="s">
        <v>152</v>
      </c>
      <c r="I1538" t="s">
        <v>43</v>
      </c>
      <c r="J1538" s="18" t="s">
        <v>153</v>
      </c>
      <c r="K1538" s="44" t="s">
        <v>154</v>
      </c>
      <c r="L1538" s="44">
        <v>46237.546527777777</v>
      </c>
      <c r="M1538" s="55" t="s">
        <v>58</v>
      </c>
      <c r="N1538" s="55" t="s">
        <v>58</v>
      </c>
      <c r="O1538" s="56"/>
      <c r="P1538" s="22"/>
      <c r="Q1538" s="58">
        <v>46238.541666666664</v>
      </c>
      <c r="T1538" s="55"/>
      <c r="U1538" s="21"/>
      <c r="V1538" s="53"/>
    </row>
    <row r="1539" spans="1:26" ht="15" hidden="1" customHeight="1">
      <c r="A1539" s="60">
        <f>ROW() - ROW(Table1[[#Headers],[s]])</f>
        <v>1538</v>
      </c>
      <c r="B1539" t="s">
        <v>6208</v>
      </c>
      <c r="C1539" s="163">
        <v>46235</v>
      </c>
      <c r="D1539" s="52" t="s">
        <v>6209</v>
      </c>
      <c r="E1539" t="s">
        <v>5233</v>
      </c>
      <c r="F1539" s="5" t="e" vm="10">
        <v>#VALUE!</v>
      </c>
      <c r="G1539" s="43" t="s">
        <v>36</v>
      </c>
      <c r="H1539" s="18" t="s">
        <v>152</v>
      </c>
      <c r="I1539" t="s">
        <v>43</v>
      </c>
      <c r="J1539" s="18" t="s">
        <v>153</v>
      </c>
      <c r="K1539" s="44" t="s">
        <v>154</v>
      </c>
      <c r="L1539" s="44">
        <v>46237.573611111111</v>
      </c>
      <c r="M1539" s="55" t="s">
        <v>78</v>
      </c>
      <c r="N1539" s="55" t="s">
        <v>78</v>
      </c>
      <c r="O1539" s="56"/>
      <c r="P1539" s="22"/>
      <c r="Q1539" s="58">
        <v>46237.833333333336</v>
      </c>
      <c r="S1539" s="21" t="s">
        <v>6210</v>
      </c>
      <c r="T1539" s="55" t="s">
        <v>164</v>
      </c>
      <c r="U1539" s="21"/>
      <c r="V1539" s="53" t="s">
        <v>6211</v>
      </c>
      <c r="Y1539" t="s">
        <v>158</v>
      </c>
      <c r="Z1539" t="s">
        <v>52</v>
      </c>
    </row>
    <row r="1540" spans="1:26" ht="15" hidden="1" customHeight="1">
      <c r="A1540" s="60">
        <f>ROW() - ROW(Table1[[#Headers],[s]])</f>
        <v>1539</v>
      </c>
      <c r="B1540" t="s">
        <v>4479</v>
      </c>
      <c r="C1540" s="163">
        <v>46235</v>
      </c>
      <c r="D1540" s="52" t="s">
        <v>6212</v>
      </c>
      <c r="E1540" t="s">
        <v>6213</v>
      </c>
      <c r="F1540" s="5" t="e" vm="1">
        <v>#VALUE!</v>
      </c>
      <c r="G1540" s="43" t="s">
        <v>36</v>
      </c>
      <c r="H1540" s="18" t="s">
        <v>152</v>
      </c>
      <c r="I1540" t="s">
        <v>43</v>
      </c>
      <c r="J1540" s="18" t="s">
        <v>153</v>
      </c>
      <c r="K1540" s="44" t="s">
        <v>154</v>
      </c>
      <c r="L1540" s="44">
        <v>46237.574999999997</v>
      </c>
      <c r="M1540" s="55" t="s">
        <v>73</v>
      </c>
      <c r="N1540" s="55" t="s">
        <v>73</v>
      </c>
      <c r="O1540" s="56"/>
      <c r="P1540" s="22"/>
      <c r="Q1540" s="58">
        <v>46237.791666666664</v>
      </c>
      <c r="S1540" s="21" t="s">
        <v>6214</v>
      </c>
      <c r="T1540" s="55" t="s">
        <v>164</v>
      </c>
      <c r="U1540" s="21"/>
      <c r="V1540" s="53" t="s">
        <v>6215</v>
      </c>
      <c r="Y1540" t="s">
        <v>158</v>
      </c>
      <c r="Z1540" t="s">
        <v>52</v>
      </c>
    </row>
    <row r="1541" spans="1:26" s="24" customFormat="1" ht="15" hidden="1" customHeight="1">
      <c r="A1541" s="87">
        <f>ROW() - ROW(Table1[[#Headers],[s]])</f>
        <v>1540</v>
      </c>
      <c r="B1541" s="24" t="s">
        <v>3386</v>
      </c>
      <c r="C1541" s="348">
        <v>46235</v>
      </c>
      <c r="D1541" s="59" t="s">
        <v>6216</v>
      </c>
      <c r="E1541" s="24" t="s">
        <v>6217</v>
      </c>
      <c r="F1541" s="259" t="e" vm="35">
        <v>#VALUE!</v>
      </c>
      <c r="G1541" s="90" t="s">
        <v>151</v>
      </c>
      <c r="H1541" s="259" t="s">
        <v>747</v>
      </c>
      <c r="J1541" s="259" t="s">
        <v>253</v>
      </c>
      <c r="K1541" s="142" t="s">
        <v>6218</v>
      </c>
      <c r="L1541" s="142">
        <v>46238.435416666667</v>
      </c>
      <c r="M1541" s="134" t="s">
        <v>6219</v>
      </c>
      <c r="N1541" s="134" t="s">
        <v>6219</v>
      </c>
      <c r="O1541" s="143">
        <v>46238.65902777778</v>
      </c>
      <c r="P1541" s="346">
        <v>46238.694444444445</v>
      </c>
      <c r="Q1541" s="213">
        <v>46238.761805555558</v>
      </c>
      <c r="S1541" s="345" t="s">
        <v>1037</v>
      </c>
      <c r="T1541" s="134" t="s">
        <v>164</v>
      </c>
      <c r="U1541" s="345"/>
      <c r="V1541" s="341" t="s">
        <v>6220</v>
      </c>
      <c r="Y1541" s="24" t="s">
        <v>158</v>
      </c>
      <c r="Z1541" s="24" t="s">
        <v>158</v>
      </c>
    </row>
    <row r="1542" spans="1:26" ht="15" hidden="1" customHeight="1">
      <c r="A1542" s="60">
        <f>ROW() - ROW(Table1[[#Headers],[s]])</f>
        <v>1541</v>
      </c>
      <c r="B1542" t="s">
        <v>6221</v>
      </c>
      <c r="C1542" s="163">
        <v>46235</v>
      </c>
      <c r="D1542" s="52" t="s">
        <v>6222</v>
      </c>
      <c r="E1542" t="s">
        <v>5105</v>
      </c>
      <c r="F1542" s="18" t="e" vm="10">
        <v>#VALUE!</v>
      </c>
      <c r="G1542" s="43" t="s">
        <v>151</v>
      </c>
      <c r="H1542" s="18" t="s">
        <v>152</v>
      </c>
      <c r="J1542" s="18" t="s">
        <v>153</v>
      </c>
      <c r="K1542" s="44" t="s">
        <v>154</v>
      </c>
      <c r="L1542" s="44">
        <v>46238.466666666667</v>
      </c>
      <c r="M1542" s="55" t="s">
        <v>2043</v>
      </c>
      <c r="N1542" s="55" t="s">
        <v>78</v>
      </c>
      <c r="O1542" s="56">
        <v>46238.788194444445</v>
      </c>
      <c r="P1542" s="22">
        <v>46238.791666666664</v>
      </c>
      <c r="Q1542" s="58">
        <v>46238.79583333333</v>
      </c>
      <c r="S1542" s="21" t="s">
        <v>6223</v>
      </c>
      <c r="T1542" s="55" t="s">
        <v>164</v>
      </c>
      <c r="U1542" s="21"/>
      <c r="V1542" s="53" t="s">
        <v>6223</v>
      </c>
      <c r="Y1542" t="s">
        <v>158</v>
      </c>
      <c r="Z1542" t="s">
        <v>70</v>
      </c>
    </row>
    <row r="1543" spans="1:26" ht="15" hidden="1" customHeight="1">
      <c r="A1543" s="60">
        <f>ROW() - ROW(Table1[[#Headers],[s]])</f>
        <v>1542</v>
      </c>
      <c r="B1543" t="s">
        <v>6224</v>
      </c>
      <c r="C1543" s="163">
        <v>46235</v>
      </c>
      <c r="D1543" s="52" t="s">
        <v>6225</v>
      </c>
      <c r="E1543" t="s">
        <v>5317</v>
      </c>
      <c r="F1543" s="18" t="e" vm="25">
        <v>#VALUE!</v>
      </c>
      <c r="G1543" s="43" t="s">
        <v>151</v>
      </c>
      <c r="H1543" s="18" t="s">
        <v>152</v>
      </c>
      <c r="J1543" s="18" t="s">
        <v>153</v>
      </c>
      <c r="K1543" s="44" t="s">
        <v>154</v>
      </c>
      <c r="L1543" s="44">
        <v>46238.46597222222</v>
      </c>
      <c r="M1543" s="55" t="s">
        <v>72</v>
      </c>
      <c r="N1543" s="55" t="s">
        <v>72</v>
      </c>
      <c r="O1543" s="56">
        <v>46238.620138888888</v>
      </c>
      <c r="P1543" s="22">
        <v>46238.636111111111</v>
      </c>
      <c r="Q1543" s="58">
        <v>46238.652083333334</v>
      </c>
      <c r="S1543" s="21" t="s">
        <v>6226</v>
      </c>
      <c r="T1543" s="55" t="s">
        <v>3011</v>
      </c>
      <c r="U1543" s="21"/>
      <c r="V1543" s="53" t="s">
        <v>6226</v>
      </c>
      <c r="Y1543" t="s">
        <v>158</v>
      </c>
      <c r="Z1543" t="s">
        <v>70</v>
      </c>
    </row>
    <row r="1544" spans="1:26" ht="15" hidden="1" customHeight="1">
      <c r="A1544" s="60">
        <f>ROW() - ROW(Table1[[#Headers],[s]])</f>
        <v>1543</v>
      </c>
      <c r="B1544" t="s">
        <v>6227</v>
      </c>
      <c r="C1544" s="163">
        <v>46235</v>
      </c>
      <c r="D1544" s="52" t="s">
        <v>6228</v>
      </c>
      <c r="E1544" t="s">
        <v>5347</v>
      </c>
      <c r="F1544" s="18" t="e" vm="12">
        <v>#VALUE!</v>
      </c>
      <c r="G1544" s="43" t="s">
        <v>151</v>
      </c>
      <c r="H1544" s="18" t="s">
        <v>152</v>
      </c>
      <c r="J1544" s="18" t="s">
        <v>153</v>
      </c>
      <c r="K1544" s="44" t="s">
        <v>154</v>
      </c>
      <c r="L1544" s="44">
        <v>46238.469444444447</v>
      </c>
      <c r="M1544" s="55" t="s">
        <v>72</v>
      </c>
      <c r="N1544" s="55" t="s">
        <v>72</v>
      </c>
      <c r="O1544" s="56">
        <v>46238.77847222222</v>
      </c>
      <c r="P1544" s="22">
        <v>46238.77847222222</v>
      </c>
      <c r="Q1544" s="58">
        <v>46238.785416666666</v>
      </c>
      <c r="S1544" s="21" t="s">
        <v>6229</v>
      </c>
      <c r="T1544" s="55" t="s">
        <v>164</v>
      </c>
      <c r="U1544" s="21"/>
      <c r="V1544" t="s">
        <v>6229</v>
      </c>
      <c r="Y1544" t="s">
        <v>158</v>
      </c>
      <c r="Z1544" t="s">
        <v>70</v>
      </c>
    </row>
    <row r="1545" spans="1:26" ht="15" hidden="1" customHeight="1">
      <c r="A1545" s="60">
        <f>ROW() - ROW(Table1[[#Headers],[s]])</f>
        <v>1544</v>
      </c>
      <c r="B1545" t="s">
        <v>4110</v>
      </c>
      <c r="C1545" s="163">
        <v>46235</v>
      </c>
      <c r="D1545" s="52" t="s">
        <v>6230</v>
      </c>
      <c r="E1545" t="s">
        <v>5233</v>
      </c>
      <c r="F1545" s="18" t="e" vm="10">
        <v>#VALUE!</v>
      </c>
      <c r="G1545" s="43" t="s">
        <v>151</v>
      </c>
      <c r="H1545" s="18" t="s">
        <v>152</v>
      </c>
      <c r="J1545" s="18" t="s">
        <v>153</v>
      </c>
      <c r="K1545" s="44" t="s">
        <v>154</v>
      </c>
      <c r="L1545" s="44">
        <v>46238.478472222225</v>
      </c>
      <c r="M1545" s="55" t="s">
        <v>2043</v>
      </c>
      <c r="N1545" s="55" t="s">
        <v>78</v>
      </c>
      <c r="O1545" s="56">
        <v>46238.694444444445</v>
      </c>
      <c r="P1545" s="22">
        <v>46238.701388888891</v>
      </c>
      <c r="Q1545" s="58">
        <v>46238.73541666667</v>
      </c>
      <c r="S1545" s="21" t="s">
        <v>6231</v>
      </c>
      <c r="T1545" s="55" t="s">
        <v>164</v>
      </c>
      <c r="U1545" s="21"/>
      <c r="V1545" s="53" t="s">
        <v>6231</v>
      </c>
      <c r="Y1545" t="s">
        <v>158</v>
      </c>
      <c r="Z1545" t="s">
        <v>70</v>
      </c>
    </row>
    <row r="1546" spans="1:26" ht="15" hidden="1" customHeight="1">
      <c r="A1546" s="60">
        <f>ROW() - ROW(Table1[[#Headers],[s]])</f>
        <v>1545</v>
      </c>
      <c r="B1546" t="s">
        <v>6232</v>
      </c>
      <c r="C1546" s="163">
        <v>46235</v>
      </c>
      <c r="D1546" s="52" t="s">
        <v>6233</v>
      </c>
      <c r="E1546" t="s">
        <v>5105</v>
      </c>
      <c r="F1546" s="18" t="e" vm="10">
        <v>#VALUE!</v>
      </c>
      <c r="G1546" s="43" t="s">
        <v>151</v>
      </c>
      <c r="H1546" s="18" t="s">
        <v>152</v>
      </c>
      <c r="J1546" s="18" t="s">
        <v>153</v>
      </c>
      <c r="K1546" s="44" t="s">
        <v>154</v>
      </c>
      <c r="L1546" s="44">
        <v>46238.484722222223</v>
      </c>
      <c r="M1546" s="55" t="s">
        <v>2043</v>
      </c>
      <c r="N1546" s="55" t="s">
        <v>78</v>
      </c>
      <c r="O1546" s="56">
        <v>46238.752083333333</v>
      </c>
      <c r="P1546" s="22">
        <v>46238.755555555559</v>
      </c>
      <c r="Q1546" s="58">
        <v>46238.760416666664</v>
      </c>
      <c r="S1546" s="21" t="s">
        <v>6234</v>
      </c>
      <c r="T1546" s="55" t="s">
        <v>164</v>
      </c>
      <c r="U1546" s="21"/>
      <c r="V1546" s="53" t="s">
        <v>6234</v>
      </c>
      <c r="Y1546" t="s">
        <v>158</v>
      </c>
      <c r="Z1546" t="s">
        <v>70</v>
      </c>
    </row>
    <row r="1547" spans="1:26" ht="15" hidden="1" customHeight="1">
      <c r="A1547" s="60">
        <f>ROW() - ROW(Table1[[#Headers],[s]])</f>
        <v>1546</v>
      </c>
      <c r="B1547" t="s">
        <v>6235</v>
      </c>
      <c r="C1547" s="163">
        <v>46235</v>
      </c>
      <c r="D1547" s="52" t="s">
        <v>6236</v>
      </c>
      <c r="E1547" t="s">
        <v>6237</v>
      </c>
      <c r="F1547" s="18" t="e" vm="25">
        <v>#VALUE!</v>
      </c>
      <c r="G1547" s="43" t="s">
        <v>151</v>
      </c>
      <c r="H1547" s="18" t="s">
        <v>152</v>
      </c>
      <c r="J1547" s="18" t="s">
        <v>153</v>
      </c>
      <c r="K1547" s="44" t="s">
        <v>154</v>
      </c>
      <c r="L1547" s="44">
        <v>46238.685416666667</v>
      </c>
      <c r="M1547" s="55" t="s">
        <v>72</v>
      </c>
      <c r="N1547" s="55" t="s">
        <v>72</v>
      </c>
      <c r="O1547" s="56">
        <v>46238.893750000003</v>
      </c>
      <c r="P1547" s="22">
        <v>46238.894444444442</v>
      </c>
      <c r="Q1547" s="58">
        <v>46238.894444444442</v>
      </c>
      <c r="S1547" s="21" t="s">
        <v>6238</v>
      </c>
      <c r="T1547" s="55" t="s">
        <v>164</v>
      </c>
      <c r="U1547" s="21"/>
      <c r="V1547" t="s">
        <v>6238</v>
      </c>
    </row>
    <row r="1548" spans="1:26" ht="15" hidden="1" customHeight="1">
      <c r="A1548" s="60">
        <f>ROW() - ROW(Table1[[#Headers],[s]])</f>
        <v>1547</v>
      </c>
      <c r="B1548" t="s">
        <v>6239</v>
      </c>
      <c r="C1548" s="163">
        <v>46235</v>
      </c>
      <c r="D1548" s="52" t="s">
        <v>6240</v>
      </c>
      <c r="E1548" t="s">
        <v>6241</v>
      </c>
      <c r="F1548" s="18" t="e" vm="16">
        <v>#VALUE!</v>
      </c>
      <c r="G1548" s="43" t="s">
        <v>151</v>
      </c>
      <c r="H1548" s="18" t="s">
        <v>747</v>
      </c>
      <c r="J1548" s="18" t="s">
        <v>253</v>
      </c>
      <c r="K1548" s="44" t="s">
        <v>154</v>
      </c>
      <c r="L1548" s="44">
        <v>46238.707638888889</v>
      </c>
      <c r="M1548" s="55" t="s">
        <v>58</v>
      </c>
      <c r="N1548" s="55" t="s">
        <v>58</v>
      </c>
      <c r="O1548" s="56">
        <v>46238.760416666664</v>
      </c>
      <c r="P1548" s="22">
        <v>46238.760416666664</v>
      </c>
      <c r="Q1548" s="58">
        <v>46238.765972222223</v>
      </c>
      <c r="S1548" s="21" t="s">
        <v>6242</v>
      </c>
      <c r="T1548" s="55" t="s">
        <v>164</v>
      </c>
      <c r="U1548" s="21"/>
      <c r="V1548" s="413" t="s">
        <v>6242</v>
      </c>
      <c r="Y1548" t="s">
        <v>158</v>
      </c>
      <c r="Z1548" t="s">
        <v>70</v>
      </c>
    </row>
    <row r="1549" spans="1:26" ht="15" hidden="1" customHeight="1">
      <c r="A1549" s="60">
        <f>ROW() - ROW(Table1[[#Headers],[s]])</f>
        <v>1548</v>
      </c>
      <c r="B1549" t="s">
        <v>6243</v>
      </c>
      <c r="C1549" s="163">
        <v>46235</v>
      </c>
      <c r="D1549" s="52" t="s">
        <v>6244</v>
      </c>
      <c r="E1549" t="s">
        <v>5985</v>
      </c>
      <c r="F1549" s="18" t="e" vm="21">
        <v>#VALUE!</v>
      </c>
      <c r="G1549" s="43" t="s">
        <v>151</v>
      </c>
      <c r="H1549" s="18" t="s">
        <v>747</v>
      </c>
      <c r="J1549" s="18" t="s">
        <v>253</v>
      </c>
      <c r="K1549" s="44" t="s">
        <v>6245</v>
      </c>
      <c r="L1549" s="44">
        <v>46238.741666666669</v>
      </c>
      <c r="M1549" s="55" t="s">
        <v>39</v>
      </c>
      <c r="N1549" s="55" t="s">
        <v>39</v>
      </c>
      <c r="O1549" s="56">
        <v>46238.787499999999</v>
      </c>
      <c r="P1549" s="22">
        <v>46238.828472222223</v>
      </c>
      <c r="Q1549" s="58">
        <v>46238.935416666667</v>
      </c>
      <c r="S1549" s="21" t="s">
        <v>6246</v>
      </c>
      <c r="T1549" s="44" t="s">
        <v>6247</v>
      </c>
      <c r="U1549" s="21"/>
      <c r="V1549" s="53" t="s">
        <v>6248</v>
      </c>
      <c r="Y1549" t="s">
        <v>158</v>
      </c>
      <c r="Z1549" t="s">
        <v>70</v>
      </c>
    </row>
    <row r="1550" spans="1:26" ht="15" hidden="1" customHeight="1">
      <c r="A1550" s="60">
        <f>ROW() - ROW(Table1[[#Headers],[s]])</f>
        <v>1549</v>
      </c>
      <c r="B1550" t="s">
        <v>4445</v>
      </c>
      <c r="C1550" s="163">
        <v>46235</v>
      </c>
      <c r="D1550" s="52" t="s">
        <v>6249</v>
      </c>
      <c r="E1550" t="s">
        <v>5546</v>
      </c>
      <c r="F1550" s="18" t="e" vm="5">
        <v>#VALUE!</v>
      </c>
      <c r="G1550" s="43" t="s">
        <v>151</v>
      </c>
      <c r="H1550" s="18" t="s">
        <v>152</v>
      </c>
      <c r="J1550" s="18" t="s">
        <v>153</v>
      </c>
      <c r="K1550" s="44" t="s">
        <v>154</v>
      </c>
      <c r="L1550" s="44">
        <v>46238.864583333336</v>
      </c>
      <c r="M1550" s="55" t="s">
        <v>55</v>
      </c>
      <c r="N1550" s="55" t="s">
        <v>55</v>
      </c>
      <c r="O1550" s="56">
        <v>46239.275000000001</v>
      </c>
      <c r="P1550" s="22">
        <v>46239.275000000001</v>
      </c>
      <c r="Q1550" s="58">
        <v>46239.285416666666</v>
      </c>
      <c r="S1550" s="21" t="s">
        <v>6250</v>
      </c>
      <c r="T1550" s="55" t="s">
        <v>179</v>
      </c>
      <c r="U1550" s="21"/>
      <c r="V1550" t="s">
        <v>6250</v>
      </c>
      <c r="Y1550" t="s">
        <v>158</v>
      </c>
      <c r="Z1550" t="s">
        <v>70</v>
      </c>
    </row>
    <row r="1551" spans="1:26" ht="15" hidden="1" customHeight="1">
      <c r="A1551" s="60">
        <f>ROW() - ROW(Table1[[#Headers],[s]])</f>
        <v>1550</v>
      </c>
      <c r="B1551" s="223" t="s">
        <v>6251</v>
      </c>
      <c r="C1551" s="163">
        <v>46235</v>
      </c>
      <c r="D1551" s="52" t="s">
        <v>6252</v>
      </c>
      <c r="E1551" t="s">
        <v>6253</v>
      </c>
      <c r="F1551" s="18" t="e" vm="37">
        <v>#VALUE!</v>
      </c>
      <c r="G1551" s="43" t="s">
        <v>174</v>
      </c>
      <c r="H1551" s="18" t="s">
        <v>152</v>
      </c>
      <c r="J1551" s="18" t="s">
        <v>153</v>
      </c>
      <c r="K1551" s="44" t="s">
        <v>154</v>
      </c>
      <c r="L1551" s="44">
        <v>46239.61041666667</v>
      </c>
      <c r="M1551" s="55" t="s">
        <v>1023</v>
      </c>
      <c r="N1551" s="55" t="s">
        <v>1023</v>
      </c>
      <c r="O1551" s="44">
        <v>46239.645833333336</v>
      </c>
      <c r="P1551" s="44">
        <v>46239.677083333336</v>
      </c>
      <c r="Q1551" s="44">
        <v>46239.770833333336</v>
      </c>
      <c r="S1551" s="21" t="s">
        <v>6254</v>
      </c>
      <c r="T1551" s="18" t="s">
        <v>478</v>
      </c>
      <c r="U1551" s="21"/>
      <c r="V1551" s="53" t="s">
        <v>6255</v>
      </c>
      <c r="Y1551" t="s">
        <v>158</v>
      </c>
      <c r="Z1551" t="s">
        <v>70</v>
      </c>
    </row>
    <row r="1552" spans="1:26" ht="15" hidden="1" customHeight="1">
      <c r="A1552" s="60">
        <f>ROW() - ROW(Table1[[#Headers],[s]])</f>
        <v>1551</v>
      </c>
      <c r="B1552" s="223" t="s">
        <v>4431</v>
      </c>
      <c r="C1552" s="163">
        <v>46235</v>
      </c>
      <c r="D1552" s="52" t="s">
        <v>6256</v>
      </c>
      <c r="E1552" t="s">
        <v>5210</v>
      </c>
      <c r="F1552" s="18" t="e" vm="17">
        <v>#VALUE!</v>
      </c>
      <c r="G1552" s="43" t="s">
        <v>174</v>
      </c>
      <c r="H1552" s="18" t="s">
        <v>152</v>
      </c>
      <c r="J1552" s="18" t="s">
        <v>153</v>
      </c>
      <c r="K1552" s="44" t="s">
        <v>154</v>
      </c>
      <c r="L1552" s="44">
        <v>46238.434027777781</v>
      </c>
      <c r="M1552" s="55" t="s">
        <v>6257</v>
      </c>
      <c r="N1552" s="55" t="s">
        <v>6257</v>
      </c>
      <c r="O1552" s="56">
        <v>46239.333333333336</v>
      </c>
      <c r="P1552" s="56">
        <v>46239.354166666664</v>
      </c>
      <c r="Q1552" s="56">
        <v>46239.385416666664</v>
      </c>
      <c r="S1552" s="21" t="s">
        <v>6258</v>
      </c>
      <c r="T1552" s="55" t="s">
        <v>516</v>
      </c>
      <c r="U1552" s="21"/>
      <c r="V1552" s="53" t="s">
        <v>6259</v>
      </c>
      <c r="Y1552" t="s">
        <v>158</v>
      </c>
      <c r="Z1552" t="s">
        <v>158</v>
      </c>
    </row>
    <row r="1553" spans="1:26" ht="15" hidden="1" customHeight="1">
      <c r="A1553" s="60">
        <f>ROW() - ROW(Table1[[#Headers],[s]])</f>
        <v>1552</v>
      </c>
      <c r="B1553" s="223" t="s">
        <v>3783</v>
      </c>
      <c r="C1553" s="163">
        <v>46235</v>
      </c>
      <c r="D1553" s="19" t="s">
        <v>6260</v>
      </c>
      <c r="E1553" t="s">
        <v>6086</v>
      </c>
      <c r="F1553" s="18" t="e" vm="25">
        <v>#VALUE!</v>
      </c>
      <c r="G1553" s="43" t="s">
        <v>174</v>
      </c>
      <c r="H1553" s="18" t="s">
        <v>152</v>
      </c>
      <c r="J1553" s="18" t="s">
        <v>153</v>
      </c>
      <c r="K1553" s="44" t="s">
        <v>154</v>
      </c>
      <c r="L1553" s="44">
        <v>46239.434027777781</v>
      </c>
      <c r="M1553" s="55" t="s">
        <v>72</v>
      </c>
      <c r="N1553" s="55" t="s">
        <v>72</v>
      </c>
      <c r="O1553" s="44">
        <v>46239.517361111109</v>
      </c>
      <c r="P1553" s="44">
        <v>46239.548611111109</v>
      </c>
      <c r="Q1553" s="44">
        <v>46239.631944444445</v>
      </c>
      <c r="S1553" s="21" t="s">
        <v>6261</v>
      </c>
      <c r="T1553" s="18" t="s">
        <v>478</v>
      </c>
      <c r="U1553" s="21"/>
      <c r="V1553" s="21" t="s">
        <v>6262</v>
      </c>
      <c r="Y1553" t="s">
        <v>158</v>
      </c>
      <c r="Z1553" t="s">
        <v>70</v>
      </c>
    </row>
    <row r="1554" spans="1:26" ht="15" hidden="1" customHeight="1">
      <c r="A1554" s="60">
        <f>ROW() - ROW(Table1[[#Headers],[s]])</f>
        <v>1553</v>
      </c>
      <c r="B1554" s="223" t="s">
        <v>6263</v>
      </c>
      <c r="C1554" s="163">
        <v>46235</v>
      </c>
      <c r="D1554" s="19" t="s">
        <v>6264</v>
      </c>
      <c r="E1554" t="s">
        <v>6073</v>
      </c>
      <c r="F1554" s="18" t="e" vm="42">
        <v>#VALUE!</v>
      </c>
      <c r="G1554" s="43" t="s">
        <v>174</v>
      </c>
      <c r="H1554" s="18" t="s">
        <v>152</v>
      </c>
      <c r="J1554" s="18" t="s">
        <v>153</v>
      </c>
      <c r="K1554" s="44" t="s">
        <v>154</v>
      </c>
      <c r="L1554" s="44">
        <v>46239.51666666667</v>
      </c>
      <c r="M1554" s="18" t="s">
        <v>3868</v>
      </c>
      <c r="N1554" s="18" t="s">
        <v>3868</v>
      </c>
      <c r="O1554" s="44">
        <v>46239.569444444445</v>
      </c>
      <c r="P1554" s="44">
        <v>46239.583333333336</v>
      </c>
      <c r="Q1554" s="44">
        <v>46239.677083333336</v>
      </c>
      <c r="S1554" s="21" t="s">
        <v>6265</v>
      </c>
      <c r="T1554" s="18" t="s">
        <v>478</v>
      </c>
      <c r="U1554" s="21"/>
      <c r="V1554" s="21" t="s">
        <v>6266</v>
      </c>
      <c r="Y1554" t="s">
        <v>158</v>
      </c>
      <c r="Z1554" t="s">
        <v>70</v>
      </c>
    </row>
    <row r="1555" spans="1:26" ht="15" hidden="1" customHeight="1">
      <c r="A1555" s="60">
        <f>ROW() - ROW(Table1[[#Headers],[s]])</f>
        <v>1554</v>
      </c>
      <c r="B1555" s="223" t="s">
        <v>6267</v>
      </c>
      <c r="C1555" s="163">
        <v>46235</v>
      </c>
      <c r="D1555" s="19" t="s">
        <v>6268</v>
      </c>
      <c r="E1555" t="s">
        <v>5474</v>
      </c>
      <c r="F1555" s="18" t="e" vm="2">
        <v>#VALUE!</v>
      </c>
      <c r="G1555" s="43" t="s">
        <v>174</v>
      </c>
      <c r="H1555" s="18" t="s">
        <v>152</v>
      </c>
      <c r="K1555" s="44" t="s">
        <v>154</v>
      </c>
      <c r="L1555" s="44">
        <v>46239.671527777777</v>
      </c>
      <c r="M1555" s="18" t="s">
        <v>162</v>
      </c>
      <c r="N1555" s="18" t="s">
        <v>162</v>
      </c>
      <c r="O1555" s="3">
        <v>46240.333333333336</v>
      </c>
      <c r="P1555" s="3">
        <v>46240.354166666664</v>
      </c>
      <c r="Q1555" s="3">
        <v>46240.375</v>
      </c>
      <c r="S1555" s="21" t="s">
        <v>6269</v>
      </c>
      <c r="T1555" s="18" t="s">
        <v>478</v>
      </c>
      <c r="U1555" s="21"/>
      <c r="V1555" s="21" t="s">
        <v>6270</v>
      </c>
      <c r="Y1555" t="s">
        <v>158</v>
      </c>
      <c r="Z1555" t="s">
        <v>70</v>
      </c>
    </row>
    <row r="1556" spans="1:26" ht="15" hidden="1" customHeight="1">
      <c r="A1556" s="60">
        <f>ROW() - ROW(Table1[[#Headers],[s]])</f>
        <v>1555</v>
      </c>
      <c r="B1556" s="223" t="s">
        <v>6271</v>
      </c>
      <c r="C1556" s="163">
        <v>46235</v>
      </c>
      <c r="D1556" s="55" t="s">
        <v>6272</v>
      </c>
      <c r="E1556" t="s">
        <v>6273</v>
      </c>
      <c r="F1556" s="18" t="e" vm="22">
        <v>#VALUE!</v>
      </c>
      <c r="G1556" s="43" t="s">
        <v>174</v>
      </c>
      <c r="H1556" s="18" t="s">
        <v>152</v>
      </c>
      <c r="J1556" s="18" t="s">
        <v>153</v>
      </c>
      <c r="K1556" s="44" t="s">
        <v>154</v>
      </c>
      <c r="L1556" s="44">
        <v>46239.63958333333</v>
      </c>
      <c r="M1556" s="18" t="s">
        <v>72</v>
      </c>
      <c r="N1556" s="18" t="s">
        <v>72</v>
      </c>
      <c r="O1556" s="3">
        <v>46240.333333333336</v>
      </c>
      <c r="P1556" s="3">
        <v>46240.354166666664</v>
      </c>
      <c r="Q1556" s="3">
        <v>46240.375</v>
      </c>
      <c r="S1556" s="21" t="s">
        <v>6274</v>
      </c>
      <c r="T1556" s="18" t="s">
        <v>478</v>
      </c>
      <c r="U1556" s="21"/>
      <c r="V1556" s="21" t="s">
        <v>930</v>
      </c>
      <c r="Y1556" t="s">
        <v>158</v>
      </c>
      <c r="Z1556" t="s">
        <v>70</v>
      </c>
    </row>
    <row r="1557" spans="1:26" ht="15" hidden="1" customHeight="1">
      <c r="A1557" s="60">
        <f>ROW() - ROW(Table1[[#Headers],[s]])</f>
        <v>1556</v>
      </c>
      <c r="B1557" s="223" t="s">
        <v>6275</v>
      </c>
      <c r="C1557" s="163">
        <v>46235</v>
      </c>
      <c r="D1557" s="19" t="s">
        <v>6276</v>
      </c>
      <c r="E1557" t="s">
        <v>5242</v>
      </c>
      <c r="F1557" s="18" t="e" vm="25">
        <v>#VALUE!</v>
      </c>
      <c r="G1557" s="43" t="s">
        <v>174</v>
      </c>
      <c r="H1557" s="18" t="s">
        <v>152</v>
      </c>
      <c r="J1557" s="18" t="s">
        <v>153</v>
      </c>
      <c r="K1557" s="44" t="s">
        <v>154</v>
      </c>
      <c r="L1557" s="44">
        <v>46239.602777777778</v>
      </c>
      <c r="M1557" s="18" t="s">
        <v>72</v>
      </c>
      <c r="N1557" s="18" t="s">
        <v>72</v>
      </c>
      <c r="O1557" s="3">
        <v>46240.333333333336</v>
      </c>
      <c r="P1557" s="3">
        <v>46240.354166666664</v>
      </c>
      <c r="Q1557" s="3">
        <v>46240.375</v>
      </c>
      <c r="S1557" s="21" t="s">
        <v>6277</v>
      </c>
      <c r="U1557" s="21"/>
      <c r="V1557" s="21" t="s">
        <v>6278</v>
      </c>
      <c r="Y1557" t="s">
        <v>158</v>
      </c>
      <c r="Z1557" t="s">
        <v>70</v>
      </c>
    </row>
    <row r="1558" spans="1:26" ht="15" hidden="1" customHeight="1">
      <c r="A1558" s="60">
        <f>ROW() - ROW(Table1[[#Headers],[s]])</f>
        <v>1557</v>
      </c>
      <c r="B1558" s="223" t="s">
        <v>6279</v>
      </c>
      <c r="C1558" s="163">
        <v>46235</v>
      </c>
      <c r="D1558" s="55" t="s">
        <v>6280</v>
      </c>
      <c r="E1558" t="s">
        <v>6253</v>
      </c>
      <c r="F1558" s="18" t="e" vm="37">
        <v>#VALUE!</v>
      </c>
      <c r="G1558" s="43" t="s">
        <v>174</v>
      </c>
      <c r="H1558" s="18" t="s">
        <v>152</v>
      </c>
      <c r="J1558" s="18" t="s">
        <v>153</v>
      </c>
      <c r="K1558" s="44" t="s">
        <v>154</v>
      </c>
      <c r="L1558" s="44">
        <v>46239.607638888891</v>
      </c>
      <c r="M1558" s="18" t="s">
        <v>1023</v>
      </c>
      <c r="N1558" s="18" t="s">
        <v>1023</v>
      </c>
      <c r="O1558" s="44">
        <v>46239.677083333336</v>
      </c>
      <c r="P1558" s="44">
        <v>46239.690972222219</v>
      </c>
      <c r="Q1558" s="44">
        <v>46239.732638888891</v>
      </c>
      <c r="S1558" s="21" t="s">
        <v>6281</v>
      </c>
      <c r="T1558" s="18" t="s">
        <v>478</v>
      </c>
      <c r="U1558" s="21"/>
      <c r="V1558" s="21" t="s">
        <v>6282</v>
      </c>
      <c r="Y1558" t="s">
        <v>158</v>
      </c>
      <c r="Z1558" t="s">
        <v>70</v>
      </c>
    </row>
    <row r="1559" spans="1:26" ht="15" hidden="1" customHeight="1">
      <c r="A1559" s="60">
        <f>ROW() - ROW(Table1[[#Headers],[s]])</f>
        <v>1558</v>
      </c>
      <c r="B1559" s="223" t="s">
        <v>6283</v>
      </c>
      <c r="C1559" s="163">
        <v>46235</v>
      </c>
      <c r="D1559" s="19" t="s">
        <v>6284</v>
      </c>
      <c r="E1559" t="s">
        <v>5727</v>
      </c>
      <c r="F1559" s="18" t="e" vm="25">
        <v>#VALUE!</v>
      </c>
      <c r="G1559" s="43" t="s">
        <v>174</v>
      </c>
      <c r="H1559" s="18" t="s">
        <v>152</v>
      </c>
      <c r="J1559" s="18" t="s">
        <v>153</v>
      </c>
      <c r="K1559" s="44" t="s">
        <v>154</v>
      </c>
      <c r="L1559" s="44">
        <v>46239.638194444444</v>
      </c>
      <c r="M1559" s="18" t="s">
        <v>72</v>
      </c>
      <c r="N1559" s="18" t="s">
        <v>72</v>
      </c>
      <c r="O1559" s="44">
        <v>46239.6875</v>
      </c>
      <c r="P1559" s="44">
        <v>46239.715277777781</v>
      </c>
      <c r="Q1559" s="44">
        <v>46239.75</v>
      </c>
      <c r="S1559" s="21" t="s">
        <v>6285</v>
      </c>
      <c r="U1559" s="21"/>
      <c r="V1559" s="21" t="s">
        <v>6286</v>
      </c>
      <c r="Y1559" t="s">
        <v>158</v>
      </c>
      <c r="Z1559" t="s">
        <v>70</v>
      </c>
    </row>
    <row r="1560" spans="1:26" ht="15" hidden="1" customHeight="1">
      <c r="A1560" s="60">
        <f>ROW() - ROW(Table1[[#Headers],[s]])</f>
        <v>1559</v>
      </c>
      <c r="B1560" s="223" t="s">
        <v>5541</v>
      </c>
      <c r="C1560" s="163">
        <v>46235</v>
      </c>
      <c r="D1560" s="19" t="s">
        <v>6287</v>
      </c>
      <c r="E1560" t="s">
        <v>5543</v>
      </c>
      <c r="F1560" s="18" t="e" vm="35">
        <v>#VALUE!</v>
      </c>
      <c r="G1560" s="43" t="s">
        <v>174</v>
      </c>
      <c r="H1560" s="18" t="s">
        <v>152</v>
      </c>
      <c r="K1560" s="44" t="s">
        <v>6288</v>
      </c>
      <c r="L1560" s="44">
        <v>46239.666666666664</v>
      </c>
      <c r="M1560" s="18" t="s">
        <v>227</v>
      </c>
      <c r="N1560" s="18" t="s">
        <v>227</v>
      </c>
      <c r="O1560" s="3">
        <v>46240.333333333336</v>
      </c>
      <c r="P1560" s="3">
        <v>46240.354166666664</v>
      </c>
      <c r="Q1560" s="3">
        <v>46240.375</v>
      </c>
      <c r="S1560" s="21" t="s">
        <v>6289</v>
      </c>
      <c r="U1560" s="21"/>
      <c r="V1560" s="21" t="s">
        <v>6290</v>
      </c>
      <c r="Y1560" t="s">
        <v>158</v>
      </c>
      <c r="Z1560" t="s">
        <v>158</v>
      </c>
    </row>
    <row r="1561" spans="1:26" ht="15" hidden="1" customHeight="1">
      <c r="A1561" s="60">
        <f>ROW() - ROW(Table1[[#Headers],[s]])</f>
        <v>1560</v>
      </c>
      <c r="B1561" s="223" t="s">
        <v>6291</v>
      </c>
      <c r="C1561" s="163">
        <v>46235</v>
      </c>
      <c r="D1561" s="19" t="s">
        <v>6292</v>
      </c>
      <c r="E1561" t="s">
        <v>6293</v>
      </c>
      <c r="F1561" s="18" t="e" vm="25">
        <v>#VALUE!</v>
      </c>
      <c r="G1561" s="43" t="s">
        <v>174</v>
      </c>
      <c r="H1561" s="18" t="s">
        <v>152</v>
      </c>
      <c r="J1561" s="18" t="s">
        <v>153</v>
      </c>
      <c r="K1561" s="44" t="s">
        <v>154</v>
      </c>
      <c r="L1561" s="44">
        <v>46239.673611111109</v>
      </c>
      <c r="M1561" s="18" t="s">
        <v>72</v>
      </c>
      <c r="N1561" s="18" t="s">
        <v>72</v>
      </c>
      <c r="O1561" s="44">
        <v>46239.729166666664</v>
      </c>
      <c r="P1561" s="44">
        <v>46239.770833333336</v>
      </c>
      <c r="Q1561" s="44">
        <v>46239.8125</v>
      </c>
      <c r="S1561" s="21" t="s">
        <v>6294</v>
      </c>
      <c r="T1561" s="18" t="s">
        <v>653</v>
      </c>
      <c r="U1561" s="21"/>
      <c r="V1561" s="21" t="s">
        <v>6295</v>
      </c>
      <c r="Y1561" t="s">
        <v>158</v>
      </c>
      <c r="Z1561" t="s">
        <v>70</v>
      </c>
    </row>
    <row r="1562" spans="1:26" ht="15" hidden="1" customHeight="1">
      <c r="A1562" s="60">
        <f>ROW() - ROW(Table1[[#Headers],[s]])</f>
        <v>1561</v>
      </c>
      <c r="B1562" s="223" t="s">
        <v>6296</v>
      </c>
      <c r="C1562" s="181" t="s">
        <v>60</v>
      </c>
      <c r="D1562" s="52" t="s">
        <v>6297</v>
      </c>
      <c r="E1562" t="s">
        <v>6293</v>
      </c>
      <c r="F1562" s="18" t="e" vm="25">
        <v>#VALUE!</v>
      </c>
      <c r="G1562" s="43" t="s">
        <v>174</v>
      </c>
      <c r="H1562" s="18" t="s">
        <v>152</v>
      </c>
      <c r="J1562" s="18" t="s">
        <v>153</v>
      </c>
      <c r="K1562" s="42" t="s">
        <v>154</v>
      </c>
      <c r="L1562" s="44">
        <v>46239.677777777775</v>
      </c>
      <c r="M1562" s="18" t="s">
        <v>72</v>
      </c>
      <c r="N1562" s="18" t="s">
        <v>72</v>
      </c>
      <c r="O1562" s="56"/>
      <c r="P1562" s="22"/>
      <c r="Q1562" s="58"/>
      <c r="S1562" s="44" t="s">
        <v>6247</v>
      </c>
      <c r="T1562" s="55"/>
      <c r="U1562" s="21"/>
      <c r="V1562" s="44" t="s">
        <v>6247</v>
      </c>
      <c r="Y1562" t="s">
        <v>179</v>
      </c>
      <c r="Z1562" t="s">
        <v>179</v>
      </c>
    </row>
    <row r="1563" spans="1:26" ht="15" hidden="1" customHeight="1">
      <c r="A1563" s="60">
        <f>ROW() - ROW(Table1[[#Headers],[s]])</f>
        <v>1562</v>
      </c>
      <c r="B1563" s="223" t="s">
        <v>6106</v>
      </c>
      <c r="C1563" s="163">
        <v>46235</v>
      </c>
      <c r="D1563" s="52" t="s">
        <v>6298</v>
      </c>
      <c r="E1563" t="s">
        <v>5736</v>
      </c>
      <c r="F1563" s="18" t="e" vm="2">
        <v>#VALUE!</v>
      </c>
      <c r="G1563" s="43" t="s">
        <v>174</v>
      </c>
      <c r="H1563" s="18" t="s">
        <v>152</v>
      </c>
      <c r="J1563" s="18" t="s">
        <v>153</v>
      </c>
      <c r="K1563" s="44" t="s">
        <v>154</v>
      </c>
      <c r="L1563" s="44">
        <v>46239.692361111112</v>
      </c>
      <c r="M1563" s="18" t="s">
        <v>162</v>
      </c>
      <c r="N1563" s="18" t="s">
        <v>162</v>
      </c>
      <c r="O1563" s="44">
        <v>46239.739583333336</v>
      </c>
      <c r="P1563" s="44">
        <v>46239.756944444445</v>
      </c>
      <c r="Q1563" s="44">
        <v>46239.791666666664</v>
      </c>
      <c r="S1563" s="21" t="s">
        <v>6299</v>
      </c>
      <c r="T1563" s="44" t="s">
        <v>6247</v>
      </c>
      <c r="U1563" s="21"/>
      <c r="V1563" s="53" t="s">
        <v>6300</v>
      </c>
      <c r="Y1563" t="s">
        <v>158</v>
      </c>
      <c r="Z1563" t="s">
        <v>70</v>
      </c>
    </row>
    <row r="1564" spans="1:26" ht="15" hidden="1" customHeight="1">
      <c r="A1564" s="60">
        <f>ROW() - ROW(Table1[[#Headers],[s]])</f>
        <v>1563</v>
      </c>
      <c r="B1564" t="s">
        <v>6301</v>
      </c>
      <c r="C1564" s="163">
        <v>46235</v>
      </c>
      <c r="D1564" s="52" t="s">
        <v>6302</v>
      </c>
      <c r="E1564" t="s">
        <v>6303</v>
      </c>
      <c r="F1564" s="18" t="e" vm="25">
        <v>#VALUE!</v>
      </c>
      <c r="G1564" s="43" t="s">
        <v>40</v>
      </c>
      <c r="H1564" s="18" t="s">
        <v>245</v>
      </c>
      <c r="J1564" s="18" t="s">
        <v>253</v>
      </c>
      <c r="K1564" s="44" t="s">
        <v>154</v>
      </c>
      <c r="L1564" s="44">
        <v>46239.546527777777</v>
      </c>
      <c r="M1564" s="18" t="s">
        <v>6304</v>
      </c>
      <c r="N1564" s="18" t="s">
        <v>6305</v>
      </c>
      <c r="O1564" s="56">
        <v>46239.546527777777</v>
      </c>
      <c r="P1564" s="22"/>
      <c r="Q1564" s="58">
        <v>46240.97152777778</v>
      </c>
      <c r="R1564" t="s">
        <v>3137</v>
      </c>
      <c r="S1564" s="21" t="s">
        <v>6306</v>
      </c>
      <c r="T1564" s="18" t="s">
        <v>478</v>
      </c>
      <c r="U1564" s="21"/>
      <c r="V1564" s="53" t="s">
        <v>6307</v>
      </c>
      <c r="Y1564" t="s">
        <v>70</v>
      </c>
      <c r="Z1564" t="s">
        <v>158</v>
      </c>
    </row>
    <row r="1565" spans="1:26" ht="15" hidden="1" customHeight="1">
      <c r="A1565" s="60">
        <f>ROW() - ROW(Table1[[#Headers],[s]])</f>
        <v>1564</v>
      </c>
      <c r="B1565" t="s">
        <v>6308</v>
      </c>
      <c r="C1565" s="163">
        <v>46235</v>
      </c>
      <c r="D1565" s="52" t="s">
        <v>6309</v>
      </c>
      <c r="E1565" t="s">
        <v>6310</v>
      </c>
      <c r="F1565" s="18" t="e" vm="40">
        <v>#VALUE!</v>
      </c>
      <c r="G1565" s="43" t="s">
        <v>174</v>
      </c>
      <c r="H1565" s="18" t="s">
        <v>747</v>
      </c>
      <c r="J1565" s="18" t="s">
        <v>253</v>
      </c>
      <c r="K1565" s="44" t="s">
        <v>154</v>
      </c>
      <c r="L1565" s="44">
        <v>46240.541666666664</v>
      </c>
      <c r="M1565" s="55" t="s">
        <v>55</v>
      </c>
      <c r="N1565" s="55" t="s">
        <v>55</v>
      </c>
      <c r="O1565" s="44">
        <v>46240.5625</v>
      </c>
      <c r="P1565" s="44">
        <v>46240.583333333336</v>
      </c>
      <c r="Q1565" s="44">
        <v>46240.838888888888</v>
      </c>
      <c r="S1565" s="21" t="s">
        <v>1849</v>
      </c>
      <c r="T1565" s="55" t="s">
        <v>516</v>
      </c>
      <c r="U1565" s="21"/>
      <c r="V1565" s="53" t="s">
        <v>2501</v>
      </c>
      <c r="Y1565" t="s">
        <v>158</v>
      </c>
      <c r="Z1565" t="s">
        <v>158</v>
      </c>
    </row>
    <row r="1566" spans="1:26" ht="15" hidden="1" customHeight="1">
      <c r="A1566" s="60">
        <f>ROW() - ROW(Table1[[#Headers],[s]])</f>
        <v>1565</v>
      </c>
      <c r="B1566" s="223" t="s">
        <v>6311</v>
      </c>
      <c r="C1566" s="163">
        <v>46235</v>
      </c>
      <c r="D1566" s="19" t="s">
        <v>6312</v>
      </c>
      <c r="E1566" t="s">
        <v>6313</v>
      </c>
      <c r="F1566" s="18" t="e" vm="5">
        <v>#VALUE!</v>
      </c>
      <c r="G1566" s="5" t="s">
        <v>200</v>
      </c>
      <c r="H1566" s="18" t="s">
        <v>152</v>
      </c>
      <c r="J1566" s="18" t="s">
        <v>153</v>
      </c>
      <c r="K1566" s="44" t="s">
        <v>154</v>
      </c>
      <c r="L1566" s="44">
        <v>46240.595833333333</v>
      </c>
      <c r="M1566" s="55" t="s">
        <v>55</v>
      </c>
      <c r="N1566" s="55" t="s">
        <v>55</v>
      </c>
      <c r="O1566" s="3">
        <v>46241.375</v>
      </c>
      <c r="P1566" s="22">
        <v>46241.395833333336</v>
      </c>
      <c r="Q1566" s="22">
        <v>46241.416666666664</v>
      </c>
      <c r="S1566" s="21" t="s">
        <v>6314</v>
      </c>
      <c r="U1566" s="21"/>
      <c r="V1566" s="21" t="s">
        <v>6314</v>
      </c>
      <c r="Y1566" t="s">
        <v>158</v>
      </c>
      <c r="Z1566" t="s">
        <v>70</v>
      </c>
    </row>
    <row r="1567" spans="1:26" ht="15" hidden="1" customHeight="1">
      <c r="A1567" s="60">
        <f>ROW() - ROW(Table1[[#Headers],[s]])</f>
        <v>1566</v>
      </c>
      <c r="B1567" s="223" t="s">
        <v>6315</v>
      </c>
      <c r="C1567" s="163">
        <v>46235</v>
      </c>
      <c r="D1567" s="19" t="s">
        <v>6316</v>
      </c>
      <c r="E1567" t="s">
        <v>6317</v>
      </c>
      <c r="F1567" s="18" t="e" vm="16">
        <v>#VALUE!</v>
      </c>
      <c r="G1567" s="5" t="s">
        <v>174</v>
      </c>
      <c r="H1567" s="18" t="s">
        <v>152</v>
      </c>
      <c r="J1567" s="18" t="s">
        <v>153</v>
      </c>
      <c r="K1567" s="44" t="s">
        <v>154</v>
      </c>
      <c r="L1567" s="44">
        <v>46240.57708333333</v>
      </c>
      <c r="M1567" s="18" t="s">
        <v>58</v>
      </c>
      <c r="N1567" s="18" t="s">
        <v>58</v>
      </c>
      <c r="O1567" s="44">
        <v>46240.604166666664</v>
      </c>
      <c r="P1567" s="44">
        <v>46240.618055555555</v>
      </c>
      <c r="Q1567" s="44">
        <v>46240.673611111109</v>
      </c>
      <c r="S1567" s="21" t="s">
        <v>6318</v>
      </c>
      <c r="T1567" s="55" t="s">
        <v>516</v>
      </c>
      <c r="U1567" s="21"/>
      <c r="V1567" s="21" t="s">
        <v>6319</v>
      </c>
      <c r="Y1567" t="s">
        <v>158</v>
      </c>
      <c r="Z1567" t="s">
        <v>158</v>
      </c>
    </row>
    <row r="1568" spans="1:26" ht="15" hidden="1" customHeight="1">
      <c r="A1568" s="60">
        <f>ROW() - ROW(Table1[[#Headers],[s]])</f>
        <v>1567</v>
      </c>
      <c r="B1568" t="s">
        <v>6320</v>
      </c>
      <c r="C1568" s="163">
        <v>46235</v>
      </c>
      <c r="D1568" s="19" t="s">
        <v>6321</v>
      </c>
      <c r="E1568" t="s">
        <v>5727</v>
      </c>
      <c r="F1568" s="18" t="e" vm="25">
        <v>#VALUE!</v>
      </c>
      <c r="G1568" s="5" t="s">
        <v>200</v>
      </c>
      <c r="H1568" s="18" t="s">
        <v>152</v>
      </c>
      <c r="J1568" s="18" t="s">
        <v>153</v>
      </c>
      <c r="K1568" s="20" t="s">
        <v>154</v>
      </c>
      <c r="L1568" s="20">
        <v>46240.4</v>
      </c>
      <c r="M1568" s="18" t="s">
        <v>72</v>
      </c>
      <c r="N1568" s="18" t="s">
        <v>72</v>
      </c>
      <c r="O1568" s="3">
        <v>46241.854166666664</v>
      </c>
      <c r="P1568" s="22">
        <v>46241.875</v>
      </c>
      <c r="Q1568" s="22">
        <v>46241.895833333336</v>
      </c>
      <c r="S1568" s="21" t="s">
        <v>6322</v>
      </c>
      <c r="T1568" s="18" t="s">
        <v>6323</v>
      </c>
      <c r="U1568" s="21"/>
      <c r="V1568" s="21" t="s">
        <v>6322</v>
      </c>
      <c r="Y1568" t="s">
        <v>158</v>
      </c>
      <c r="Z1568" t="s">
        <v>70</v>
      </c>
    </row>
    <row r="1569" spans="1:26" ht="15" hidden="1" customHeight="1">
      <c r="A1569" s="60">
        <f>ROW() - ROW(Table1[[#Headers],[s]])</f>
        <v>1568</v>
      </c>
      <c r="B1569" t="s">
        <v>6324</v>
      </c>
      <c r="C1569" s="163">
        <v>46235</v>
      </c>
      <c r="D1569" s="19" t="s">
        <v>6325</v>
      </c>
      <c r="E1569" t="s">
        <v>6326</v>
      </c>
      <c r="F1569" s="18" t="e" vm="40">
        <v>#VALUE!</v>
      </c>
      <c r="G1569" s="5" t="s">
        <v>200</v>
      </c>
      <c r="H1569" s="18" t="s">
        <v>152</v>
      </c>
      <c r="J1569" s="18" t="s">
        <v>153</v>
      </c>
      <c r="K1569" s="20" t="s">
        <v>154</v>
      </c>
      <c r="L1569" s="20">
        <v>46241.423611111109</v>
      </c>
      <c r="M1569" s="18" t="s">
        <v>39</v>
      </c>
      <c r="N1569" s="18" t="s">
        <v>39</v>
      </c>
      <c r="O1569" s="3">
        <v>46241.458333333336</v>
      </c>
      <c r="P1569" s="22" t="s">
        <v>6327</v>
      </c>
      <c r="Q1569" s="22">
        <v>46241.5</v>
      </c>
      <c r="S1569" s="21" t="s">
        <v>6328</v>
      </c>
      <c r="T1569" s="18" t="s">
        <v>478</v>
      </c>
      <c r="U1569" s="21"/>
      <c r="V1569" s="21" t="s">
        <v>6328</v>
      </c>
      <c r="Y1569" t="s">
        <v>158</v>
      </c>
      <c r="Z1569" t="s">
        <v>70</v>
      </c>
    </row>
    <row r="1570" spans="1:26" ht="15" hidden="1" customHeight="1">
      <c r="A1570" s="60">
        <f>ROW() - ROW(Table1[[#Headers],[s]])</f>
        <v>1569</v>
      </c>
      <c r="B1570" t="s">
        <v>6329</v>
      </c>
      <c r="C1570" s="163">
        <v>46235</v>
      </c>
      <c r="D1570" s="19" t="s">
        <v>6330</v>
      </c>
      <c r="E1570" t="s">
        <v>6331</v>
      </c>
      <c r="F1570" s="18" t="e" vm="37">
        <v>#VALUE!</v>
      </c>
      <c r="G1570" s="5" t="s">
        <v>200</v>
      </c>
      <c r="H1570" s="18" t="s">
        <v>152</v>
      </c>
      <c r="J1570" s="18" t="s">
        <v>153</v>
      </c>
      <c r="K1570" s="20" t="s">
        <v>154</v>
      </c>
      <c r="L1570" s="20">
        <v>46241.43472222222</v>
      </c>
      <c r="M1570" s="18" t="s">
        <v>59</v>
      </c>
      <c r="N1570" s="18" t="s">
        <v>59</v>
      </c>
      <c r="O1570" s="3">
        <v>46241.666666666664</v>
      </c>
      <c r="P1570" s="22">
        <v>46241.666666666664</v>
      </c>
      <c r="Q1570" s="22">
        <v>46241.708333333336</v>
      </c>
      <c r="S1570" s="21" t="s">
        <v>6332</v>
      </c>
      <c r="T1570" s="18" t="s">
        <v>50</v>
      </c>
      <c r="U1570" s="21"/>
      <c r="V1570" s="21" t="s">
        <v>6332</v>
      </c>
      <c r="Y1570" t="s">
        <v>158</v>
      </c>
      <c r="Z1570" t="s">
        <v>70</v>
      </c>
    </row>
    <row r="1571" spans="1:26" ht="15" hidden="1" customHeight="1">
      <c r="A1571" s="60">
        <f>ROW() - ROW(Table1[[#Headers],[s]])</f>
        <v>1570</v>
      </c>
      <c r="B1571" t="s">
        <v>6333</v>
      </c>
      <c r="C1571" s="163">
        <v>46235</v>
      </c>
      <c r="D1571" s="19" t="s">
        <v>6334</v>
      </c>
      <c r="E1571" t="s">
        <v>6335</v>
      </c>
      <c r="F1571" s="18" t="e" vm="10">
        <v>#VALUE!</v>
      </c>
      <c r="G1571" s="5" t="s">
        <v>200</v>
      </c>
      <c r="H1571" s="18" t="s">
        <v>152</v>
      </c>
      <c r="J1571" s="18" t="s">
        <v>153</v>
      </c>
      <c r="K1571" s="20" t="s">
        <v>154</v>
      </c>
      <c r="L1571" s="20">
        <v>46241.456250000003</v>
      </c>
      <c r="M1571" s="18" t="s">
        <v>78</v>
      </c>
      <c r="N1571" s="55" t="s">
        <v>78</v>
      </c>
      <c r="O1571" s="3">
        <v>46241.833333333336</v>
      </c>
      <c r="P1571" s="22">
        <v>46241.854166666664</v>
      </c>
      <c r="Q1571" s="22">
        <v>46241.875</v>
      </c>
      <c r="S1571" s="21" t="s">
        <v>6336</v>
      </c>
      <c r="T1571" s="18" t="s">
        <v>50</v>
      </c>
      <c r="U1571" s="21"/>
      <c r="V1571" s="21" t="s">
        <v>6336</v>
      </c>
      <c r="Y1571" t="s">
        <v>158</v>
      </c>
      <c r="Z1571" t="s">
        <v>70</v>
      </c>
    </row>
    <row r="1572" spans="1:26" ht="15" hidden="1" customHeight="1">
      <c r="A1572" s="60">
        <f>ROW() - ROW(Table1[[#Headers],[s]])</f>
        <v>1571</v>
      </c>
      <c r="B1572" t="s">
        <v>6337</v>
      </c>
      <c r="C1572" s="163">
        <v>46235</v>
      </c>
      <c r="D1572" s="19" t="s">
        <v>6338</v>
      </c>
      <c r="E1572" t="s">
        <v>6339</v>
      </c>
      <c r="F1572" s="18" t="e" vm="49">
        <v>#VALUE!</v>
      </c>
      <c r="G1572" s="5" t="s">
        <v>200</v>
      </c>
      <c r="H1572" s="18" t="s">
        <v>152</v>
      </c>
      <c r="J1572" s="18" t="s">
        <v>153</v>
      </c>
      <c r="K1572" s="20" t="s">
        <v>154</v>
      </c>
      <c r="L1572" s="20">
        <v>46241.461805555555</v>
      </c>
      <c r="M1572" s="18" t="s">
        <v>85</v>
      </c>
      <c r="N1572" s="18" t="s">
        <v>85</v>
      </c>
      <c r="O1572" s="3">
        <v>46241.541666666664</v>
      </c>
      <c r="P1572" s="22">
        <v>46241.5625</v>
      </c>
      <c r="Q1572" s="22">
        <v>46241.583333333336</v>
      </c>
      <c r="S1572" s="21" t="s">
        <v>6154</v>
      </c>
      <c r="T1572" s="18" t="s">
        <v>50</v>
      </c>
      <c r="U1572" s="21"/>
      <c r="V1572" s="21" t="s">
        <v>6340</v>
      </c>
      <c r="Y1572" t="s">
        <v>158</v>
      </c>
      <c r="Z1572" t="s">
        <v>70</v>
      </c>
    </row>
    <row r="1573" spans="1:26" ht="15" hidden="1" customHeight="1">
      <c r="A1573" s="60">
        <f>ROW() - ROW(Table1[[#Headers],[s]])</f>
        <v>1572</v>
      </c>
      <c r="B1573" t="s">
        <v>6341</v>
      </c>
      <c r="C1573" s="163">
        <v>46235</v>
      </c>
      <c r="D1573" s="52" t="s">
        <v>6342</v>
      </c>
      <c r="E1573" t="s">
        <v>5169</v>
      </c>
      <c r="F1573" s="18" t="e" vm="25">
        <v>#VALUE!</v>
      </c>
      <c r="G1573" s="43" t="s">
        <v>200</v>
      </c>
      <c r="H1573" s="18" t="s">
        <v>747</v>
      </c>
      <c r="J1573" s="18" t="s">
        <v>253</v>
      </c>
      <c r="K1573" s="44" t="s">
        <v>154</v>
      </c>
      <c r="L1573" s="44">
        <v>46241.46875</v>
      </c>
      <c r="M1573" s="55" t="s">
        <v>72</v>
      </c>
      <c r="N1573" s="55" t="s">
        <v>72</v>
      </c>
      <c r="O1573" s="56">
        <v>46241.5</v>
      </c>
      <c r="P1573" s="22">
        <v>46241.68472222222</v>
      </c>
      <c r="Q1573" s="58">
        <v>46241.638888888891</v>
      </c>
      <c r="S1573" s="21" t="s">
        <v>6343</v>
      </c>
      <c r="T1573" s="55" t="s">
        <v>179</v>
      </c>
      <c r="U1573" s="21"/>
      <c r="V1573" s="53" t="s">
        <v>6344</v>
      </c>
      <c r="Y1573" t="s">
        <v>158</v>
      </c>
      <c r="Z1573" t="s">
        <v>158</v>
      </c>
    </row>
    <row r="1574" spans="1:26" ht="15" hidden="1" customHeight="1">
      <c r="A1574" s="60">
        <f>ROW() - ROW(Table1[[#Headers],[s]])</f>
        <v>1573</v>
      </c>
      <c r="B1574" t="s">
        <v>6345</v>
      </c>
      <c r="C1574" s="163">
        <v>46235</v>
      </c>
      <c r="D1574" s="52" t="s">
        <v>6346</v>
      </c>
      <c r="E1574" t="s">
        <v>6347</v>
      </c>
      <c r="F1574" s="18" t="e" vm="5">
        <v>#VALUE!</v>
      </c>
      <c r="G1574" s="43" t="s">
        <v>200</v>
      </c>
      <c r="H1574" s="18" t="s">
        <v>152</v>
      </c>
      <c r="J1574" s="18" t="s">
        <v>153</v>
      </c>
      <c r="K1574" s="44" t="s">
        <v>154</v>
      </c>
      <c r="L1574" s="44">
        <v>46241.545138888891</v>
      </c>
      <c r="M1574" s="55" t="s">
        <v>55</v>
      </c>
      <c r="N1574" s="55" t="s">
        <v>55</v>
      </c>
      <c r="O1574" s="56">
        <v>46241.625</v>
      </c>
      <c r="P1574" s="22">
        <v>46241.625</v>
      </c>
      <c r="Q1574" s="58">
        <v>46241.875</v>
      </c>
      <c r="S1574" s="21" t="s">
        <v>6348</v>
      </c>
      <c r="T1574" s="55" t="s">
        <v>738</v>
      </c>
      <c r="U1574" s="21" t="s">
        <v>6348</v>
      </c>
      <c r="V1574" s="53"/>
      <c r="Y1574" t="s">
        <v>158</v>
      </c>
      <c r="Z1574" t="s">
        <v>158</v>
      </c>
    </row>
    <row r="1575" spans="1:26" ht="15" hidden="1" customHeight="1">
      <c r="A1575" s="60">
        <f>ROW() - ROW(Table1[[#Headers],[s]])</f>
        <v>1574</v>
      </c>
      <c r="B1575" t="s">
        <v>4599</v>
      </c>
      <c r="C1575" s="163">
        <v>46235</v>
      </c>
      <c r="D1575" s="52" t="s">
        <v>6349</v>
      </c>
      <c r="E1575" t="s">
        <v>6350</v>
      </c>
      <c r="F1575" s="18" t="e" vm="10">
        <v>#VALUE!</v>
      </c>
      <c r="G1575" s="43" t="s">
        <v>200</v>
      </c>
      <c r="H1575" s="18" t="s">
        <v>152</v>
      </c>
      <c r="J1575" s="18" t="s">
        <v>153</v>
      </c>
      <c r="K1575" s="44" t="s">
        <v>154</v>
      </c>
      <c r="L1575" s="44">
        <v>46241.5625</v>
      </c>
      <c r="M1575" s="55" t="s">
        <v>78</v>
      </c>
      <c r="N1575" s="55" t="s">
        <v>78</v>
      </c>
      <c r="O1575" s="56">
        <v>46241.708333333336</v>
      </c>
      <c r="P1575" s="22">
        <v>46241.729166666664</v>
      </c>
      <c r="Q1575" s="58">
        <v>46241.75</v>
      </c>
      <c r="S1575" s="21" t="s">
        <v>6351</v>
      </c>
      <c r="T1575" s="55" t="s">
        <v>179</v>
      </c>
      <c r="U1575" s="21"/>
      <c r="V1575" s="53" t="s">
        <v>6351</v>
      </c>
      <c r="Y1575" t="s">
        <v>158</v>
      </c>
      <c r="Z1575" t="s">
        <v>70</v>
      </c>
    </row>
    <row r="1576" spans="1:26" ht="15" hidden="1" customHeight="1">
      <c r="A1576" s="60">
        <f>ROW() - ROW(Table1[[#Headers],[s]])</f>
        <v>1575</v>
      </c>
      <c r="B1576" t="s">
        <v>6352</v>
      </c>
      <c r="C1576" s="163">
        <v>46235</v>
      </c>
      <c r="D1576" s="52" t="s">
        <v>6353</v>
      </c>
      <c r="E1576" t="s">
        <v>5301</v>
      </c>
      <c r="F1576" s="18" t="e" vm="16">
        <v>#VALUE!</v>
      </c>
      <c r="G1576" s="43" t="s">
        <v>200</v>
      </c>
      <c r="H1576" s="18" t="s">
        <v>245</v>
      </c>
      <c r="J1576" s="18" t="s">
        <v>253</v>
      </c>
      <c r="K1576" s="44" t="s">
        <v>154</v>
      </c>
      <c r="L1576" s="44">
        <v>46241.606249999997</v>
      </c>
      <c r="M1576" s="55" t="s">
        <v>6354</v>
      </c>
      <c r="N1576" s="55" t="s">
        <v>6354</v>
      </c>
      <c r="O1576" s="56">
        <v>46241.791666666664</v>
      </c>
      <c r="P1576" s="22">
        <v>46241.833333333336</v>
      </c>
      <c r="Q1576" s="58">
        <v>46241.855555555558</v>
      </c>
      <c r="S1576" s="21" t="s">
        <v>6355</v>
      </c>
      <c r="T1576" s="55" t="s">
        <v>1704</v>
      </c>
      <c r="U1576" s="21"/>
      <c r="V1576" s="53" t="s">
        <v>6356</v>
      </c>
      <c r="Y1576" t="s">
        <v>158</v>
      </c>
      <c r="Z1576" t="s">
        <v>70</v>
      </c>
    </row>
    <row r="1577" spans="1:26" ht="15" hidden="1" customHeight="1">
      <c r="A1577" s="60">
        <f>ROW() - ROW(Table1[[#Headers],[s]])</f>
        <v>1576</v>
      </c>
      <c r="B1577" t="s">
        <v>6357</v>
      </c>
      <c r="C1577" s="163">
        <v>46235</v>
      </c>
      <c r="D1577" s="52" t="s">
        <v>6358</v>
      </c>
      <c r="E1577" t="s">
        <v>5807</v>
      </c>
      <c r="F1577" s="18" t="e" vm="12">
        <v>#VALUE!</v>
      </c>
      <c r="G1577" s="43" t="s">
        <v>200</v>
      </c>
      <c r="H1577" s="18" t="s">
        <v>152</v>
      </c>
      <c r="J1577" s="18" t="s">
        <v>153</v>
      </c>
      <c r="K1577" s="44" t="s">
        <v>154</v>
      </c>
      <c r="L1577" s="44">
        <v>46241.636805555558</v>
      </c>
      <c r="M1577" s="55" t="s">
        <v>72</v>
      </c>
      <c r="N1577" s="55" t="s">
        <v>72</v>
      </c>
      <c r="O1577" s="56">
        <v>46241.75</v>
      </c>
      <c r="P1577" s="22">
        <v>46241.770833333336</v>
      </c>
      <c r="Q1577" s="58">
        <v>46241.791666666664</v>
      </c>
      <c r="S1577" s="21" t="s">
        <v>6359</v>
      </c>
      <c r="T1577" s="55" t="s">
        <v>179</v>
      </c>
      <c r="U1577" s="21"/>
      <c r="V1577" s="53" t="s">
        <v>6359</v>
      </c>
      <c r="Y1577" t="s">
        <v>158</v>
      </c>
      <c r="Z1577" t="s">
        <v>70</v>
      </c>
    </row>
    <row r="1578" spans="1:26" ht="15" hidden="1" customHeight="1">
      <c r="A1578" s="60">
        <f>ROW() - ROW(Table1[[#Headers],[s]])</f>
        <v>1577</v>
      </c>
      <c r="B1578" t="s">
        <v>6360</v>
      </c>
      <c r="C1578" s="163">
        <v>46235</v>
      </c>
      <c r="D1578" s="52" t="s">
        <v>6361</v>
      </c>
      <c r="E1578" t="s">
        <v>6253</v>
      </c>
      <c r="F1578" s="18" t="e" vm="37">
        <v>#VALUE!</v>
      </c>
      <c r="G1578" s="43" t="s">
        <v>200</v>
      </c>
      <c r="H1578" s="18" t="s">
        <v>152</v>
      </c>
      <c r="J1578" s="18" t="s">
        <v>153</v>
      </c>
      <c r="K1578" s="44" t="s">
        <v>154</v>
      </c>
      <c r="L1578" s="44">
        <v>46241.638194444444</v>
      </c>
      <c r="M1578" s="55" t="s">
        <v>1023</v>
      </c>
      <c r="N1578" s="55" t="s">
        <v>1023</v>
      </c>
      <c r="O1578" s="56">
        <v>46241.791666666664</v>
      </c>
      <c r="P1578" s="22">
        <v>46241.770833333336</v>
      </c>
      <c r="Q1578" s="58">
        <v>46241.791666666664</v>
      </c>
      <c r="S1578" s="21" t="s">
        <v>6362</v>
      </c>
      <c r="T1578" s="55" t="s">
        <v>50</v>
      </c>
      <c r="U1578" s="21"/>
      <c r="V1578" s="53" t="s">
        <v>6362</v>
      </c>
      <c r="Y1578" t="s">
        <v>158</v>
      </c>
      <c r="Z1578" t="s">
        <v>70</v>
      </c>
    </row>
    <row r="1579" spans="1:26" ht="15" hidden="1" customHeight="1">
      <c r="A1579" s="60">
        <f>ROW() - ROW(Table1[[#Headers],[s]])</f>
        <v>1578</v>
      </c>
      <c r="B1579" t="s">
        <v>6363</v>
      </c>
      <c r="C1579" s="163">
        <v>46235</v>
      </c>
      <c r="D1579" s="52" t="s">
        <v>6364</v>
      </c>
      <c r="E1579" t="s">
        <v>5695</v>
      </c>
      <c r="F1579" s="18" t="e" vm="17">
        <v>#VALUE!</v>
      </c>
      <c r="G1579" s="55" t="s">
        <v>2406</v>
      </c>
      <c r="H1579" s="18" t="s">
        <v>747</v>
      </c>
      <c r="I1579" t="s">
        <v>43</v>
      </c>
      <c r="J1579" s="18" t="s">
        <v>253</v>
      </c>
      <c r="K1579" s="44" t="s">
        <v>154</v>
      </c>
      <c r="L1579" s="44">
        <v>46241.78402777778</v>
      </c>
      <c r="M1579" s="55" t="s">
        <v>2659</v>
      </c>
      <c r="N1579" s="55" t="s">
        <v>2659</v>
      </c>
      <c r="O1579" s="44">
        <v>46241.833333333336</v>
      </c>
      <c r="P1579" s="44">
        <v>46241.856249999997</v>
      </c>
      <c r="Q1579" s="20">
        <v>46244.927083333336</v>
      </c>
      <c r="S1579" s="21" t="s">
        <v>6365</v>
      </c>
      <c r="T1579" s="55" t="s">
        <v>6366</v>
      </c>
      <c r="U1579" s="21"/>
      <c r="V1579" s="53" t="s">
        <v>6367</v>
      </c>
      <c r="Y1579" t="s">
        <v>70</v>
      </c>
      <c r="Z1579" t="s">
        <v>158</v>
      </c>
    </row>
    <row r="1580" spans="1:26" ht="15" hidden="1" customHeight="1">
      <c r="A1580" s="17">
        <f>ROW() - ROW(Table1[[#Headers],[s]])</f>
        <v>1579</v>
      </c>
      <c r="B1580" s="223" t="s">
        <v>6368</v>
      </c>
      <c r="C1580" s="163">
        <v>46235</v>
      </c>
      <c r="D1580" s="19" t="s">
        <v>6369</v>
      </c>
      <c r="E1580" t="s">
        <v>6370</v>
      </c>
      <c r="F1580" s="18" t="e" vm="2">
        <v>#VALUE!</v>
      </c>
      <c r="G1580" s="5" t="s">
        <v>174</v>
      </c>
      <c r="H1580" s="18" t="s">
        <v>152</v>
      </c>
      <c r="J1580" s="18" t="s">
        <v>153</v>
      </c>
      <c r="K1580" s="44" t="s">
        <v>154</v>
      </c>
      <c r="L1580" s="20">
        <v>46241.463888888888</v>
      </c>
      <c r="M1580" s="18" t="s">
        <v>162</v>
      </c>
      <c r="N1580" s="18" t="s">
        <v>162</v>
      </c>
      <c r="O1580" s="3">
        <v>46242.333333333336</v>
      </c>
      <c r="P1580" s="3">
        <v>46242.354166666664</v>
      </c>
      <c r="Q1580" s="3">
        <v>46242.375</v>
      </c>
      <c r="S1580" s="21" t="s">
        <v>6371</v>
      </c>
      <c r="T1580" s="18" t="s">
        <v>478</v>
      </c>
      <c r="U1580" s="21"/>
      <c r="V1580" s="21" t="s">
        <v>930</v>
      </c>
      <c r="Y1580" t="s">
        <v>158</v>
      </c>
      <c r="Z1580" t="s">
        <v>70</v>
      </c>
    </row>
    <row r="1581" spans="1:26" ht="15" hidden="1" customHeight="1">
      <c r="A1581" s="17">
        <f>ROW() - ROW(Table1[[#Headers],[s]])</f>
        <v>1580</v>
      </c>
      <c r="B1581" s="223" t="s">
        <v>6372</v>
      </c>
      <c r="C1581" s="163">
        <v>46235</v>
      </c>
      <c r="D1581" s="19" t="s">
        <v>6373</v>
      </c>
      <c r="E1581" t="s">
        <v>6082</v>
      </c>
      <c r="F1581" s="18" t="e" vm="40">
        <v>#VALUE!</v>
      </c>
      <c r="G1581" s="5" t="s">
        <v>174</v>
      </c>
      <c r="H1581" s="18" t="s">
        <v>152</v>
      </c>
      <c r="J1581" s="18" t="s">
        <v>153</v>
      </c>
      <c r="K1581" s="44" t="s">
        <v>154</v>
      </c>
      <c r="L1581" s="20">
        <v>46241.740972222222</v>
      </c>
      <c r="M1581" s="55" t="s">
        <v>39</v>
      </c>
      <c r="N1581" s="55" t="s">
        <v>39</v>
      </c>
      <c r="O1581" s="3">
        <v>46242.333333333336</v>
      </c>
      <c r="P1581" s="3">
        <v>46242.354166666664</v>
      </c>
      <c r="Q1581" s="3">
        <v>46242.375</v>
      </c>
      <c r="S1581" s="21" t="s">
        <v>4742</v>
      </c>
      <c r="T1581" s="18" t="s">
        <v>2765</v>
      </c>
      <c r="U1581" s="21"/>
      <c r="V1581" s="21" t="s">
        <v>4225</v>
      </c>
      <c r="Y1581" t="s">
        <v>158</v>
      </c>
      <c r="Z1581" t="s">
        <v>70</v>
      </c>
    </row>
    <row r="1582" spans="1:26" ht="15" hidden="1" customHeight="1">
      <c r="A1582" s="17">
        <f>ROW() - ROW(Table1[[#Headers],[s]])</f>
        <v>1581</v>
      </c>
      <c r="B1582" s="223" t="s">
        <v>6374</v>
      </c>
      <c r="C1582" s="163">
        <v>46235</v>
      </c>
      <c r="D1582" s="19" t="s">
        <v>6375</v>
      </c>
      <c r="E1582" t="s">
        <v>6014</v>
      </c>
      <c r="F1582" s="18" t="e" vm="12">
        <v>#VALUE!</v>
      </c>
      <c r="G1582" s="5" t="s">
        <v>174</v>
      </c>
      <c r="H1582" s="18" t="s">
        <v>152</v>
      </c>
      <c r="J1582" s="18" t="s">
        <v>153</v>
      </c>
      <c r="K1582" s="44" t="s">
        <v>154</v>
      </c>
      <c r="L1582" s="20">
        <v>46242.524305555555</v>
      </c>
      <c r="M1582" s="18" t="s">
        <v>72</v>
      </c>
      <c r="N1582" s="18" t="s">
        <v>72</v>
      </c>
      <c r="O1582" s="20">
        <v>46242.572916666664</v>
      </c>
      <c r="P1582" s="20">
        <v>46242.59375</v>
      </c>
      <c r="Q1582" s="20">
        <v>46242.649305555555</v>
      </c>
      <c r="S1582" s="21" t="s">
        <v>4977</v>
      </c>
      <c r="T1582" s="18" t="s">
        <v>3081</v>
      </c>
      <c r="U1582" s="21"/>
      <c r="V1582" s="21" t="s">
        <v>4746</v>
      </c>
      <c r="Y1582" t="s">
        <v>158</v>
      </c>
      <c r="Z1582" t="s">
        <v>70</v>
      </c>
    </row>
    <row r="1583" spans="1:26" ht="15" hidden="1" customHeight="1">
      <c r="A1583" s="17">
        <f>ROW() - ROW(Table1[[#Headers],[s]])</f>
        <v>1582</v>
      </c>
      <c r="B1583" s="223" t="s">
        <v>6376</v>
      </c>
      <c r="C1583" s="163">
        <v>46235</v>
      </c>
      <c r="D1583" s="19" t="s">
        <v>6377</v>
      </c>
      <c r="E1583" t="s">
        <v>5105</v>
      </c>
      <c r="F1583" s="18" t="e" vm="10">
        <v>#VALUE!</v>
      </c>
      <c r="G1583" s="5" t="s">
        <v>174</v>
      </c>
      <c r="H1583" s="18" t="s">
        <v>152</v>
      </c>
      <c r="J1583" s="18" t="s">
        <v>153</v>
      </c>
      <c r="K1583" s="44" t="s">
        <v>154</v>
      </c>
      <c r="L1583" s="20">
        <v>46242.515972222223</v>
      </c>
      <c r="M1583" s="18" t="s">
        <v>78</v>
      </c>
      <c r="N1583" s="55" t="s">
        <v>78</v>
      </c>
      <c r="O1583" s="20">
        <v>46242.5625</v>
      </c>
      <c r="P1583" s="20">
        <v>46242.583333333336</v>
      </c>
      <c r="Q1583" s="20">
        <v>46242.666666666664</v>
      </c>
      <c r="S1583" s="21" t="s">
        <v>4977</v>
      </c>
      <c r="T1583" s="18" t="s">
        <v>3081</v>
      </c>
      <c r="U1583" s="21"/>
      <c r="V1583" s="21" t="s">
        <v>4746</v>
      </c>
      <c r="Y1583" t="s">
        <v>158</v>
      </c>
      <c r="Z1583" t="s">
        <v>70</v>
      </c>
    </row>
    <row r="1584" spans="1:26" ht="15" hidden="1" customHeight="1">
      <c r="A1584" s="60">
        <f>ROW() - ROW(Table1[[#Headers],[s]])</f>
        <v>1583</v>
      </c>
      <c r="B1584" s="223" t="s">
        <v>6378</v>
      </c>
      <c r="C1584" s="163" t="s">
        <v>60</v>
      </c>
      <c r="D1584" s="52" t="s">
        <v>6379</v>
      </c>
      <c r="E1584" t="s">
        <v>6347</v>
      </c>
      <c r="F1584" s="18" t="e" vm="5">
        <v>#VALUE!</v>
      </c>
      <c r="G1584" s="43" t="s">
        <v>174</v>
      </c>
      <c r="H1584" s="18" t="s">
        <v>152</v>
      </c>
      <c r="J1584" s="18" t="s">
        <v>153</v>
      </c>
      <c r="K1584" s="44" t="s">
        <v>154</v>
      </c>
      <c r="L1584" s="20">
        <v>46242.696527777778</v>
      </c>
      <c r="M1584" s="55" t="s">
        <v>55</v>
      </c>
      <c r="N1584" s="55" t="s">
        <v>55</v>
      </c>
      <c r="O1584" s="20">
        <v>46242.75</v>
      </c>
      <c r="P1584" s="20">
        <v>46242.760416666664</v>
      </c>
      <c r="Q1584" s="20">
        <v>46242.802083333336</v>
      </c>
      <c r="S1584" s="21" t="s">
        <v>6126</v>
      </c>
      <c r="T1584" s="55" t="s">
        <v>653</v>
      </c>
      <c r="U1584" s="21"/>
      <c r="V1584" s="53" t="s">
        <v>6380</v>
      </c>
      <c r="Y1584" t="s">
        <v>158</v>
      </c>
      <c r="Z1584" t="s">
        <v>70</v>
      </c>
    </row>
    <row r="1585" spans="1:26" ht="15" hidden="1" customHeight="1">
      <c r="A1585" s="17">
        <f>ROW() - ROW(Table1[[#Headers],[s]])</f>
        <v>1584</v>
      </c>
      <c r="B1585" t="s">
        <v>6381</v>
      </c>
      <c r="C1585" s="272">
        <v>46235</v>
      </c>
      <c r="D1585" s="19" t="s">
        <v>6382</v>
      </c>
      <c r="E1585" t="s">
        <v>6383</v>
      </c>
      <c r="F1585" s="18" t="e" vm="35">
        <v>#VALUE!</v>
      </c>
      <c r="G1585" s="5" t="s">
        <v>174</v>
      </c>
      <c r="H1585" s="18" t="s">
        <v>747</v>
      </c>
      <c r="J1585" s="18" t="s">
        <v>253</v>
      </c>
      <c r="K1585" s="20" t="s">
        <v>6384</v>
      </c>
      <c r="L1585" s="20">
        <v>46243.535416666666</v>
      </c>
      <c r="M1585" s="18" t="s">
        <v>227</v>
      </c>
      <c r="N1585" s="18" t="s">
        <v>227</v>
      </c>
      <c r="O1585" s="20">
        <v>46243.576388888891</v>
      </c>
      <c r="P1585" s="20">
        <v>46243.604166666664</v>
      </c>
      <c r="Q1585" s="20">
        <v>46243.740972222222</v>
      </c>
      <c r="S1585" s="21" t="s">
        <v>6385</v>
      </c>
      <c r="U1585" s="21"/>
      <c r="V1585" s="21" t="s">
        <v>6386</v>
      </c>
      <c r="Y1585" t="s">
        <v>158</v>
      </c>
      <c r="Z1585" t="s">
        <v>70</v>
      </c>
    </row>
    <row r="1586" spans="1:26" ht="15" hidden="1" customHeight="1">
      <c r="A1586" s="17">
        <f>ROW() - ROW(Table1[[#Headers],[s]])</f>
        <v>1585</v>
      </c>
      <c r="B1586" s="223" t="s">
        <v>5541</v>
      </c>
      <c r="C1586" s="181" t="s">
        <v>60</v>
      </c>
      <c r="D1586" s="19" t="s">
        <v>6387</v>
      </c>
      <c r="E1586" t="s">
        <v>5543</v>
      </c>
      <c r="F1586" s="18" t="e" vm="35">
        <v>#VALUE!</v>
      </c>
      <c r="G1586" s="5" t="s">
        <v>174</v>
      </c>
      <c r="H1586" s="18" t="s">
        <v>152</v>
      </c>
      <c r="J1586" s="18" t="s">
        <v>153</v>
      </c>
      <c r="K1586" s="42" t="s">
        <v>154</v>
      </c>
      <c r="L1586" s="20">
        <v>46243.511111111111</v>
      </c>
      <c r="M1586" s="18" t="s">
        <v>227</v>
      </c>
      <c r="N1586" s="18" t="s">
        <v>227</v>
      </c>
      <c r="O1586" s="3"/>
      <c r="P1586" s="22"/>
      <c r="S1586" s="20" t="s">
        <v>6388</v>
      </c>
      <c r="U1586" s="21"/>
    </row>
    <row r="1587" spans="1:26" ht="15" hidden="1" customHeight="1">
      <c r="A1587" s="17">
        <f>ROW() - ROW(Table1[[#Headers],[s]])</f>
        <v>1586</v>
      </c>
      <c r="B1587" s="223" t="s">
        <v>6389</v>
      </c>
      <c r="C1587" s="272">
        <v>46235</v>
      </c>
      <c r="D1587" s="19" t="s">
        <v>6390</v>
      </c>
      <c r="E1587" t="s">
        <v>5543</v>
      </c>
      <c r="F1587" s="18" t="e" vm="35">
        <v>#VALUE!</v>
      </c>
      <c r="G1587" s="5" t="s">
        <v>174</v>
      </c>
      <c r="H1587" s="18" t="s">
        <v>152</v>
      </c>
      <c r="J1587" s="18" t="s">
        <v>153</v>
      </c>
      <c r="K1587" s="44" t="s">
        <v>154</v>
      </c>
      <c r="L1587" s="20">
        <v>46243.506944444445</v>
      </c>
      <c r="M1587" s="18" t="s">
        <v>227</v>
      </c>
      <c r="N1587" s="18" t="s">
        <v>227</v>
      </c>
      <c r="O1587" s="20">
        <v>46243.590277777781</v>
      </c>
      <c r="P1587" s="20">
        <v>46243.631944444445</v>
      </c>
      <c r="Q1587" s="20">
        <v>46243.715277777781</v>
      </c>
      <c r="S1587" s="21" t="s">
        <v>6391</v>
      </c>
      <c r="U1587" s="21"/>
      <c r="V1587" s="21" t="s">
        <v>4282</v>
      </c>
      <c r="Y1587" t="s">
        <v>158</v>
      </c>
      <c r="Z1587" t="s">
        <v>70</v>
      </c>
    </row>
    <row r="1588" spans="1:26" ht="15" hidden="1" customHeight="1">
      <c r="A1588" s="17">
        <f>ROW() - ROW(Table1[[#Headers],[s]])</f>
        <v>1587</v>
      </c>
      <c r="B1588" s="223" t="s">
        <v>6392</v>
      </c>
      <c r="D1588" s="19" t="s">
        <v>6393</v>
      </c>
      <c r="E1588" t="s">
        <v>5278</v>
      </c>
      <c r="F1588" s="18" t="e" vm="21">
        <v>#VALUE!</v>
      </c>
      <c r="G1588" s="5" t="s">
        <v>174</v>
      </c>
      <c r="H1588" s="18" t="s">
        <v>152</v>
      </c>
      <c r="J1588" s="18" t="s">
        <v>153</v>
      </c>
      <c r="K1588" s="20" t="s">
        <v>6394</v>
      </c>
      <c r="L1588" s="20">
        <v>46243.504166666666</v>
      </c>
      <c r="M1588" s="55" t="s">
        <v>39</v>
      </c>
      <c r="N1588" s="55" t="s">
        <v>39</v>
      </c>
      <c r="O1588" s="20">
        <v>46244.5</v>
      </c>
      <c r="P1588" s="20">
        <v>46244.532638888886</v>
      </c>
      <c r="S1588" s="21" t="s">
        <v>6395</v>
      </c>
      <c r="T1588" s="18" t="s">
        <v>2926</v>
      </c>
      <c r="U1588" s="21"/>
    </row>
    <row r="1589" spans="1:26" ht="15" customHeight="1">
      <c r="A1589" s="17">
        <f>ROW() - ROW(Table1[[#Headers],[s]])</f>
        <v>1588</v>
      </c>
      <c r="B1589" s="223" t="s">
        <v>6396</v>
      </c>
      <c r="C1589" s="272">
        <v>46235</v>
      </c>
      <c r="D1589" s="19" t="s">
        <v>6397</v>
      </c>
      <c r="E1589" t="s">
        <v>6398</v>
      </c>
      <c r="F1589" s="18" t="e" vm="19">
        <v>#VALUE!</v>
      </c>
      <c r="G1589" s="5" t="s">
        <v>186</v>
      </c>
      <c r="H1589" s="18" t="s">
        <v>152</v>
      </c>
      <c r="I1589" t="s">
        <v>43</v>
      </c>
      <c r="J1589" s="18" t="s">
        <v>153</v>
      </c>
      <c r="K1589" s="44" t="s">
        <v>154</v>
      </c>
      <c r="L1589" s="20">
        <v>46243.486805555556</v>
      </c>
      <c r="M1589" s="18" t="s">
        <v>82</v>
      </c>
      <c r="N1589" s="18" t="s">
        <v>82</v>
      </c>
      <c r="O1589" s="20">
        <v>46245.416666666664</v>
      </c>
      <c r="P1589" s="20">
        <v>46245.423611111109</v>
      </c>
      <c r="Q1589" s="22">
        <v>46245.458333333336</v>
      </c>
      <c r="S1589" s="21" t="s">
        <v>6399</v>
      </c>
      <c r="T1589" s="55" t="s">
        <v>164</v>
      </c>
      <c r="U1589" s="21"/>
      <c r="V1589" s="21" t="s">
        <v>6400</v>
      </c>
      <c r="W1589" t="s">
        <v>6401</v>
      </c>
      <c r="Y1589" t="s">
        <v>158</v>
      </c>
      <c r="Z1589" t="s">
        <v>158</v>
      </c>
    </row>
    <row r="1590" spans="1:26" ht="15" hidden="1" customHeight="1">
      <c r="A1590" s="17">
        <f>ROW() - ROW(Table1[[#Headers],[s]])</f>
        <v>1589</v>
      </c>
      <c r="B1590" s="223" t="s">
        <v>6402</v>
      </c>
      <c r="C1590" s="272">
        <v>46235</v>
      </c>
      <c r="D1590" s="19" t="s">
        <v>6403</v>
      </c>
      <c r="E1590" t="s">
        <v>5105</v>
      </c>
      <c r="F1590" s="18" t="e" vm="10">
        <v>#VALUE!</v>
      </c>
      <c r="G1590" s="5" t="s">
        <v>174</v>
      </c>
      <c r="H1590" s="18" t="s">
        <v>152</v>
      </c>
      <c r="J1590" s="18" t="s">
        <v>153</v>
      </c>
      <c r="K1590" s="44" t="s">
        <v>154</v>
      </c>
      <c r="L1590" s="20">
        <v>46243.484027777777</v>
      </c>
      <c r="M1590" s="18" t="s">
        <v>78</v>
      </c>
      <c r="N1590" s="55" t="s">
        <v>78</v>
      </c>
      <c r="O1590" s="20">
        <v>46243.541666666664</v>
      </c>
      <c r="P1590" s="20">
        <v>46243.5625</v>
      </c>
      <c r="Q1590" s="20">
        <v>46243.604166666664</v>
      </c>
      <c r="S1590" s="21" t="s">
        <v>6404</v>
      </c>
      <c r="T1590" s="18" t="s">
        <v>478</v>
      </c>
      <c r="U1590" s="21"/>
      <c r="V1590" s="21" t="s">
        <v>5469</v>
      </c>
      <c r="Y1590" t="s">
        <v>158</v>
      </c>
      <c r="Z1590" t="s">
        <v>70</v>
      </c>
    </row>
    <row r="1591" spans="1:26" s="24" customFormat="1" ht="15" hidden="1" customHeight="1">
      <c r="A1591" s="27">
        <f>ROW() - ROW(Table1[[#Headers],[s]])</f>
        <v>1590</v>
      </c>
      <c r="B1591" s="24" t="s">
        <v>6405</v>
      </c>
      <c r="C1591" s="366">
        <v>46235</v>
      </c>
      <c r="D1591" s="242" t="s">
        <v>6406</v>
      </c>
      <c r="F1591" s="259" t="e" vm="10">
        <v>#VALUE!</v>
      </c>
      <c r="G1591" s="256" t="s">
        <v>1057</v>
      </c>
      <c r="H1591" s="259" t="s">
        <v>747</v>
      </c>
      <c r="J1591" s="259" t="s">
        <v>253</v>
      </c>
      <c r="K1591" s="142" t="s">
        <v>6407</v>
      </c>
      <c r="L1591" s="258">
        <v>46243.895138888889</v>
      </c>
      <c r="M1591" s="259" t="s">
        <v>78</v>
      </c>
      <c r="N1591" s="55" t="s">
        <v>78</v>
      </c>
      <c r="O1591" s="258">
        <v>46244.010416666664</v>
      </c>
      <c r="P1591" s="258">
        <v>46244.052083333336</v>
      </c>
      <c r="Q1591" s="258">
        <v>46244.697916666664</v>
      </c>
      <c r="R1591" s="24" t="s">
        <v>6408</v>
      </c>
      <c r="S1591" s="345" t="s">
        <v>6409</v>
      </c>
      <c r="T1591" s="134" t="s">
        <v>179</v>
      </c>
      <c r="U1591" s="345"/>
      <c r="V1591" s="345" t="s">
        <v>6410</v>
      </c>
      <c r="W1591" s="24" t="s">
        <v>6411</v>
      </c>
      <c r="Y1591" s="24" t="s">
        <v>70</v>
      </c>
      <c r="Z1591" s="24" t="s">
        <v>158</v>
      </c>
    </row>
    <row r="1592" spans="1:26" ht="15" hidden="1" customHeight="1">
      <c r="A1592" s="17">
        <f>ROW() - ROW(Table1[[#Headers],[s]])</f>
        <v>1591</v>
      </c>
      <c r="B1592" s="230" t="s">
        <v>6412</v>
      </c>
      <c r="C1592" s="272">
        <v>46235</v>
      </c>
      <c r="D1592" s="19" t="s">
        <v>6413</v>
      </c>
      <c r="E1592" t="s">
        <v>5294</v>
      </c>
      <c r="F1592" s="18" t="e" vm="40">
        <v>#VALUE!</v>
      </c>
      <c r="G1592" s="5" t="s">
        <v>1057</v>
      </c>
      <c r="H1592" s="18" t="s">
        <v>152</v>
      </c>
      <c r="I1592" t="s">
        <v>43</v>
      </c>
      <c r="J1592" s="18" t="s">
        <v>153</v>
      </c>
      <c r="K1592" s="44" t="s">
        <v>154</v>
      </c>
      <c r="L1592" s="20">
        <v>46244.409722222219</v>
      </c>
      <c r="M1592" s="55" t="s">
        <v>39</v>
      </c>
      <c r="N1592" s="55" t="s">
        <v>39</v>
      </c>
      <c r="O1592" s="20">
        <v>46244.697916666664</v>
      </c>
      <c r="P1592" s="20">
        <v>46244.71875</v>
      </c>
      <c r="Q1592" s="20">
        <v>46244.732638888891</v>
      </c>
      <c r="R1592" s="20"/>
      <c r="S1592" s="21" t="s">
        <v>6414</v>
      </c>
      <c r="T1592" s="18" t="s">
        <v>478</v>
      </c>
      <c r="U1592" s="21"/>
      <c r="V1592" s="21" t="s">
        <v>6415</v>
      </c>
      <c r="Y1592" t="s">
        <v>158</v>
      </c>
      <c r="Z1592" t="s">
        <v>70</v>
      </c>
    </row>
    <row r="1593" spans="1:26" s="24" customFormat="1" ht="15" hidden="1" customHeight="1">
      <c r="A1593" s="27">
        <f>ROW() - ROW(Table1[[#Headers],[s]])</f>
        <v>1592</v>
      </c>
      <c r="B1593" s="24" t="s">
        <v>3594</v>
      </c>
      <c r="C1593" s="366">
        <v>46235</v>
      </c>
      <c r="D1593" s="242" t="s">
        <v>6416</v>
      </c>
      <c r="E1593" s="24" t="s">
        <v>6417</v>
      </c>
      <c r="F1593" s="259" t="e" vm="35">
        <v>#VALUE!</v>
      </c>
      <c r="G1593" s="256" t="s">
        <v>1057</v>
      </c>
      <c r="H1593" s="259" t="s">
        <v>747</v>
      </c>
      <c r="I1593" s="24" t="s">
        <v>43</v>
      </c>
      <c r="J1593" s="259" t="s">
        <v>253</v>
      </c>
      <c r="K1593" s="407" t="s">
        <v>6418</v>
      </c>
      <c r="L1593" s="258">
        <v>46244.413888888892</v>
      </c>
      <c r="M1593" s="259" t="s">
        <v>227</v>
      </c>
      <c r="N1593" s="259" t="s">
        <v>227</v>
      </c>
      <c r="O1593" s="258">
        <v>46244.413888888892</v>
      </c>
      <c r="P1593" s="258">
        <v>46244.413888888892</v>
      </c>
      <c r="Q1593" s="258">
        <v>46244.640972222223</v>
      </c>
      <c r="S1593" s="345" t="s">
        <v>6419</v>
      </c>
      <c r="T1593" s="259" t="s">
        <v>478</v>
      </c>
      <c r="U1593" s="345"/>
      <c r="V1593" s="345" t="s">
        <v>6420</v>
      </c>
      <c r="W1593" s="24" t="s">
        <v>6421</v>
      </c>
      <c r="Y1593" s="24" t="s">
        <v>158</v>
      </c>
      <c r="Z1593" s="24" t="s">
        <v>158</v>
      </c>
    </row>
    <row r="1594" spans="1:26" ht="15" hidden="1" customHeight="1">
      <c r="A1594" s="17">
        <f>ROW() - ROW(Table1[[#Headers],[s]])</f>
        <v>1593</v>
      </c>
      <c r="B1594" t="s">
        <v>6422</v>
      </c>
      <c r="C1594" s="272">
        <v>46235</v>
      </c>
      <c r="D1594" s="19" t="s">
        <v>6423</v>
      </c>
      <c r="E1594" t="s">
        <v>6424</v>
      </c>
      <c r="F1594" s="18" t="e" vm="37">
        <v>#VALUE!</v>
      </c>
      <c r="G1594" s="5" t="s">
        <v>1057</v>
      </c>
      <c r="H1594" s="18" t="s">
        <v>152</v>
      </c>
      <c r="I1594" t="s">
        <v>43</v>
      </c>
      <c r="J1594" s="18" t="s">
        <v>153</v>
      </c>
      <c r="K1594" s="44" t="s">
        <v>154</v>
      </c>
      <c r="L1594" s="20">
        <v>46244.443055555559</v>
      </c>
      <c r="M1594" s="18" t="s">
        <v>5817</v>
      </c>
      <c r="N1594" s="18" t="s">
        <v>5817</v>
      </c>
      <c r="O1594" s="20">
        <v>46244.520833333336</v>
      </c>
      <c r="P1594" s="20">
        <v>46244.529166666667</v>
      </c>
      <c r="Q1594" s="20">
        <v>46244.543055555558</v>
      </c>
      <c r="S1594" s="21" t="s">
        <v>6425</v>
      </c>
      <c r="T1594" s="18" t="s">
        <v>478</v>
      </c>
      <c r="U1594" s="21"/>
      <c r="V1594" s="21" t="s">
        <v>6426</v>
      </c>
      <c r="Y1594" t="s">
        <v>158</v>
      </c>
      <c r="Z1594" t="s">
        <v>70</v>
      </c>
    </row>
    <row r="1595" spans="1:26" ht="15" hidden="1" customHeight="1">
      <c r="A1595" s="17">
        <f>ROW() - ROW(Table1[[#Headers],[s]])</f>
        <v>1594</v>
      </c>
      <c r="B1595" t="s">
        <v>6427</v>
      </c>
      <c r="C1595" s="272">
        <v>46235</v>
      </c>
      <c r="D1595" s="19" t="s">
        <v>6428</v>
      </c>
      <c r="E1595" t="s">
        <v>6350</v>
      </c>
      <c r="F1595" s="18" t="e" vm="10">
        <v>#VALUE!</v>
      </c>
      <c r="G1595" s="5" t="s">
        <v>1057</v>
      </c>
      <c r="H1595" s="18" t="s">
        <v>152</v>
      </c>
      <c r="I1595" t="s">
        <v>43</v>
      </c>
      <c r="J1595" s="18" t="s">
        <v>153</v>
      </c>
      <c r="K1595" s="44" t="s">
        <v>154</v>
      </c>
      <c r="L1595" s="20">
        <v>46244.444444444445</v>
      </c>
      <c r="M1595" s="18" t="s">
        <v>78</v>
      </c>
      <c r="N1595" s="55" t="s">
        <v>78</v>
      </c>
      <c r="O1595" s="20">
        <v>46244.78125</v>
      </c>
      <c r="P1595" s="20">
        <v>46244.805555555555</v>
      </c>
      <c r="Q1595" s="20">
        <v>46244.819444444445</v>
      </c>
      <c r="S1595" s="21" t="s">
        <v>6429</v>
      </c>
      <c r="T1595" s="55" t="s">
        <v>179</v>
      </c>
      <c r="U1595" s="21"/>
      <c r="V1595" s="21" t="s">
        <v>6430</v>
      </c>
      <c r="Y1595" t="s">
        <v>158</v>
      </c>
      <c r="Z1595" t="s">
        <v>70</v>
      </c>
    </row>
    <row r="1596" spans="1:26" ht="15" hidden="1" customHeight="1">
      <c r="A1596" s="17">
        <f>ROW() - ROW(Table1[[#Headers],[s]])</f>
        <v>1595</v>
      </c>
      <c r="B1596" t="s">
        <v>6431</v>
      </c>
      <c r="C1596" s="272">
        <v>46235</v>
      </c>
      <c r="D1596" s="19" t="s">
        <v>6432</v>
      </c>
      <c r="E1596" t="s">
        <v>6073</v>
      </c>
      <c r="F1596" s="18" t="e" vm="42">
        <v>#VALUE!</v>
      </c>
      <c r="G1596" s="5" t="s">
        <v>1057</v>
      </c>
      <c r="H1596" s="18" t="s">
        <v>747</v>
      </c>
      <c r="I1596" t="s">
        <v>43</v>
      </c>
      <c r="J1596" s="18" t="s">
        <v>253</v>
      </c>
      <c r="K1596" s="44" t="s">
        <v>154</v>
      </c>
      <c r="L1596" s="20">
        <v>46244.447222222225</v>
      </c>
      <c r="M1596" s="18" t="s">
        <v>6433</v>
      </c>
      <c r="N1596" s="18" t="s">
        <v>602</v>
      </c>
      <c r="O1596" s="20">
        <v>46244.729166666664</v>
      </c>
      <c r="P1596" s="20">
        <v>46244.75</v>
      </c>
      <c r="Q1596" s="20">
        <v>46244.915972222225</v>
      </c>
      <c r="S1596" s="21" t="s">
        <v>6434</v>
      </c>
      <c r="T1596" s="18" t="s">
        <v>478</v>
      </c>
      <c r="U1596" s="21"/>
      <c r="V1596" s="21" t="s">
        <v>6435</v>
      </c>
      <c r="W1596" t="s">
        <v>6436</v>
      </c>
      <c r="Y1596" t="s">
        <v>70</v>
      </c>
      <c r="Z1596" t="s">
        <v>70</v>
      </c>
    </row>
    <row r="1597" spans="1:26" ht="15" hidden="1" customHeight="1">
      <c r="A1597" s="17">
        <f>ROW() - ROW(Table1[[#Headers],[s]])</f>
        <v>1596</v>
      </c>
      <c r="B1597" t="s">
        <v>6437</v>
      </c>
      <c r="C1597" s="272">
        <v>46235</v>
      </c>
      <c r="D1597" s="19" t="s">
        <v>6438</v>
      </c>
      <c r="E1597" t="s">
        <v>6439</v>
      </c>
      <c r="F1597" s="18" t="e" vm="42">
        <v>#VALUE!</v>
      </c>
      <c r="G1597" s="5" t="s">
        <v>1057</v>
      </c>
      <c r="H1597" s="18" t="s">
        <v>152</v>
      </c>
      <c r="I1597" t="s">
        <v>6440</v>
      </c>
      <c r="J1597" s="18" t="s">
        <v>153</v>
      </c>
      <c r="K1597" s="44" t="s">
        <v>154</v>
      </c>
      <c r="L1597" s="20">
        <v>46244.456250000003</v>
      </c>
      <c r="M1597" s="18" t="s">
        <v>602</v>
      </c>
      <c r="N1597" s="18" t="s">
        <v>602</v>
      </c>
      <c r="O1597" s="20">
        <v>46244.729166666664</v>
      </c>
      <c r="P1597" s="20">
        <v>46244.75</v>
      </c>
      <c r="Q1597" s="20">
        <v>46244.78402777778</v>
      </c>
      <c r="S1597" s="21" t="s">
        <v>6434</v>
      </c>
      <c r="T1597" s="18" t="s">
        <v>478</v>
      </c>
      <c r="U1597" s="21"/>
      <c r="V1597" s="21" t="s">
        <v>6441</v>
      </c>
      <c r="W1597" t="s">
        <v>6436</v>
      </c>
      <c r="Y1597" t="s">
        <v>158</v>
      </c>
      <c r="Z1597" t="s">
        <v>158</v>
      </c>
    </row>
    <row r="1598" spans="1:26" ht="15" hidden="1" customHeight="1">
      <c r="A1598" s="60">
        <f>ROW() - ROW(Table1[[#Headers],[s]])</f>
        <v>1597</v>
      </c>
      <c r="B1598" t="s">
        <v>6442</v>
      </c>
      <c r="C1598" s="272">
        <v>46235</v>
      </c>
      <c r="D1598" s="52" t="s">
        <v>6443</v>
      </c>
      <c r="E1598" t="s">
        <v>6444</v>
      </c>
      <c r="F1598" s="18" t="e" vm="2">
        <v>#VALUE!</v>
      </c>
      <c r="G1598" s="5" t="s">
        <v>1057</v>
      </c>
      <c r="H1598" s="18" t="s">
        <v>152</v>
      </c>
      <c r="I1598" t="s">
        <v>43</v>
      </c>
      <c r="J1598" s="18" t="s">
        <v>153</v>
      </c>
      <c r="K1598" s="44" t="s">
        <v>154</v>
      </c>
      <c r="L1598" s="20">
        <v>46244.461111111108</v>
      </c>
      <c r="M1598" s="18" t="s">
        <v>162</v>
      </c>
      <c r="N1598" s="18" t="s">
        <v>162</v>
      </c>
      <c r="O1598" s="20">
        <v>46244.600694444445</v>
      </c>
      <c r="P1598" s="20">
        <v>46244.607638888891</v>
      </c>
      <c r="Q1598" s="20">
        <v>46244.634722222225</v>
      </c>
      <c r="S1598" s="21" t="s">
        <v>6445</v>
      </c>
      <c r="T1598" s="18" t="s">
        <v>2765</v>
      </c>
      <c r="U1598" s="21"/>
      <c r="V1598" s="53" t="s">
        <v>6446</v>
      </c>
      <c r="Y1598" t="s">
        <v>158</v>
      </c>
      <c r="Z1598" t="s">
        <v>70</v>
      </c>
    </row>
    <row r="1599" spans="1:26" ht="15" hidden="1" customHeight="1">
      <c r="A1599" s="17">
        <f>ROW() - ROW(Table1[[#Headers],[s]])</f>
        <v>1598</v>
      </c>
      <c r="B1599" t="s">
        <v>6447</v>
      </c>
      <c r="C1599" s="272">
        <v>46235</v>
      </c>
      <c r="D1599" s="19" t="s">
        <v>6448</v>
      </c>
      <c r="E1599" t="s">
        <v>5105</v>
      </c>
      <c r="F1599" s="18" t="e" vm="10">
        <v>#VALUE!</v>
      </c>
      <c r="G1599" s="5" t="s">
        <v>1057</v>
      </c>
      <c r="H1599" s="18" t="s">
        <v>152</v>
      </c>
      <c r="I1599" t="s">
        <v>43</v>
      </c>
      <c r="J1599" s="18" t="s">
        <v>153</v>
      </c>
      <c r="K1599" s="44" t="s">
        <v>154</v>
      </c>
      <c r="L1599" s="20">
        <v>46244.465277777781</v>
      </c>
      <c r="M1599" s="18" t="s">
        <v>78</v>
      </c>
      <c r="N1599" s="55" t="s">
        <v>78</v>
      </c>
      <c r="O1599" s="20">
        <v>46244.75</v>
      </c>
      <c r="P1599" s="20">
        <v>46244.753472222219</v>
      </c>
      <c r="Q1599" s="20">
        <v>46244.763888888891</v>
      </c>
      <c r="S1599" s="21" t="s">
        <v>6449</v>
      </c>
      <c r="T1599" s="55" t="s">
        <v>179</v>
      </c>
      <c r="U1599" s="21"/>
      <c r="V1599" s="21" t="s">
        <v>6450</v>
      </c>
      <c r="Y1599" t="s">
        <v>158</v>
      </c>
      <c r="Z1599" t="s">
        <v>70</v>
      </c>
    </row>
    <row r="1600" spans="1:26" ht="15" hidden="1" customHeight="1">
      <c r="A1600" s="17">
        <f>ROW() - ROW(Table1[[#Headers],[s]])</f>
        <v>1599</v>
      </c>
      <c r="B1600" t="s">
        <v>6451</v>
      </c>
      <c r="C1600" s="272">
        <v>46235</v>
      </c>
      <c r="D1600" s="19" t="s">
        <v>6452</v>
      </c>
      <c r="E1600" t="s">
        <v>5169</v>
      </c>
      <c r="F1600" s="18" t="e" vm="25">
        <v>#VALUE!</v>
      </c>
      <c r="G1600" s="5" t="s">
        <v>1057</v>
      </c>
      <c r="H1600" s="18" t="s">
        <v>747</v>
      </c>
      <c r="I1600" t="s">
        <v>43</v>
      </c>
      <c r="J1600" s="18" t="s">
        <v>253</v>
      </c>
      <c r="K1600" s="44" t="s">
        <v>154</v>
      </c>
      <c r="L1600" s="20">
        <v>46244.474305555559</v>
      </c>
      <c r="M1600" s="55" t="s">
        <v>53</v>
      </c>
      <c r="N1600" s="55" t="s">
        <v>53</v>
      </c>
      <c r="O1600" s="20">
        <v>46244.5625</v>
      </c>
      <c r="P1600" s="20">
        <v>46244.577777777777</v>
      </c>
      <c r="Q1600" s="20">
        <v>46244.595833333333</v>
      </c>
      <c r="S1600" s="21" t="s">
        <v>6453</v>
      </c>
      <c r="T1600" s="55" t="s">
        <v>179</v>
      </c>
      <c r="U1600" s="21"/>
      <c r="V1600" s="21" t="s">
        <v>6454</v>
      </c>
      <c r="W1600" t="s">
        <v>6455</v>
      </c>
      <c r="Y1600" t="s">
        <v>158</v>
      </c>
      <c r="Z1600" t="s">
        <v>70</v>
      </c>
    </row>
    <row r="1601" spans="1:26" ht="15" hidden="1" customHeight="1">
      <c r="A1601" s="17">
        <f>ROW() - ROW(Table1[[#Headers],[s]])</f>
        <v>1600</v>
      </c>
      <c r="B1601" t="s">
        <v>6456</v>
      </c>
      <c r="C1601" s="272">
        <v>46235</v>
      </c>
      <c r="D1601" s="19" t="s">
        <v>6457</v>
      </c>
      <c r="E1601" t="s">
        <v>5210</v>
      </c>
      <c r="F1601" s="18" t="e" vm="17">
        <v>#VALUE!</v>
      </c>
      <c r="G1601" s="5" t="s">
        <v>1057</v>
      </c>
      <c r="H1601" s="18" t="s">
        <v>152</v>
      </c>
      <c r="I1601" t="s">
        <v>43</v>
      </c>
      <c r="J1601" s="18" t="s">
        <v>268</v>
      </c>
      <c r="K1601" s="44" t="s">
        <v>154</v>
      </c>
      <c r="L1601" s="20">
        <v>46244.495833333334</v>
      </c>
      <c r="M1601" s="55" t="s">
        <v>39</v>
      </c>
      <c r="N1601" s="55" t="s">
        <v>39</v>
      </c>
      <c r="O1601" s="20">
        <v>46244.5</v>
      </c>
      <c r="P1601" s="20">
        <v>46244.5</v>
      </c>
      <c r="Q1601" s="20">
        <v>46244.652777777781</v>
      </c>
      <c r="S1601" s="21" t="s">
        <v>6458</v>
      </c>
      <c r="T1601" s="18" t="s">
        <v>2703</v>
      </c>
      <c r="U1601" s="21"/>
      <c r="V1601" s="21" t="s">
        <v>6459</v>
      </c>
      <c r="Y1601" t="s">
        <v>158</v>
      </c>
      <c r="Z1601" t="s">
        <v>70</v>
      </c>
    </row>
    <row r="1602" spans="1:26" ht="15" hidden="1" customHeight="1">
      <c r="A1602" s="17">
        <f>ROW() - ROW(Table1[[#Headers],[s]])</f>
        <v>1601</v>
      </c>
      <c r="B1602" t="s">
        <v>6263</v>
      </c>
      <c r="C1602" s="272">
        <v>46235</v>
      </c>
      <c r="D1602" s="19" t="s">
        <v>6460</v>
      </c>
      <c r="E1602" t="s">
        <v>6073</v>
      </c>
      <c r="F1602" s="18" t="e" vm="42">
        <v>#VALUE!</v>
      </c>
      <c r="G1602" s="5" t="s">
        <v>1057</v>
      </c>
      <c r="H1602" s="18" t="s">
        <v>152</v>
      </c>
      <c r="I1602" t="s">
        <v>43</v>
      </c>
      <c r="J1602" s="18" t="s">
        <v>153</v>
      </c>
      <c r="K1602" s="44" t="s">
        <v>154</v>
      </c>
      <c r="L1602" s="20">
        <v>46244.645833333336</v>
      </c>
      <c r="M1602" s="18" t="s">
        <v>602</v>
      </c>
      <c r="N1602" s="18" t="s">
        <v>602</v>
      </c>
      <c r="O1602" s="20">
        <v>46245.354166666664</v>
      </c>
      <c r="P1602" s="20">
        <v>46245.395833333336</v>
      </c>
      <c r="Q1602" s="20">
        <v>46245.416666666664</v>
      </c>
      <c r="S1602" s="21" t="s">
        <v>6461</v>
      </c>
      <c r="T1602" s="55" t="s">
        <v>179</v>
      </c>
      <c r="U1602" s="21"/>
      <c r="V1602" s="21" t="s">
        <v>6462</v>
      </c>
      <c r="Y1602" t="s">
        <v>158</v>
      </c>
      <c r="Z1602" t="s">
        <v>70</v>
      </c>
    </row>
    <row r="1603" spans="1:26" ht="15" hidden="1" customHeight="1">
      <c r="A1603" s="17">
        <f>ROW() - ROW(Table1[[#Headers],[s]])</f>
        <v>1602</v>
      </c>
      <c r="B1603" t="s">
        <v>6463</v>
      </c>
      <c r="C1603" s="272">
        <v>46235</v>
      </c>
      <c r="D1603" s="19" t="s">
        <v>6464</v>
      </c>
      <c r="E1603" t="s">
        <v>6465</v>
      </c>
      <c r="F1603" s="18" t="e" vm="5">
        <v>#VALUE!</v>
      </c>
      <c r="G1603" s="5" t="s">
        <v>1057</v>
      </c>
      <c r="H1603" s="18" t="s">
        <v>152</v>
      </c>
      <c r="I1603" t="s">
        <v>43</v>
      </c>
      <c r="J1603" s="18" t="s">
        <v>153</v>
      </c>
      <c r="K1603" s="44" t="s">
        <v>154</v>
      </c>
      <c r="L1603" s="20">
        <v>46244.65625</v>
      </c>
      <c r="M1603" s="18" t="s">
        <v>55</v>
      </c>
      <c r="N1603" s="18" t="s">
        <v>55</v>
      </c>
      <c r="O1603" s="20">
        <v>46244.8125</v>
      </c>
      <c r="P1603" s="20">
        <v>46244.826388888891</v>
      </c>
      <c r="Q1603" s="20">
        <v>46245.024305555555</v>
      </c>
      <c r="S1603" s="21" t="s">
        <v>6466</v>
      </c>
      <c r="T1603" s="18" t="s">
        <v>478</v>
      </c>
      <c r="U1603" s="21"/>
      <c r="V1603" s="21" t="s">
        <v>6467</v>
      </c>
      <c r="W1603" t="s">
        <v>6468</v>
      </c>
      <c r="Y1603" t="s">
        <v>158</v>
      </c>
      <c r="Z1603" t="s">
        <v>158</v>
      </c>
    </row>
    <row r="1604" spans="1:26" ht="15" hidden="1" customHeight="1">
      <c r="A1604" s="17">
        <f>ROW() - ROW(Table1[[#Headers],[s]])</f>
        <v>1603</v>
      </c>
      <c r="B1604" s="230" t="s">
        <v>6469</v>
      </c>
      <c r="C1604" s="272">
        <v>46235</v>
      </c>
      <c r="D1604" s="19" t="s">
        <v>6470</v>
      </c>
      <c r="E1604" t="s">
        <v>5294</v>
      </c>
      <c r="F1604" s="18" t="e" vm="40">
        <v>#VALUE!</v>
      </c>
      <c r="G1604" s="5" t="s">
        <v>1057</v>
      </c>
      <c r="H1604" s="18" t="s">
        <v>152</v>
      </c>
      <c r="I1604" t="s">
        <v>43</v>
      </c>
      <c r="J1604" s="18" t="s">
        <v>153</v>
      </c>
      <c r="K1604" s="44" t="s">
        <v>154</v>
      </c>
      <c r="L1604" s="20">
        <v>46244.738888888889</v>
      </c>
      <c r="M1604" s="55" t="s">
        <v>39</v>
      </c>
      <c r="N1604" s="55" t="s">
        <v>39</v>
      </c>
      <c r="O1604" s="20">
        <v>46244.774305555555</v>
      </c>
      <c r="P1604" s="20">
        <v>46244.770833333336</v>
      </c>
      <c r="Q1604" s="20">
        <v>46244.78125</v>
      </c>
      <c r="S1604" s="21" t="s">
        <v>6471</v>
      </c>
      <c r="T1604" s="55" t="s">
        <v>179</v>
      </c>
      <c r="U1604" s="21"/>
      <c r="V1604" s="21" t="s">
        <v>6472</v>
      </c>
      <c r="Y1604" t="s">
        <v>158</v>
      </c>
      <c r="Z1604" t="s">
        <v>70</v>
      </c>
    </row>
    <row r="1605" spans="1:26" ht="15" hidden="1" customHeight="1">
      <c r="A1605" s="17">
        <f>ROW() - ROW(Table1[[#Headers],[s]])</f>
        <v>1604</v>
      </c>
      <c r="B1605" t="s">
        <v>6473</v>
      </c>
      <c r="C1605" s="181" t="s">
        <v>60</v>
      </c>
      <c r="D1605" s="19" t="s">
        <v>6474</v>
      </c>
      <c r="E1605" s="403" t="s">
        <v>5695</v>
      </c>
      <c r="F1605" s="18" t="e" vm="17">
        <v>#VALUE!</v>
      </c>
      <c r="G1605" s="5" t="s">
        <v>1057</v>
      </c>
      <c r="H1605" s="18" t="s">
        <v>747</v>
      </c>
      <c r="I1605" s="181" t="s">
        <v>60</v>
      </c>
      <c r="J1605" s="18" t="s">
        <v>253</v>
      </c>
      <c r="K1605" s="42" t="s">
        <v>154</v>
      </c>
      <c r="L1605" s="20">
        <v>46244.495833333334</v>
      </c>
      <c r="M1605" s="55" t="s">
        <v>39</v>
      </c>
      <c r="N1605" s="55" t="s">
        <v>39</v>
      </c>
      <c r="O1605" s="3"/>
      <c r="P1605" s="22"/>
      <c r="S1605" s="169" t="s">
        <v>6475</v>
      </c>
      <c r="U1605" s="21"/>
      <c r="Y1605" t="s">
        <v>179</v>
      </c>
      <c r="Z1605" t="s">
        <v>179</v>
      </c>
    </row>
    <row r="1606" spans="1:26" ht="15" customHeight="1">
      <c r="A1606" s="17">
        <f>ROW() - ROW(Table1[[#Headers],[s]])</f>
        <v>1605</v>
      </c>
      <c r="B1606" t="s">
        <v>6476</v>
      </c>
      <c r="C1606" s="272">
        <v>46235</v>
      </c>
      <c r="D1606" s="19" t="s">
        <v>6477</v>
      </c>
      <c r="E1606" t="s">
        <v>6478</v>
      </c>
      <c r="F1606" s="18" t="e" vm="35">
        <v>#VALUE!</v>
      </c>
      <c r="G1606" s="5" t="s">
        <v>186</v>
      </c>
      <c r="H1606" s="18" t="s">
        <v>152</v>
      </c>
      <c r="I1606" t="s">
        <v>43</v>
      </c>
      <c r="J1606" s="18" t="s">
        <v>153</v>
      </c>
      <c r="K1606" s="44" t="s">
        <v>154</v>
      </c>
      <c r="L1606" s="20">
        <v>46245.445138888892</v>
      </c>
      <c r="M1606" s="18" t="s">
        <v>454</v>
      </c>
      <c r="N1606" s="18" t="s">
        <v>454</v>
      </c>
      <c r="O1606" s="3">
        <v>46245.5</v>
      </c>
      <c r="P1606" s="22">
        <v>46245.506944444445</v>
      </c>
      <c r="Q1606" s="22">
        <v>46245.679861111108</v>
      </c>
      <c r="S1606" s="21" t="s">
        <v>788</v>
      </c>
      <c r="T1606" s="55" t="s">
        <v>164</v>
      </c>
      <c r="U1606" s="21"/>
      <c r="V1606" s="240" t="s">
        <v>6479</v>
      </c>
      <c r="Y1606" t="s">
        <v>158</v>
      </c>
      <c r="Z1606" t="s">
        <v>158</v>
      </c>
    </row>
    <row r="1607" spans="1:26" ht="15" customHeight="1">
      <c r="A1607" s="60">
        <f>ROW() - ROW(Table1[[#Headers],[s]])</f>
        <v>1606</v>
      </c>
      <c r="B1607" t="s">
        <v>6480</v>
      </c>
      <c r="C1607" s="163">
        <v>46235</v>
      </c>
      <c r="D1607" s="52" t="s">
        <v>6481</v>
      </c>
      <c r="E1607" t="s">
        <v>6482</v>
      </c>
      <c r="F1607" s="18" t="e" vm="25">
        <v>#VALUE!</v>
      </c>
      <c r="G1607" s="5" t="s">
        <v>186</v>
      </c>
      <c r="H1607" s="18" t="s">
        <v>747</v>
      </c>
      <c r="I1607" t="s">
        <v>43</v>
      </c>
      <c r="J1607" s="18" t="s">
        <v>253</v>
      </c>
      <c r="K1607" s="44" t="s">
        <v>154</v>
      </c>
      <c r="L1607" s="44">
        <v>46245.53125</v>
      </c>
      <c r="M1607" s="55" t="s">
        <v>53</v>
      </c>
      <c r="N1607" s="55" t="s">
        <v>53</v>
      </c>
      <c r="O1607" s="56">
        <v>46245.625</v>
      </c>
      <c r="P1607" s="22">
        <v>46245.631944444445</v>
      </c>
      <c r="Q1607" s="58">
        <v>46245.724999999999</v>
      </c>
      <c r="S1607" s="21" t="s">
        <v>1048</v>
      </c>
      <c r="T1607" s="55" t="s">
        <v>164</v>
      </c>
      <c r="U1607" s="21"/>
      <c r="V1607" s="53" t="s">
        <v>6483</v>
      </c>
      <c r="Y1607" t="s">
        <v>158</v>
      </c>
      <c r="Z1607" t="s">
        <v>70</v>
      </c>
    </row>
    <row r="1608" spans="1:26" ht="15" customHeight="1">
      <c r="A1608" s="60">
        <f>ROW() - ROW(Table1[[#Headers],[s]])</f>
        <v>1607</v>
      </c>
      <c r="B1608" t="s">
        <v>6484</v>
      </c>
      <c r="C1608" s="163">
        <v>46235</v>
      </c>
      <c r="D1608" s="52" t="s">
        <v>6485</v>
      </c>
      <c r="E1608" t="s">
        <v>6486</v>
      </c>
      <c r="F1608" s="18" t="e" vm="25">
        <v>#VALUE!</v>
      </c>
      <c r="G1608" s="43" t="s">
        <v>186</v>
      </c>
      <c r="H1608" s="18" t="s">
        <v>245</v>
      </c>
      <c r="I1608" s="18"/>
      <c r="J1608" s="18" t="s">
        <v>253</v>
      </c>
      <c r="K1608" s="44" t="s">
        <v>154</v>
      </c>
      <c r="L1608" s="44">
        <v>46245.611111111109</v>
      </c>
      <c r="M1608" s="55" t="s">
        <v>6487</v>
      </c>
      <c r="N1608" s="55" t="s">
        <v>6487</v>
      </c>
      <c r="O1608" s="56">
        <v>37114.666666666664</v>
      </c>
      <c r="P1608" s="22">
        <v>46245.729166666664</v>
      </c>
      <c r="Q1608" s="58">
        <v>46245.984722222223</v>
      </c>
      <c r="S1608" s="21" t="s">
        <v>6488</v>
      </c>
      <c r="T1608" s="55"/>
      <c r="U1608" s="21"/>
      <c r="V1608" s="53" t="s">
        <v>6489</v>
      </c>
    </row>
    <row r="1609" spans="1:26" ht="15" customHeight="1">
      <c r="A1609" s="60">
        <f>ROW() - ROW(Table1[[#Headers],[s]])</f>
        <v>1608</v>
      </c>
      <c r="B1609" t="s">
        <v>6490</v>
      </c>
      <c r="C1609" s="163">
        <v>46235</v>
      </c>
      <c r="D1609" s="305" t="s">
        <v>6491</v>
      </c>
      <c r="E1609" t="s">
        <v>6492</v>
      </c>
      <c r="F1609" s="18" t="e" vm="21">
        <v>#VALUE!</v>
      </c>
      <c r="G1609" s="43" t="s">
        <v>186</v>
      </c>
      <c r="H1609" s="18" t="s">
        <v>245</v>
      </c>
      <c r="I1609" t="s">
        <v>43</v>
      </c>
      <c r="J1609" s="18" t="s">
        <v>253</v>
      </c>
      <c r="K1609" s="44" t="s">
        <v>154</v>
      </c>
      <c r="L1609" s="44">
        <v>46245.618750000001</v>
      </c>
      <c r="M1609" s="55" t="s">
        <v>39</v>
      </c>
      <c r="N1609" s="55" t="s">
        <v>39</v>
      </c>
      <c r="O1609" s="56">
        <v>46245.645833333336</v>
      </c>
      <c r="P1609" s="22">
        <v>46245.652777777781</v>
      </c>
      <c r="Q1609" s="58">
        <v>46245.696527777778</v>
      </c>
      <c r="S1609" s="230" t="s">
        <v>6493</v>
      </c>
      <c r="T1609" s="55" t="s">
        <v>164</v>
      </c>
      <c r="U1609" s="21"/>
      <c r="V1609" s="230" t="s">
        <v>6494</v>
      </c>
      <c r="Y1609" t="s">
        <v>158</v>
      </c>
      <c r="Z1609" t="s">
        <v>70</v>
      </c>
    </row>
    <row r="1610" spans="1:26" ht="15" customHeight="1">
      <c r="A1610" s="17">
        <f>ROW() - ROW(Table1[[#Headers],[s]])</f>
        <v>1609</v>
      </c>
      <c r="B1610" s="305" t="s">
        <v>6495</v>
      </c>
      <c r="C1610" s="272">
        <v>46235</v>
      </c>
      <c r="D1610" s="19" t="s">
        <v>6496</v>
      </c>
      <c r="E1610" t="s">
        <v>6086</v>
      </c>
      <c r="F1610" s="18" t="e" vm="25">
        <v>#VALUE!</v>
      </c>
      <c r="G1610" s="5" t="s">
        <v>186</v>
      </c>
      <c r="H1610" s="18" t="s">
        <v>152</v>
      </c>
      <c r="I1610" t="s">
        <v>43</v>
      </c>
      <c r="J1610" s="18" t="s">
        <v>153</v>
      </c>
      <c r="K1610" s="44" t="s">
        <v>154</v>
      </c>
      <c r="L1610" s="20">
        <v>46245.559027777781</v>
      </c>
      <c r="M1610" s="18" t="s">
        <v>72</v>
      </c>
      <c r="N1610" s="55" t="s">
        <v>1499</v>
      </c>
      <c r="O1610" s="3">
        <v>46247.666666666664</v>
      </c>
      <c r="P1610" s="22">
        <v>46247.673611111109</v>
      </c>
      <c r="Q1610" s="22">
        <v>46247.734722222223</v>
      </c>
      <c r="S1610" s="21" t="s">
        <v>6497</v>
      </c>
      <c r="T1610" s="55" t="s">
        <v>164</v>
      </c>
      <c r="U1610" s="21"/>
      <c r="V1610" s="21" t="s">
        <v>6498</v>
      </c>
      <c r="Y1610" t="s">
        <v>158</v>
      </c>
      <c r="Z1610" t="s">
        <v>70</v>
      </c>
    </row>
    <row r="1611" spans="1:26" ht="15" hidden="1" customHeight="1">
      <c r="A1611" s="17">
        <f>ROW() - ROW(Table1[[#Headers],[s]])</f>
        <v>1610</v>
      </c>
      <c r="B1611" t="s">
        <v>6499</v>
      </c>
      <c r="C1611" s="23" t="s">
        <v>60</v>
      </c>
      <c r="D1611" s="19" t="s">
        <v>6500</v>
      </c>
      <c r="E1611" t="s">
        <v>6501</v>
      </c>
      <c r="F1611" s="18" t="e" vm="25">
        <v>#VALUE!</v>
      </c>
      <c r="G1611" s="5" t="s">
        <v>36</v>
      </c>
      <c r="H1611" s="18" t="s">
        <v>152</v>
      </c>
      <c r="I1611" s="181" t="s">
        <v>60</v>
      </c>
      <c r="J1611" s="18" t="s">
        <v>153</v>
      </c>
      <c r="K1611" s="44" t="s">
        <v>6502</v>
      </c>
      <c r="L1611" s="20">
        <v>46245.62222222222</v>
      </c>
      <c r="M1611" s="18" t="s">
        <v>72</v>
      </c>
      <c r="N1611" s="18" t="s">
        <v>72</v>
      </c>
      <c r="O1611" s="3"/>
      <c r="P1611" s="22"/>
      <c r="Q1611" s="22">
        <v>46266.625</v>
      </c>
      <c r="S1611" s="363" t="s">
        <v>6502</v>
      </c>
      <c r="T1611" s="21"/>
      <c r="U1611" s="21"/>
      <c r="V1611" s="363" t="s">
        <v>6502</v>
      </c>
      <c r="Y1611" t="s">
        <v>179</v>
      </c>
      <c r="Z1611" t="s">
        <v>179</v>
      </c>
    </row>
    <row r="1612" spans="1:26" ht="15" customHeight="1">
      <c r="A1612" s="17">
        <f>ROW() - ROW(Table1[[#Headers],[s]])</f>
        <v>1611</v>
      </c>
      <c r="B1612" t="s">
        <v>6503</v>
      </c>
      <c r="C1612" s="272">
        <v>46235</v>
      </c>
      <c r="D1612" s="19" t="s">
        <v>6504</v>
      </c>
      <c r="E1612" t="s">
        <v>6111</v>
      </c>
      <c r="F1612" s="18" t="e" vm="25">
        <v>#VALUE!</v>
      </c>
      <c r="G1612" s="5" t="s">
        <v>83</v>
      </c>
      <c r="H1612" s="18" t="s">
        <v>152</v>
      </c>
      <c r="I1612" t="s">
        <v>43</v>
      </c>
      <c r="J1612" s="18" t="s">
        <v>153</v>
      </c>
      <c r="K1612" s="44" t="s">
        <v>154</v>
      </c>
      <c r="L1612" s="20">
        <v>46245.624305555553</v>
      </c>
      <c r="M1612" s="18" t="s">
        <v>352</v>
      </c>
      <c r="N1612" s="18" t="s">
        <v>72</v>
      </c>
      <c r="O1612" s="3">
        <v>46246.708333333336</v>
      </c>
      <c r="P1612" s="22">
        <v>46246.715277777781</v>
      </c>
      <c r="Q1612" s="22">
        <v>46246.816666666666</v>
      </c>
      <c r="S1612" s="21" t="s">
        <v>1780</v>
      </c>
      <c r="T1612" s="55" t="s">
        <v>164</v>
      </c>
      <c r="U1612" s="21"/>
      <c r="V1612" s="21" t="s">
        <v>6505</v>
      </c>
      <c r="Y1612" t="s">
        <v>158</v>
      </c>
      <c r="Z1612" t="s">
        <v>158</v>
      </c>
    </row>
    <row r="1613" spans="1:26" ht="15" hidden="1" customHeight="1">
      <c r="A1613" s="17">
        <f>ROW() - ROW(Table1[[#Headers],[s]])</f>
        <v>1612</v>
      </c>
      <c r="B1613" t="s">
        <v>6506</v>
      </c>
      <c r="C1613" s="272">
        <v>46235</v>
      </c>
      <c r="D1613" s="19" t="s">
        <v>6507</v>
      </c>
      <c r="E1613" t="s">
        <v>6253</v>
      </c>
      <c r="F1613" s="18" t="e" vm="37">
        <v>#VALUE!</v>
      </c>
      <c r="G1613" s="5" t="s">
        <v>151</v>
      </c>
      <c r="H1613" s="18" t="s">
        <v>152</v>
      </c>
      <c r="J1613" s="18" t="s">
        <v>153</v>
      </c>
      <c r="K1613" s="20" t="s">
        <v>154</v>
      </c>
      <c r="L1613" s="20">
        <v>46245.65</v>
      </c>
      <c r="M1613" s="18" t="s">
        <v>63</v>
      </c>
      <c r="N1613" s="18" t="s">
        <v>63</v>
      </c>
      <c r="O1613" s="3">
        <v>46246.375</v>
      </c>
      <c r="P1613" s="22">
        <v>46246.396527777775</v>
      </c>
      <c r="Q1613" s="22">
        <v>46246.435416666667</v>
      </c>
      <c r="S1613" s="21" t="s">
        <v>6508</v>
      </c>
      <c r="T1613" s="18" t="s">
        <v>179</v>
      </c>
      <c r="U1613" s="21"/>
      <c r="V1613" s="21" t="s">
        <v>6508</v>
      </c>
      <c r="Y1613" t="s">
        <v>158</v>
      </c>
      <c r="Z1613" t="s">
        <v>70</v>
      </c>
    </row>
    <row r="1614" spans="1:26" ht="15" customHeight="1">
      <c r="A1614" s="17">
        <f>ROW() - ROW(Table1[[#Headers],[s]])</f>
        <v>1613</v>
      </c>
      <c r="B1614" t="s">
        <v>4241</v>
      </c>
      <c r="C1614" s="272">
        <v>46235</v>
      </c>
      <c r="D1614" s="19" t="s">
        <v>6509</v>
      </c>
      <c r="E1614" t="s">
        <v>5807</v>
      </c>
      <c r="F1614" s="18" t="e" vm="12">
        <v>#VALUE!</v>
      </c>
      <c r="G1614" s="5" t="s">
        <v>83</v>
      </c>
      <c r="H1614" s="18" t="s">
        <v>152</v>
      </c>
      <c r="I1614" t="s">
        <v>43</v>
      </c>
      <c r="J1614" s="18" t="s">
        <v>153</v>
      </c>
      <c r="K1614" s="44" t="s">
        <v>154</v>
      </c>
      <c r="L1614" s="20">
        <v>46245.681944444441</v>
      </c>
      <c r="M1614" s="18" t="s">
        <v>882</v>
      </c>
      <c r="N1614" s="18" t="s">
        <v>882</v>
      </c>
      <c r="O1614" s="3">
        <v>46246.375</v>
      </c>
      <c r="P1614" s="22">
        <v>46246.381944444445</v>
      </c>
      <c r="Q1614" s="22">
        <v>46246.440972222219</v>
      </c>
      <c r="S1614" s="21" t="s">
        <v>6510</v>
      </c>
      <c r="T1614" s="55" t="s">
        <v>164</v>
      </c>
      <c r="U1614" s="21"/>
      <c r="V1614" s="21" t="s">
        <v>6511</v>
      </c>
      <c r="Y1614" t="s">
        <v>158</v>
      </c>
      <c r="Z1614" t="s">
        <v>70</v>
      </c>
    </row>
    <row r="1615" spans="1:26" ht="15" hidden="1" customHeight="1">
      <c r="A1615" s="17">
        <f>ROW() - ROW(Table1[[#Headers],[s]])</f>
        <v>1614</v>
      </c>
      <c r="B1615" t="s">
        <v>6512</v>
      </c>
      <c r="C1615" s="272">
        <v>46235</v>
      </c>
      <c r="D1615" s="19" t="s">
        <v>6513</v>
      </c>
      <c r="E1615" t="s">
        <v>5368</v>
      </c>
      <c r="F1615" s="18" t="e" vm="26">
        <v>#VALUE!</v>
      </c>
      <c r="G1615" s="5" t="s">
        <v>151</v>
      </c>
      <c r="H1615" s="18" t="s">
        <v>152</v>
      </c>
      <c r="J1615" s="18" t="s">
        <v>153</v>
      </c>
      <c r="K1615" s="20" t="s">
        <v>154</v>
      </c>
      <c r="L1615" s="20">
        <v>46245.68472222222</v>
      </c>
      <c r="M1615" s="18" t="s">
        <v>63</v>
      </c>
      <c r="N1615" s="18" t="s">
        <v>63</v>
      </c>
      <c r="O1615" s="3">
        <v>46246.458333333336</v>
      </c>
      <c r="P1615" s="22">
        <v>46246.458333333336</v>
      </c>
      <c r="Q1615" s="22">
        <v>46246.542361111111</v>
      </c>
      <c r="S1615" s="21" t="s">
        <v>6514</v>
      </c>
      <c r="T1615" s="18" t="s">
        <v>478</v>
      </c>
      <c r="U1615" s="21"/>
      <c r="V1615" s="21" t="s">
        <v>6514</v>
      </c>
      <c r="Y1615" t="s">
        <v>158</v>
      </c>
      <c r="Z1615" t="s">
        <v>158</v>
      </c>
    </row>
    <row r="1616" spans="1:26" ht="15" hidden="1" customHeight="1">
      <c r="A1616" s="17">
        <f>ROW() - ROW(Table1[[#Headers],[s]])</f>
        <v>1615</v>
      </c>
      <c r="B1616" t="s">
        <v>6515</v>
      </c>
      <c r="C1616" s="272">
        <v>46235</v>
      </c>
      <c r="D1616" s="19" t="s">
        <v>6516</v>
      </c>
      <c r="E1616" t="s">
        <v>6253</v>
      </c>
      <c r="F1616" s="18" t="e" vm="37">
        <v>#VALUE!</v>
      </c>
      <c r="G1616" s="5" t="s">
        <v>151</v>
      </c>
      <c r="H1616" s="18" t="s">
        <v>152</v>
      </c>
      <c r="J1616" s="18" t="s">
        <v>153</v>
      </c>
      <c r="K1616" s="20" t="s">
        <v>154</v>
      </c>
      <c r="L1616" s="20">
        <v>46245.688888888886</v>
      </c>
      <c r="M1616" s="18" t="s">
        <v>63</v>
      </c>
      <c r="N1616" s="18" t="s">
        <v>63</v>
      </c>
      <c r="O1616" s="3">
        <v>46246.375</v>
      </c>
      <c r="P1616" s="22">
        <v>46246.396527777775</v>
      </c>
      <c r="Q1616" s="22">
        <v>46246.431944444441</v>
      </c>
      <c r="S1616" s="21" t="s">
        <v>6508</v>
      </c>
      <c r="T1616" s="18" t="s">
        <v>179</v>
      </c>
      <c r="U1616" s="21"/>
      <c r="V1616" s="21" t="s">
        <v>6508</v>
      </c>
      <c r="Y1616" t="s">
        <v>158</v>
      </c>
      <c r="Z1616" t="s">
        <v>70</v>
      </c>
    </row>
    <row r="1617" spans="1:26" ht="15" customHeight="1">
      <c r="A1617" s="17">
        <f>ROW() - ROW(Table1[[#Headers],[s]])</f>
        <v>1616</v>
      </c>
      <c r="B1617" t="s">
        <v>6517</v>
      </c>
      <c r="C1617" s="272">
        <v>46235</v>
      </c>
      <c r="D1617" s="52" t="s">
        <v>6518</v>
      </c>
      <c r="E1617" t="s">
        <v>6313</v>
      </c>
      <c r="F1617" s="18" t="e" vm="5">
        <v>#VALUE!</v>
      </c>
      <c r="G1617" s="43" t="s">
        <v>83</v>
      </c>
      <c r="H1617" s="18" t="s">
        <v>152</v>
      </c>
      <c r="I1617" t="s">
        <v>43</v>
      </c>
      <c r="J1617" s="18" t="s">
        <v>153</v>
      </c>
      <c r="K1617" s="44" t="s">
        <v>154</v>
      </c>
      <c r="L1617" s="44">
        <v>46245.691666666666</v>
      </c>
      <c r="M1617" s="55" t="s">
        <v>46</v>
      </c>
      <c r="N1617" s="55" t="s">
        <v>46</v>
      </c>
      <c r="O1617" s="56">
        <v>46246</v>
      </c>
      <c r="P1617" s="22">
        <v>46246.006944444445</v>
      </c>
      <c r="Q1617" s="58">
        <v>46246.041666666664</v>
      </c>
      <c r="S1617" s="21" t="s">
        <v>6519</v>
      </c>
      <c r="T1617" s="55" t="s">
        <v>164</v>
      </c>
      <c r="U1617" s="21"/>
      <c r="V1617" s="53" t="s">
        <v>6520</v>
      </c>
      <c r="Y1617" t="s">
        <v>158</v>
      </c>
      <c r="Z1617" t="s">
        <v>70</v>
      </c>
    </row>
    <row r="1618" spans="1:26" ht="15" customHeight="1">
      <c r="A1618" s="17">
        <f>ROW() - ROW(Table1[[#Headers],[s]])</f>
        <v>1617</v>
      </c>
      <c r="B1618" t="s">
        <v>6521</v>
      </c>
      <c r="C1618" s="272">
        <v>46235</v>
      </c>
      <c r="D1618" s="19" t="s">
        <v>6522</v>
      </c>
      <c r="E1618" t="s">
        <v>6523</v>
      </c>
      <c r="F1618" s="18" t="e" vm="25">
        <v>#VALUE!</v>
      </c>
      <c r="G1618" s="5" t="s">
        <v>83</v>
      </c>
      <c r="H1618" s="18" t="s">
        <v>152</v>
      </c>
      <c r="I1618" t="s">
        <v>43</v>
      </c>
      <c r="J1618" s="18" t="s">
        <v>153</v>
      </c>
      <c r="K1618" s="44" t="s">
        <v>154</v>
      </c>
      <c r="L1618" s="20">
        <v>46245.693749999999</v>
      </c>
      <c r="M1618" s="55" t="s">
        <v>53</v>
      </c>
      <c r="N1618" s="55" t="s">
        <v>53</v>
      </c>
      <c r="O1618" s="3">
        <v>46246.791666666664</v>
      </c>
      <c r="P1618" s="22">
        <v>46246.798611111109</v>
      </c>
      <c r="Q1618" s="22">
        <v>46246.840277777781</v>
      </c>
      <c r="S1618" s="21" t="s">
        <v>477</v>
      </c>
      <c r="T1618" s="55" t="s">
        <v>164</v>
      </c>
      <c r="U1618" s="21"/>
      <c r="V1618" s="21" t="s">
        <v>6524</v>
      </c>
      <c r="Y1618" t="s">
        <v>158</v>
      </c>
      <c r="Z1618" t="s">
        <v>70</v>
      </c>
    </row>
    <row r="1619" spans="1:26" ht="15" hidden="1" customHeight="1">
      <c r="A1619" s="17">
        <f>ROW() - ROW(Table1[[#Headers],[s]])</f>
        <v>1618</v>
      </c>
      <c r="B1619" t="s">
        <v>6525</v>
      </c>
      <c r="C1619" s="272">
        <v>46235</v>
      </c>
      <c r="D1619" s="19" t="s">
        <v>6526</v>
      </c>
      <c r="E1619" t="s">
        <v>6527</v>
      </c>
      <c r="F1619" s="18" t="e" vm="25">
        <v>#VALUE!</v>
      </c>
      <c r="G1619" s="5" t="s">
        <v>151</v>
      </c>
      <c r="H1619" s="18" t="s">
        <v>245</v>
      </c>
      <c r="J1619" s="18" t="s">
        <v>253</v>
      </c>
      <c r="K1619" s="20" t="s">
        <v>154</v>
      </c>
      <c r="L1619" s="20">
        <v>46246.438888888886</v>
      </c>
      <c r="M1619" s="18" t="s">
        <v>585</v>
      </c>
      <c r="N1619" s="18" t="s">
        <v>72</v>
      </c>
      <c r="O1619" s="3">
        <v>46246.490277777775</v>
      </c>
      <c r="P1619" s="22">
        <v>46246.490277777775</v>
      </c>
      <c r="Q1619" s="22">
        <v>46246.542361111111</v>
      </c>
      <c r="S1619" s="21" t="s">
        <v>1037</v>
      </c>
      <c r="T1619" s="18" t="s">
        <v>2926</v>
      </c>
      <c r="U1619" s="21"/>
      <c r="V1619" s="21" t="s">
        <v>4155</v>
      </c>
      <c r="Y1619" t="s">
        <v>158</v>
      </c>
      <c r="Z1619" t="s">
        <v>158</v>
      </c>
    </row>
    <row r="1620" spans="1:26" ht="15" hidden="1" customHeight="1">
      <c r="A1620" s="17">
        <f>ROW() - ROW(Table1[[#Headers],[s]])</f>
        <v>1619</v>
      </c>
      <c r="B1620" t="s">
        <v>6528</v>
      </c>
      <c r="C1620" s="272">
        <v>46235</v>
      </c>
      <c r="D1620" s="19" t="s">
        <v>6529</v>
      </c>
      <c r="E1620" t="s">
        <v>6253</v>
      </c>
      <c r="F1620" s="18" t="e" vm="37">
        <v>#VALUE!</v>
      </c>
      <c r="G1620" s="5" t="s">
        <v>151</v>
      </c>
      <c r="H1620" s="18" t="s">
        <v>152</v>
      </c>
      <c r="J1620" s="18" t="s">
        <v>153</v>
      </c>
      <c r="K1620" s="20" t="s">
        <v>154</v>
      </c>
      <c r="L1620" s="20">
        <v>46246.463194444441</v>
      </c>
      <c r="M1620" s="18" t="s">
        <v>63</v>
      </c>
      <c r="N1620" s="18" t="s">
        <v>63</v>
      </c>
      <c r="O1620" s="3">
        <v>46246.638888888891</v>
      </c>
      <c r="P1620" s="22">
        <v>46246.638888888891</v>
      </c>
      <c r="Q1620" s="22">
        <v>46246.638888888891</v>
      </c>
      <c r="S1620" s="21" t="s">
        <v>6530</v>
      </c>
      <c r="T1620" s="18" t="s">
        <v>179</v>
      </c>
      <c r="U1620" s="21"/>
      <c r="V1620" s="21" t="s">
        <v>6530</v>
      </c>
      <c r="Y1620" t="s">
        <v>158</v>
      </c>
      <c r="Z1620" t="s">
        <v>70</v>
      </c>
    </row>
    <row r="1621" spans="1:26" ht="15" hidden="1" customHeight="1">
      <c r="A1621" s="17">
        <f>ROW() - ROW(Table1[[#Headers],[s]])</f>
        <v>1620</v>
      </c>
      <c r="B1621" t="s">
        <v>6531</v>
      </c>
      <c r="C1621" s="272">
        <v>46235</v>
      </c>
      <c r="D1621" s="19" t="s">
        <v>6532</v>
      </c>
      <c r="E1621" t="s">
        <v>6527</v>
      </c>
      <c r="F1621" s="42" t="e" vm="25">
        <v>#VALUE!</v>
      </c>
      <c r="G1621" s="5" t="s">
        <v>151</v>
      </c>
      <c r="H1621" s="18" t="s">
        <v>152</v>
      </c>
      <c r="J1621" s="18" t="s">
        <v>153</v>
      </c>
      <c r="K1621" s="20" t="s">
        <v>154</v>
      </c>
      <c r="L1621" s="20">
        <v>46246.543749999997</v>
      </c>
      <c r="M1621" s="18" t="s">
        <v>72</v>
      </c>
      <c r="N1621" s="18" t="s">
        <v>72</v>
      </c>
      <c r="O1621" s="3">
        <v>46246.631944444445</v>
      </c>
      <c r="P1621" s="22">
        <v>46246.657638888886</v>
      </c>
      <c r="Q1621" s="22">
        <v>46246.676388888889</v>
      </c>
      <c r="S1621" s="21" t="s">
        <v>6533</v>
      </c>
      <c r="T1621" s="18" t="s">
        <v>478</v>
      </c>
      <c r="U1621" s="21"/>
      <c r="V1621" s="21" t="s">
        <v>6533</v>
      </c>
      <c r="Y1621" t="s">
        <v>158</v>
      </c>
      <c r="Z1621" t="s">
        <v>70</v>
      </c>
    </row>
    <row r="1622" spans="1:26" ht="15" customHeight="1">
      <c r="A1622" s="17">
        <f>ROW() - ROW(Table1[[#Headers],[s]])</f>
        <v>1621</v>
      </c>
      <c r="B1622" t="s">
        <v>6534</v>
      </c>
      <c r="C1622" s="181" t="s">
        <v>60</v>
      </c>
      <c r="D1622" s="19" t="s">
        <v>6535</v>
      </c>
      <c r="E1622" t="s">
        <v>6086</v>
      </c>
      <c r="F1622" s="18" t="e" vm="25">
        <v>#VALUE!</v>
      </c>
      <c r="G1622" s="5" t="s">
        <v>186</v>
      </c>
      <c r="H1622" s="18" t="s">
        <v>152</v>
      </c>
      <c r="I1622" s="21" t="s">
        <v>6536</v>
      </c>
      <c r="J1622" s="18" t="s">
        <v>153</v>
      </c>
      <c r="K1622" s="44" t="s">
        <v>154</v>
      </c>
      <c r="L1622" s="20">
        <v>46246.55</v>
      </c>
      <c r="M1622" s="55" t="s">
        <v>53</v>
      </c>
      <c r="N1622" s="55" t="s">
        <v>53</v>
      </c>
      <c r="O1622" s="56"/>
      <c r="Q1622" s="58"/>
      <c r="S1622" s="21" t="s">
        <v>6536</v>
      </c>
      <c r="T1622" s="55" t="s">
        <v>164</v>
      </c>
      <c r="U1622" s="21"/>
      <c r="V1622" s="21" t="s">
        <v>6536</v>
      </c>
    </row>
    <row r="1623" spans="1:26" ht="15" hidden="1" customHeight="1">
      <c r="A1623" s="60">
        <f>ROW() - ROW(Table1[[#Headers],[s]])</f>
        <v>1622</v>
      </c>
      <c r="B1623" t="s">
        <v>6537</v>
      </c>
      <c r="C1623" s="272">
        <v>46235</v>
      </c>
      <c r="D1623" s="52" t="s">
        <v>6538</v>
      </c>
      <c r="E1623" t="s">
        <v>5210</v>
      </c>
      <c r="F1623" s="18" t="e" vm="17">
        <v>#VALUE!</v>
      </c>
      <c r="G1623" s="43" t="s">
        <v>151</v>
      </c>
      <c r="H1623" s="18" t="s">
        <v>152</v>
      </c>
      <c r="I1623" s="18"/>
      <c r="J1623" s="18" t="s">
        <v>153</v>
      </c>
      <c r="K1623" s="44" t="s">
        <v>154</v>
      </c>
      <c r="L1623" s="44">
        <v>46246.555555555555</v>
      </c>
      <c r="M1623" s="55" t="s">
        <v>39</v>
      </c>
      <c r="N1623" s="55" t="s">
        <v>39</v>
      </c>
      <c r="O1623" s="56">
        <v>46246.545138888891</v>
      </c>
      <c r="P1623" s="22">
        <v>46246.545138888891</v>
      </c>
      <c r="Q1623" s="58">
        <v>46246.670138888891</v>
      </c>
      <c r="S1623" s="21" t="s">
        <v>6539</v>
      </c>
      <c r="T1623" s="55" t="s">
        <v>478</v>
      </c>
      <c r="U1623" s="21"/>
      <c r="V1623" s="53" t="s">
        <v>6539</v>
      </c>
      <c r="Y1623" t="s">
        <v>158</v>
      </c>
      <c r="Z1623" t="s">
        <v>70</v>
      </c>
    </row>
    <row r="1624" spans="1:26" ht="15" hidden="1" customHeight="1">
      <c r="A1624" s="60">
        <f>ROW() - ROW(Table1[[#Headers],[s]])</f>
        <v>1623</v>
      </c>
      <c r="B1624" t="s">
        <v>6540</v>
      </c>
      <c r="C1624" s="181" t="s">
        <v>60</v>
      </c>
      <c r="D1624" s="52" t="s">
        <v>6541</v>
      </c>
      <c r="E1624" t="s">
        <v>6086</v>
      </c>
      <c r="F1624" s="18" t="e" vm="25">
        <v>#VALUE!</v>
      </c>
      <c r="G1624" s="43" t="s">
        <v>151</v>
      </c>
      <c r="H1624" s="18" t="s">
        <v>245</v>
      </c>
      <c r="I1624" s="18"/>
      <c r="J1624" s="18" t="s">
        <v>253</v>
      </c>
      <c r="K1624" s="44" t="s">
        <v>154</v>
      </c>
      <c r="L1624" s="44">
        <v>46246.539583333331</v>
      </c>
      <c r="M1624" s="18" t="s">
        <v>53</v>
      </c>
      <c r="N1624" s="18" t="s">
        <v>53</v>
      </c>
      <c r="O1624" s="3">
        <v>46246.557638888888</v>
      </c>
      <c r="P1624" s="3">
        <v>46246.557638888888</v>
      </c>
      <c r="Q1624" s="3">
        <v>46246.557638888888</v>
      </c>
      <c r="S1624" s="21" t="s">
        <v>6542</v>
      </c>
      <c r="T1624" s="55" t="s">
        <v>179</v>
      </c>
      <c r="U1624" s="21"/>
      <c r="V1624" s="21" t="s">
        <v>6542</v>
      </c>
      <c r="Y1624" t="s">
        <v>158</v>
      </c>
      <c r="Z1624" t="s">
        <v>70</v>
      </c>
    </row>
    <row r="1625" spans="1:26" ht="15" customHeight="1">
      <c r="A1625" s="60">
        <f>ROW() - ROW(Table1[[#Headers],[s]])</f>
        <v>1624</v>
      </c>
      <c r="B1625" t="s">
        <v>6543</v>
      </c>
      <c r="C1625" s="272">
        <v>46235</v>
      </c>
      <c r="D1625" s="52" t="s">
        <v>6544</v>
      </c>
      <c r="E1625" t="s">
        <v>5233</v>
      </c>
      <c r="F1625" s="18" t="e" vm="10">
        <v>#VALUE!</v>
      </c>
      <c r="G1625" s="5" t="s">
        <v>83</v>
      </c>
      <c r="H1625" s="18" t="s">
        <v>152</v>
      </c>
      <c r="I1625" t="s">
        <v>43</v>
      </c>
      <c r="J1625" s="18" t="s">
        <v>153</v>
      </c>
      <c r="K1625" s="44" t="s">
        <v>154</v>
      </c>
      <c r="L1625" s="44">
        <v>46246.613888888889</v>
      </c>
      <c r="M1625" s="55" t="s">
        <v>78</v>
      </c>
      <c r="N1625" s="55" t="s">
        <v>78</v>
      </c>
      <c r="O1625" s="56">
        <v>46246.666666666664</v>
      </c>
      <c r="P1625" s="22">
        <v>46246.673611111109</v>
      </c>
      <c r="Q1625" s="58">
        <v>46246.768750000003</v>
      </c>
      <c r="S1625" s="21" t="s">
        <v>6545</v>
      </c>
      <c r="T1625" s="55" t="s">
        <v>164</v>
      </c>
      <c r="U1625" s="21"/>
      <c r="V1625" s="53" t="s">
        <v>1032</v>
      </c>
      <c r="Y1625" t="s">
        <v>158</v>
      </c>
      <c r="Z1625" t="s">
        <v>70</v>
      </c>
    </row>
    <row r="1626" spans="1:26" ht="15" hidden="1" customHeight="1">
      <c r="A1626" s="60">
        <f>ROW() - ROW(Table1[[#Headers],[s]])</f>
        <v>1625</v>
      </c>
      <c r="B1626" t="s">
        <v>6546</v>
      </c>
      <c r="C1626" s="272">
        <v>46235</v>
      </c>
      <c r="D1626" s="52" t="s">
        <v>6547</v>
      </c>
      <c r="E1626" t="s">
        <v>6253</v>
      </c>
      <c r="F1626" s="18" t="e" vm="37">
        <v>#VALUE!</v>
      </c>
      <c r="G1626" s="43" t="s">
        <v>6548</v>
      </c>
      <c r="H1626" s="18" t="s">
        <v>152</v>
      </c>
      <c r="I1626" s="18"/>
      <c r="J1626" s="18" t="s">
        <v>153</v>
      </c>
      <c r="K1626" s="44" t="s">
        <v>154</v>
      </c>
      <c r="L1626" s="44">
        <v>46246.637499999997</v>
      </c>
      <c r="M1626" s="18" t="s">
        <v>63</v>
      </c>
      <c r="N1626" s="18" t="s">
        <v>63</v>
      </c>
      <c r="O1626" s="56">
        <v>46246.666666666664</v>
      </c>
      <c r="P1626" s="22">
        <v>46246.681250000001</v>
      </c>
      <c r="Q1626" s="58">
        <v>46246.681250000001</v>
      </c>
      <c r="S1626" s="21" t="s">
        <v>6549</v>
      </c>
      <c r="T1626" s="55" t="s">
        <v>179</v>
      </c>
      <c r="U1626" s="21"/>
      <c r="V1626" s="53" t="s">
        <v>6549</v>
      </c>
      <c r="Y1626" t="s">
        <v>158</v>
      </c>
      <c r="Z1626" t="s">
        <v>70</v>
      </c>
    </row>
    <row r="1627" spans="1:26" ht="15" customHeight="1">
      <c r="A1627" s="60">
        <f>ROW() - ROW(Table1[[#Headers],[s]])</f>
        <v>1626</v>
      </c>
      <c r="B1627" t="s">
        <v>6550</v>
      </c>
      <c r="C1627" s="163">
        <v>46235</v>
      </c>
      <c r="D1627" s="52" t="s">
        <v>6551</v>
      </c>
      <c r="E1627" t="s">
        <v>304</v>
      </c>
      <c r="F1627" s="18" t="e" vm="1">
        <v>#VALUE!</v>
      </c>
      <c r="G1627" s="43" t="s">
        <v>186</v>
      </c>
      <c r="H1627" s="18" t="s">
        <v>245</v>
      </c>
      <c r="I1627" t="s">
        <v>43</v>
      </c>
      <c r="J1627" s="18" t="s">
        <v>253</v>
      </c>
      <c r="K1627" s="44" t="s">
        <v>154</v>
      </c>
      <c r="L1627" s="44">
        <v>46246.688888888886</v>
      </c>
      <c r="M1627" s="55" t="s">
        <v>73</v>
      </c>
      <c r="N1627" s="55" t="s">
        <v>73</v>
      </c>
      <c r="O1627" s="56">
        <v>46246.791666666664</v>
      </c>
      <c r="P1627" s="22">
        <v>46246.916666666664</v>
      </c>
      <c r="Q1627" s="58">
        <v>46246.989583333336</v>
      </c>
      <c r="S1627" s="21" t="s">
        <v>6552</v>
      </c>
      <c r="T1627" s="55" t="s">
        <v>6553</v>
      </c>
      <c r="U1627" s="21"/>
      <c r="V1627" s="53" t="s">
        <v>6554</v>
      </c>
      <c r="Y1627" t="s">
        <v>158</v>
      </c>
      <c r="Z1627" t="s">
        <v>158</v>
      </c>
    </row>
    <row r="1628" spans="1:26" ht="15" hidden="1" customHeight="1">
      <c r="A1628" s="60">
        <f>ROW() - ROW(Table1[[#Headers],[s]])</f>
        <v>1627</v>
      </c>
      <c r="B1628" t="s">
        <v>6555</v>
      </c>
      <c r="C1628" s="163">
        <v>46235</v>
      </c>
      <c r="D1628" s="52" t="s">
        <v>6556</v>
      </c>
      <c r="E1628" t="s">
        <v>6253</v>
      </c>
      <c r="F1628" s="18" t="e" vm="37">
        <v>#VALUE!</v>
      </c>
      <c r="G1628" s="43" t="s">
        <v>200</v>
      </c>
      <c r="H1628" s="18" t="s">
        <v>152</v>
      </c>
      <c r="I1628" s="18"/>
      <c r="J1628" s="18" t="s">
        <v>153</v>
      </c>
      <c r="K1628" s="44" t="s">
        <v>154</v>
      </c>
      <c r="L1628" s="44">
        <v>46247.357638888891</v>
      </c>
      <c r="M1628" s="55" t="s">
        <v>1023</v>
      </c>
      <c r="N1628" s="55" t="s">
        <v>1023</v>
      </c>
      <c r="O1628" s="56">
        <v>46247.5</v>
      </c>
      <c r="P1628" s="22">
        <v>46247.520833333336</v>
      </c>
      <c r="Q1628" s="58">
        <v>46247.5625</v>
      </c>
      <c r="S1628" s="21" t="s">
        <v>6557</v>
      </c>
      <c r="T1628" s="55" t="s">
        <v>179</v>
      </c>
      <c r="U1628" s="21"/>
      <c r="V1628" s="53" t="s">
        <v>6558</v>
      </c>
      <c r="Y1628" t="s">
        <v>158</v>
      </c>
      <c r="Z1628" t="s">
        <v>52</v>
      </c>
    </row>
    <row r="1629" spans="1:26" ht="15" hidden="1" customHeight="1">
      <c r="A1629" s="60">
        <f>ROW() - ROW(Table1[[#Headers],[s]])</f>
        <v>1628</v>
      </c>
      <c r="B1629" t="s">
        <v>6559</v>
      </c>
      <c r="C1629" s="163">
        <v>46235</v>
      </c>
      <c r="D1629" s="19" t="s">
        <v>6560</v>
      </c>
      <c r="E1629" t="s">
        <v>6561</v>
      </c>
      <c r="F1629" s="18" t="e" vm="16">
        <v>#VALUE!</v>
      </c>
      <c r="G1629" s="43" t="s">
        <v>200</v>
      </c>
      <c r="H1629" s="18" t="s">
        <v>152</v>
      </c>
      <c r="I1629" s="18"/>
      <c r="J1629" s="18" t="s">
        <v>153</v>
      </c>
      <c r="K1629" s="20" t="s">
        <v>154</v>
      </c>
      <c r="L1629" s="20">
        <v>46247.359027777777</v>
      </c>
      <c r="M1629" s="18" t="s">
        <v>79</v>
      </c>
      <c r="N1629" s="18" t="s">
        <v>79</v>
      </c>
      <c r="O1629" s="3">
        <v>46247.791666666664</v>
      </c>
      <c r="P1629" s="22">
        <v>46247.8125</v>
      </c>
      <c r="Q1629" s="22">
        <v>46247.833333333336</v>
      </c>
      <c r="S1629" s="21" t="s">
        <v>3968</v>
      </c>
      <c r="T1629" s="18" t="s">
        <v>3011</v>
      </c>
      <c r="U1629" s="21"/>
      <c r="V1629" s="21" t="s">
        <v>374</v>
      </c>
      <c r="Y1629" t="s">
        <v>158</v>
      </c>
      <c r="Z1629" t="s">
        <v>52</v>
      </c>
    </row>
    <row r="1630" spans="1:26" ht="15" hidden="1" customHeight="1">
      <c r="A1630" s="60">
        <f>ROW() - ROW(Table1[[#Headers],[s]])</f>
        <v>1629</v>
      </c>
      <c r="B1630" t="s">
        <v>6562</v>
      </c>
      <c r="C1630" s="163">
        <v>46235</v>
      </c>
      <c r="D1630" s="19" t="s">
        <v>6563</v>
      </c>
      <c r="E1630" t="s">
        <v>6564</v>
      </c>
      <c r="F1630" s="18" t="e" vm="42">
        <v>#VALUE!</v>
      </c>
      <c r="G1630" s="43" t="s">
        <v>200</v>
      </c>
      <c r="H1630" s="18" t="s">
        <v>152</v>
      </c>
      <c r="I1630" s="18"/>
      <c r="J1630" s="18" t="s">
        <v>153</v>
      </c>
      <c r="K1630" s="20" t="s">
        <v>154</v>
      </c>
      <c r="L1630" s="20">
        <v>46247.366666666669</v>
      </c>
      <c r="M1630" s="18" t="s">
        <v>45</v>
      </c>
      <c r="N1630" s="18" t="s">
        <v>45</v>
      </c>
      <c r="O1630" s="3">
        <v>46247.791666666664</v>
      </c>
      <c r="P1630" s="22">
        <v>46247.791666666664</v>
      </c>
      <c r="Q1630" s="22">
        <v>46247.833333333336</v>
      </c>
      <c r="S1630" s="21" t="s">
        <v>6565</v>
      </c>
      <c r="T1630" s="18" t="s">
        <v>3011</v>
      </c>
      <c r="U1630" s="21"/>
      <c r="V1630" s="21" t="s">
        <v>6566</v>
      </c>
      <c r="Y1630" t="s">
        <v>158</v>
      </c>
      <c r="Z1630" t="s">
        <v>52</v>
      </c>
    </row>
    <row r="1631" spans="1:26" ht="15" hidden="1" customHeight="1">
      <c r="A1631" s="60">
        <f>ROW() - ROW(Table1[[#Headers],[s]])</f>
        <v>1630</v>
      </c>
      <c r="B1631" t="s">
        <v>6567</v>
      </c>
      <c r="C1631" s="163">
        <v>46235</v>
      </c>
      <c r="D1631" s="19" t="s">
        <v>6568</v>
      </c>
      <c r="E1631" t="s">
        <v>6569</v>
      </c>
      <c r="F1631" s="18" t="e" vm="12">
        <v>#VALUE!</v>
      </c>
      <c r="G1631" s="5" t="s">
        <v>200</v>
      </c>
      <c r="H1631" s="18" t="s">
        <v>152</v>
      </c>
      <c r="I1631" s="18"/>
      <c r="J1631" s="18" t="s">
        <v>153</v>
      </c>
      <c r="K1631" s="20" t="s">
        <v>154</v>
      </c>
      <c r="L1631" s="20">
        <v>46247.361111111109</v>
      </c>
      <c r="M1631" s="18" t="s">
        <v>72</v>
      </c>
      <c r="N1631" s="18" t="s">
        <v>72</v>
      </c>
      <c r="O1631" s="3">
        <v>46247.666666666664</v>
      </c>
      <c r="P1631" s="22">
        <v>46247.6875</v>
      </c>
      <c r="Q1631" s="22">
        <v>46247.708333333336</v>
      </c>
      <c r="S1631" s="21" t="s">
        <v>6570</v>
      </c>
      <c r="T1631" s="18" t="s">
        <v>3011</v>
      </c>
      <c r="U1631" s="21"/>
      <c r="V1631" s="21" t="s">
        <v>3965</v>
      </c>
      <c r="Y1631" t="s">
        <v>158</v>
      </c>
      <c r="Z1631" t="s">
        <v>52</v>
      </c>
    </row>
    <row r="1632" spans="1:26" ht="15" hidden="1" customHeight="1">
      <c r="A1632" s="60">
        <f>ROW() - ROW(Table1[[#Headers],[s]])</f>
        <v>1631</v>
      </c>
      <c r="B1632" t="s">
        <v>6571</v>
      </c>
      <c r="C1632" s="272">
        <v>46235</v>
      </c>
      <c r="D1632" s="19" t="s">
        <v>6572</v>
      </c>
      <c r="E1632" t="s">
        <v>6573</v>
      </c>
      <c r="F1632" s="18" t="e" vm="21">
        <v>#VALUE!</v>
      </c>
      <c r="G1632" s="5" t="s">
        <v>200</v>
      </c>
      <c r="H1632" s="18" t="s">
        <v>152</v>
      </c>
      <c r="I1632" s="18"/>
      <c r="J1632" s="18" t="s">
        <v>153</v>
      </c>
      <c r="K1632" s="20" t="s">
        <v>371</v>
      </c>
      <c r="L1632" s="20">
        <v>46247.382638888892</v>
      </c>
      <c r="M1632" s="18" t="s">
        <v>39</v>
      </c>
      <c r="N1632" s="18" t="s">
        <v>39</v>
      </c>
      <c r="O1632" s="3">
        <v>46247.583333333336</v>
      </c>
      <c r="P1632" s="22">
        <v>46247.625</v>
      </c>
      <c r="Q1632" s="22">
        <v>46247.708333333336</v>
      </c>
      <c r="S1632" s="21" t="s">
        <v>6574</v>
      </c>
      <c r="T1632" s="18" t="s">
        <v>478</v>
      </c>
      <c r="U1632" s="21"/>
      <c r="V1632" s="21" t="s">
        <v>6575</v>
      </c>
      <c r="Y1632" t="s">
        <v>158</v>
      </c>
      <c r="Z1632" t="s">
        <v>158</v>
      </c>
    </row>
    <row r="1633" spans="1:26" ht="15" hidden="1" customHeight="1">
      <c r="A1633" s="60">
        <f>ROW() - ROW(Table1[[#Headers],[s]])</f>
        <v>1632</v>
      </c>
      <c r="B1633" t="s">
        <v>6576</v>
      </c>
      <c r="C1633" s="272">
        <v>46235</v>
      </c>
      <c r="D1633" s="19" t="s">
        <v>6577</v>
      </c>
      <c r="E1633" t="s">
        <v>6578</v>
      </c>
      <c r="F1633" s="18" t="e" vm="16">
        <v>#VALUE!</v>
      </c>
      <c r="G1633" s="5" t="s">
        <v>200</v>
      </c>
      <c r="H1633" s="18" t="s">
        <v>152</v>
      </c>
      <c r="I1633" s="18"/>
      <c r="J1633" s="18" t="s">
        <v>153</v>
      </c>
      <c r="K1633" s="20" t="s">
        <v>371</v>
      </c>
      <c r="L1633" s="20">
        <v>46247.418055555558</v>
      </c>
      <c r="M1633" s="18" t="s">
        <v>79</v>
      </c>
      <c r="N1633" s="18" t="s">
        <v>79</v>
      </c>
      <c r="O1633" s="3">
        <v>46247.833333333336</v>
      </c>
      <c r="P1633" s="22">
        <v>46247.854166666664</v>
      </c>
      <c r="Q1633" s="22">
        <v>46247.875</v>
      </c>
      <c r="S1633" s="21" t="s">
        <v>6579</v>
      </c>
      <c r="T1633" s="18" t="s">
        <v>179</v>
      </c>
      <c r="U1633" s="21"/>
      <c r="V1633" s="21" t="s">
        <v>6580</v>
      </c>
      <c r="Y1633" t="s">
        <v>158</v>
      </c>
      <c r="Z1633" t="s">
        <v>52</v>
      </c>
    </row>
    <row r="1634" spans="1:26" ht="15" hidden="1" customHeight="1">
      <c r="A1634" s="60">
        <f>ROW() - ROW(Table1[[#Headers],[s]])</f>
        <v>1633</v>
      </c>
      <c r="B1634" t="s">
        <v>6581</v>
      </c>
      <c r="C1634" s="163">
        <v>46235</v>
      </c>
      <c r="D1634" s="19" t="s">
        <v>6582</v>
      </c>
      <c r="E1634" t="s">
        <v>5807</v>
      </c>
      <c r="F1634" s="18" t="e" vm="12">
        <v>#VALUE!</v>
      </c>
      <c r="G1634" s="5" t="s">
        <v>200</v>
      </c>
      <c r="H1634" s="18" t="s">
        <v>152</v>
      </c>
      <c r="I1634" s="18"/>
      <c r="J1634" s="18" t="s">
        <v>153</v>
      </c>
      <c r="K1634" s="20" t="s">
        <v>371</v>
      </c>
      <c r="L1634" s="20">
        <v>46247.433333333334</v>
      </c>
      <c r="M1634" s="18" t="s">
        <v>72</v>
      </c>
      <c r="N1634" s="18" t="s">
        <v>72</v>
      </c>
      <c r="O1634" s="3">
        <v>46247.708333333336</v>
      </c>
      <c r="P1634" s="22">
        <v>46247.729166666664</v>
      </c>
      <c r="Q1634" s="22">
        <v>46247.75</v>
      </c>
      <c r="S1634" s="21" t="s">
        <v>3968</v>
      </c>
      <c r="T1634" s="18" t="s">
        <v>3011</v>
      </c>
      <c r="U1634" s="21"/>
      <c r="V1634" s="21" t="s">
        <v>374</v>
      </c>
      <c r="Y1634" t="s">
        <v>158</v>
      </c>
      <c r="Z1634" t="s">
        <v>52</v>
      </c>
    </row>
    <row r="1635" spans="1:26" ht="15" hidden="1" customHeight="1">
      <c r="A1635" s="60">
        <f>ROW() - ROW(Table1[[#Headers],[s]])</f>
        <v>1634</v>
      </c>
      <c r="B1635" t="s">
        <v>6583</v>
      </c>
      <c r="C1635" s="163">
        <v>46235</v>
      </c>
      <c r="D1635" s="19" t="s">
        <v>6584</v>
      </c>
      <c r="E1635" t="s">
        <v>6585</v>
      </c>
      <c r="F1635" s="18" t="e" vm="12">
        <v>#VALUE!</v>
      </c>
      <c r="G1635" s="5" t="s">
        <v>200</v>
      </c>
      <c r="H1635" s="18" t="s">
        <v>152</v>
      </c>
      <c r="I1635" s="18"/>
      <c r="J1635" s="18" t="s">
        <v>153</v>
      </c>
      <c r="K1635" s="20" t="s">
        <v>154</v>
      </c>
      <c r="L1635" s="20">
        <v>46247.503472222219</v>
      </c>
      <c r="M1635" s="18" t="s">
        <v>53</v>
      </c>
      <c r="N1635" s="18" t="s">
        <v>53</v>
      </c>
      <c r="O1635" s="3">
        <v>46247.666666666664</v>
      </c>
      <c r="P1635" s="22">
        <v>46247.666666666664</v>
      </c>
      <c r="Q1635" s="22">
        <v>46247.6875</v>
      </c>
      <c r="S1635" s="21" t="s">
        <v>3968</v>
      </c>
      <c r="T1635" s="18" t="s">
        <v>3011</v>
      </c>
      <c r="U1635" s="21"/>
      <c r="V1635" s="21" t="s">
        <v>374</v>
      </c>
      <c r="Y1635" t="s">
        <v>158</v>
      </c>
      <c r="Z1635" t="s">
        <v>52</v>
      </c>
    </row>
    <row r="1636" spans="1:26" ht="15" hidden="1" customHeight="1">
      <c r="A1636" s="60">
        <f>ROW() - ROW(Table1[[#Headers],[s]])</f>
        <v>1635</v>
      </c>
      <c r="B1636" t="s">
        <v>6586</v>
      </c>
      <c r="C1636" s="163">
        <v>46235</v>
      </c>
      <c r="D1636" s="19" t="s">
        <v>6587</v>
      </c>
      <c r="E1636" t="s">
        <v>6073</v>
      </c>
      <c r="F1636" s="18" t="e" vm="42">
        <v>#VALUE!</v>
      </c>
      <c r="G1636" s="5" t="s">
        <v>200</v>
      </c>
      <c r="H1636" s="18" t="s">
        <v>152</v>
      </c>
      <c r="I1636" s="18"/>
      <c r="J1636" s="18" t="s">
        <v>153</v>
      </c>
      <c r="K1636" s="20" t="s">
        <v>154</v>
      </c>
      <c r="L1636" s="20">
        <v>46247.509027777778</v>
      </c>
      <c r="M1636" s="18" t="s">
        <v>6588</v>
      </c>
      <c r="N1636" s="18" t="s">
        <v>6588</v>
      </c>
      <c r="O1636" s="3">
        <v>46247.666666666664</v>
      </c>
      <c r="P1636" s="22">
        <v>46247.708333333336</v>
      </c>
      <c r="Q1636" s="22">
        <v>46247.75</v>
      </c>
      <c r="S1636" s="21" t="s">
        <v>6589</v>
      </c>
      <c r="T1636" s="18" t="s">
        <v>179</v>
      </c>
      <c r="U1636" s="21"/>
      <c r="V1636" s="21" t="s">
        <v>6589</v>
      </c>
      <c r="Y1636" t="s">
        <v>158</v>
      </c>
      <c r="Z1636" t="s">
        <v>52</v>
      </c>
    </row>
    <row r="1637" spans="1:26" ht="15" hidden="1" customHeight="1">
      <c r="A1637" s="60">
        <f>ROW() - ROW(Table1[[#Headers],[s]])</f>
        <v>1636</v>
      </c>
      <c r="B1637" t="s">
        <v>6590</v>
      </c>
      <c r="C1637" s="163">
        <v>46235</v>
      </c>
      <c r="D1637" s="19" t="s">
        <v>6591</v>
      </c>
      <c r="E1637" t="s">
        <v>6592</v>
      </c>
      <c r="F1637" s="18" t="e" vm="16">
        <v>#VALUE!</v>
      </c>
      <c r="G1637" s="5" t="s">
        <v>1057</v>
      </c>
      <c r="H1637" s="18" t="s">
        <v>152</v>
      </c>
      <c r="I1637" t="s">
        <v>43</v>
      </c>
      <c r="J1637" s="18" t="s">
        <v>153</v>
      </c>
      <c r="K1637" s="20" t="s">
        <v>154</v>
      </c>
      <c r="L1637" s="20">
        <v>46247.648611111108</v>
      </c>
      <c r="M1637" s="18" t="s">
        <v>6593</v>
      </c>
      <c r="N1637" s="18" t="s">
        <v>6593</v>
      </c>
      <c r="O1637" s="20">
        <v>46248.458333333336</v>
      </c>
      <c r="P1637" s="20">
        <v>46248.479166666664</v>
      </c>
      <c r="Q1637" s="20">
        <v>46248.565972222219</v>
      </c>
      <c r="S1637" s="21" t="s">
        <v>6594</v>
      </c>
      <c r="T1637" s="18" t="s">
        <v>478</v>
      </c>
      <c r="U1637" s="21"/>
      <c r="V1637" s="21" t="s">
        <v>6595</v>
      </c>
      <c r="Y1637" t="s">
        <v>158</v>
      </c>
      <c r="Z1637" t="s">
        <v>70</v>
      </c>
    </row>
    <row r="1638" spans="1:26" ht="15" hidden="1" customHeight="1">
      <c r="A1638" s="60">
        <f>ROW() - ROW(Table1[[#Headers],[s]])</f>
        <v>1637</v>
      </c>
      <c r="B1638" t="s">
        <v>6596</v>
      </c>
      <c r="C1638" s="23" t="s">
        <v>60</v>
      </c>
      <c r="D1638" s="19" t="s">
        <v>6597</v>
      </c>
      <c r="E1638" t="s">
        <v>6598</v>
      </c>
      <c r="F1638" s="18" t="e" vm="11">
        <v>#VALUE!</v>
      </c>
      <c r="G1638" s="5" t="s">
        <v>200</v>
      </c>
      <c r="H1638" s="18" t="s">
        <v>747</v>
      </c>
      <c r="I1638" s="18"/>
      <c r="J1638" s="18" t="s">
        <v>253</v>
      </c>
      <c r="K1638" s="20" t="s">
        <v>154</v>
      </c>
      <c r="L1638" s="20">
        <v>46247.68472222222</v>
      </c>
      <c r="M1638" s="18" t="s">
        <v>227</v>
      </c>
      <c r="N1638" s="18" t="s">
        <v>227</v>
      </c>
      <c r="O1638" s="3">
        <v>46247.833333333336</v>
      </c>
      <c r="P1638" s="22">
        <v>46247.854166666664</v>
      </c>
      <c r="Q1638" s="22">
        <v>46247.854166666664</v>
      </c>
      <c r="S1638" s="21" t="s">
        <v>5195</v>
      </c>
      <c r="T1638" s="18" t="s">
        <v>478</v>
      </c>
      <c r="U1638" s="21"/>
      <c r="V1638" s="21" t="s">
        <v>5195</v>
      </c>
      <c r="W1638" t="s">
        <v>6599</v>
      </c>
      <c r="Y1638" t="s">
        <v>158</v>
      </c>
      <c r="Z1638" t="s">
        <v>52</v>
      </c>
    </row>
    <row r="1639" spans="1:26" ht="15" hidden="1" customHeight="1">
      <c r="A1639" s="60">
        <f>ROW() - ROW(Table1[[#Headers],[s]])</f>
        <v>1638</v>
      </c>
      <c r="B1639" t="s">
        <v>6600</v>
      </c>
      <c r="C1639" s="163">
        <v>46235</v>
      </c>
      <c r="D1639" s="19" t="s">
        <v>6601</v>
      </c>
      <c r="E1639" t="s">
        <v>6602</v>
      </c>
      <c r="F1639" s="18" t="e" vm="5">
        <v>#VALUE!</v>
      </c>
      <c r="G1639" s="5" t="s">
        <v>1057</v>
      </c>
      <c r="H1639" s="18" t="s">
        <v>152</v>
      </c>
      <c r="I1639" t="s">
        <v>43</v>
      </c>
      <c r="J1639" s="18" t="s">
        <v>153</v>
      </c>
      <c r="K1639" s="20" t="s">
        <v>154</v>
      </c>
      <c r="L1639" s="20">
        <v>46248.397916666669</v>
      </c>
      <c r="M1639" s="403" t="s">
        <v>55</v>
      </c>
      <c r="N1639" s="403" t="s">
        <v>55</v>
      </c>
      <c r="O1639" s="20">
        <v>46248.479166666664</v>
      </c>
      <c r="P1639" s="20">
        <v>46248.496527777781</v>
      </c>
      <c r="Q1639" s="20">
        <v>46248.611111111109</v>
      </c>
      <c r="S1639" s="21" t="s">
        <v>6603</v>
      </c>
      <c r="T1639" s="55" t="s">
        <v>516</v>
      </c>
      <c r="U1639" s="21"/>
      <c r="V1639" s="21" t="s">
        <v>6604</v>
      </c>
      <c r="W1639" t="s">
        <v>6605</v>
      </c>
      <c r="Y1639" t="s">
        <v>158</v>
      </c>
      <c r="Z1639" t="s">
        <v>158</v>
      </c>
    </row>
    <row r="1640" spans="1:26" ht="15" hidden="1" customHeight="1">
      <c r="A1640" s="60">
        <f>ROW() - ROW(Table1[[#Headers],[s]])</f>
        <v>1639</v>
      </c>
      <c r="B1640" t="s">
        <v>6606</v>
      </c>
      <c r="C1640" s="163">
        <v>46235</v>
      </c>
      <c r="D1640" s="19" t="s">
        <v>6607</v>
      </c>
      <c r="E1640" t="s">
        <v>6608</v>
      </c>
      <c r="F1640" s="18" t="e" vm="37">
        <v>#VALUE!</v>
      </c>
      <c r="G1640" s="5" t="s">
        <v>1057</v>
      </c>
      <c r="H1640" s="18" t="s">
        <v>152</v>
      </c>
      <c r="I1640" t="s">
        <v>43</v>
      </c>
      <c r="J1640" s="18" t="s">
        <v>153</v>
      </c>
      <c r="K1640" s="20" t="s">
        <v>154</v>
      </c>
      <c r="L1640" s="20">
        <v>46248.434027777781</v>
      </c>
      <c r="M1640" s="403" t="s">
        <v>5817</v>
      </c>
      <c r="N1640" s="403" t="s">
        <v>5817</v>
      </c>
      <c r="O1640" s="20">
        <v>46248.625</v>
      </c>
      <c r="P1640" s="20">
        <v>46248.631944444445</v>
      </c>
      <c r="Q1640" s="20">
        <v>46248.666666666664</v>
      </c>
      <c r="S1640" s="21" t="s">
        <v>6609</v>
      </c>
      <c r="T1640" s="18" t="s">
        <v>3011</v>
      </c>
      <c r="U1640" s="21"/>
      <c r="V1640" s="21" t="s">
        <v>6610</v>
      </c>
      <c r="Y1640" t="s">
        <v>158</v>
      </c>
      <c r="Z1640" t="s">
        <v>70</v>
      </c>
    </row>
    <row r="1641" spans="1:26" ht="15" hidden="1" customHeight="1">
      <c r="A1641" s="60">
        <f>ROW() - ROW(Table1[[#Headers],[s]])</f>
        <v>1640</v>
      </c>
      <c r="B1641" t="s">
        <v>6611</v>
      </c>
      <c r="C1641" s="23" t="s">
        <v>60</v>
      </c>
      <c r="D1641" s="19" t="s">
        <v>6612</v>
      </c>
      <c r="E1641" t="s">
        <v>6613</v>
      </c>
      <c r="F1641" s="18" t="e" vm="5">
        <v>#VALUE!</v>
      </c>
      <c r="G1641" s="5" t="s">
        <v>36</v>
      </c>
      <c r="H1641" s="18" t="s">
        <v>747</v>
      </c>
      <c r="I1641" s="181" t="s">
        <v>60</v>
      </c>
      <c r="J1641" s="18" t="s">
        <v>253</v>
      </c>
      <c r="K1641" s="20" t="s">
        <v>154</v>
      </c>
      <c r="L1641" s="20">
        <v>46248.467361111114</v>
      </c>
      <c r="M1641" s="18" t="s">
        <v>44</v>
      </c>
      <c r="N1641" s="18" t="s">
        <v>44</v>
      </c>
      <c r="O1641" s="20">
        <v>46248.467361111114</v>
      </c>
      <c r="P1641" s="20">
        <v>46248.467361111114</v>
      </c>
      <c r="Q1641" s="20">
        <v>46248.632638888892</v>
      </c>
      <c r="S1641" s="21" t="s">
        <v>6614</v>
      </c>
      <c r="U1641" s="21"/>
      <c r="Y1641" t="s">
        <v>179</v>
      </c>
      <c r="Z1641" t="s">
        <v>179</v>
      </c>
    </row>
    <row r="1642" spans="1:26" ht="15" hidden="1" customHeight="1">
      <c r="A1642" s="60">
        <f>ROW() - ROW(Table1[[#Headers],[s]])</f>
        <v>1641</v>
      </c>
      <c r="B1642" t="s">
        <v>6615</v>
      </c>
      <c r="C1642" s="163">
        <v>46235</v>
      </c>
      <c r="D1642" s="19" t="s">
        <v>6616</v>
      </c>
      <c r="E1642" t="s">
        <v>5233</v>
      </c>
      <c r="F1642" s="18" t="e" vm="10">
        <v>#VALUE!</v>
      </c>
      <c r="G1642" s="5" t="s">
        <v>1057</v>
      </c>
      <c r="H1642" s="18" t="s">
        <v>152</v>
      </c>
      <c r="I1642" t="s">
        <v>43</v>
      </c>
      <c r="J1642" s="18" t="s">
        <v>153</v>
      </c>
      <c r="K1642" s="20" t="s">
        <v>154</v>
      </c>
      <c r="L1642" s="20">
        <v>46248.636805555558</v>
      </c>
      <c r="M1642" s="55" t="s">
        <v>78</v>
      </c>
      <c r="N1642" s="55" t="s">
        <v>78</v>
      </c>
      <c r="O1642" s="20">
        <v>46248.75</v>
      </c>
      <c r="P1642" s="20">
        <v>46248.760416666664</v>
      </c>
      <c r="Q1642" s="20">
        <v>46248.774305555555</v>
      </c>
      <c r="S1642" s="21" t="s">
        <v>6617</v>
      </c>
      <c r="T1642" s="18" t="s">
        <v>179</v>
      </c>
      <c r="U1642" s="21"/>
      <c r="V1642" s="21" t="s">
        <v>6618</v>
      </c>
      <c r="Y1642" t="s">
        <v>158</v>
      </c>
      <c r="Z1642" t="s">
        <v>70</v>
      </c>
    </row>
    <row r="1643" spans="1:26" ht="15" hidden="1" customHeight="1">
      <c r="A1643" s="60">
        <f>ROW() - ROW(Table1[[#Headers],[s]])</f>
        <v>1642</v>
      </c>
      <c r="B1643" t="s">
        <v>6619</v>
      </c>
      <c r="C1643" s="163">
        <v>46235</v>
      </c>
      <c r="D1643" s="19" t="s">
        <v>6620</v>
      </c>
      <c r="E1643" t="s">
        <v>6621</v>
      </c>
      <c r="F1643" s="18" t="e" vm="25">
        <v>#VALUE!</v>
      </c>
      <c r="G1643" s="5" t="s">
        <v>36</v>
      </c>
      <c r="H1643" s="18" t="s">
        <v>152</v>
      </c>
      <c r="I1643" t="s">
        <v>43</v>
      </c>
      <c r="J1643" s="18" t="s">
        <v>153</v>
      </c>
      <c r="K1643" s="20" t="s">
        <v>154</v>
      </c>
      <c r="L1643" s="20">
        <v>46249.5625</v>
      </c>
      <c r="M1643" s="18" t="s">
        <v>72</v>
      </c>
      <c r="N1643" s="18" t="s">
        <v>72</v>
      </c>
      <c r="O1643" s="3"/>
      <c r="P1643" s="22"/>
      <c r="Q1643" s="22">
        <v>46249.75</v>
      </c>
      <c r="S1643" s="21" t="s">
        <v>543</v>
      </c>
      <c r="T1643" s="18" t="s">
        <v>266</v>
      </c>
      <c r="U1643" s="21"/>
      <c r="V1643" s="21" t="s">
        <v>6622</v>
      </c>
      <c r="Y1643" t="s">
        <v>158</v>
      </c>
      <c r="Z1643" t="s">
        <v>158</v>
      </c>
    </row>
    <row r="1644" spans="1:26" ht="15" hidden="1" customHeight="1">
      <c r="A1644" s="60">
        <f>ROW() - ROW(Table1[[#Headers],[s]])</f>
        <v>1643</v>
      </c>
      <c r="B1644" t="s">
        <v>6623</v>
      </c>
      <c r="C1644" s="272">
        <v>46235</v>
      </c>
      <c r="D1644" s="19" t="s">
        <v>6624</v>
      </c>
      <c r="E1644" t="s">
        <v>316</v>
      </c>
      <c r="F1644" s="18" t="e" vm="37">
        <v>#VALUE!</v>
      </c>
      <c r="G1644" s="5" t="s">
        <v>36</v>
      </c>
      <c r="H1644" s="18" t="s">
        <v>747</v>
      </c>
      <c r="I1644" s="18" t="s">
        <v>43</v>
      </c>
      <c r="J1644" s="18" t="s">
        <v>253</v>
      </c>
      <c r="K1644" s="20" t="s">
        <v>154</v>
      </c>
      <c r="L1644" s="20">
        <v>46250.419444444444</v>
      </c>
      <c r="M1644" s="18" t="s">
        <v>6625</v>
      </c>
      <c r="N1644" s="18" t="s">
        <v>6625</v>
      </c>
      <c r="O1644" s="3"/>
      <c r="P1644" s="22"/>
      <c r="Q1644" s="22">
        <v>46250.652777777781</v>
      </c>
      <c r="S1644" s="21" t="s">
        <v>6626</v>
      </c>
      <c r="T1644" s="18" t="s">
        <v>478</v>
      </c>
      <c r="U1644" s="21"/>
      <c r="V1644" s="21" t="s">
        <v>6627</v>
      </c>
      <c r="Y1644" t="s">
        <v>158</v>
      </c>
      <c r="Z1644" t="s">
        <v>203</v>
      </c>
    </row>
    <row r="1645" spans="1:26" ht="15" customHeight="1">
      <c r="A1645" s="60">
        <f>ROW() - ROW(Table1[[#Headers],[s]])</f>
        <v>1644</v>
      </c>
      <c r="B1645" t="s">
        <v>6628</v>
      </c>
      <c r="C1645" s="272">
        <v>46235</v>
      </c>
      <c r="D1645" s="19" t="s">
        <v>6629</v>
      </c>
      <c r="E1645" t="s">
        <v>6350</v>
      </c>
      <c r="F1645" s="18" t="e" vm="10">
        <v>#VALUE!</v>
      </c>
      <c r="G1645" s="43" t="s">
        <v>186</v>
      </c>
      <c r="H1645" s="18" t="s">
        <v>152</v>
      </c>
      <c r="I1645" t="s">
        <v>43</v>
      </c>
      <c r="J1645" s="18" t="s">
        <v>153</v>
      </c>
      <c r="K1645" s="44" t="s">
        <v>154</v>
      </c>
      <c r="L1645" s="20">
        <v>46251.453472222223</v>
      </c>
      <c r="M1645" s="55" t="s">
        <v>78</v>
      </c>
      <c r="N1645" s="55" t="s">
        <v>78</v>
      </c>
      <c r="O1645" s="3">
        <v>46251.666666666664</v>
      </c>
      <c r="P1645" s="22">
        <v>46251.673611111109</v>
      </c>
      <c r="Q1645" s="22">
        <v>46251.679861111108</v>
      </c>
      <c r="S1645" s="21" t="s">
        <v>2355</v>
      </c>
      <c r="T1645" s="55" t="s">
        <v>164</v>
      </c>
      <c r="U1645" s="21"/>
      <c r="V1645" s="21" t="s">
        <v>809</v>
      </c>
      <c r="Y1645" t="s">
        <v>158</v>
      </c>
      <c r="Z1645" t="s">
        <v>158</v>
      </c>
    </row>
    <row r="1646" spans="1:26" ht="15" customHeight="1">
      <c r="A1646" s="60">
        <f>ROW() - ROW(Table1[[#Headers],[s]])</f>
        <v>1645</v>
      </c>
      <c r="B1646" t="s">
        <v>6630</v>
      </c>
      <c r="C1646" s="272">
        <v>46235</v>
      </c>
      <c r="D1646" s="19" t="s">
        <v>6631</v>
      </c>
      <c r="E1646" t="s">
        <v>6056</v>
      </c>
      <c r="F1646" s="18" t="e" vm="21">
        <v>#VALUE!</v>
      </c>
      <c r="G1646" s="43" t="s">
        <v>186</v>
      </c>
      <c r="H1646" s="18" t="s">
        <v>152</v>
      </c>
      <c r="I1646" t="s">
        <v>43</v>
      </c>
      <c r="J1646" s="18" t="s">
        <v>153</v>
      </c>
      <c r="K1646" s="44" t="s">
        <v>154</v>
      </c>
      <c r="L1646" s="20">
        <v>46251.449305555558</v>
      </c>
      <c r="M1646" s="55" t="s">
        <v>39</v>
      </c>
      <c r="N1646" s="55" t="s">
        <v>39</v>
      </c>
      <c r="O1646" s="3">
        <v>46251.583333333336</v>
      </c>
      <c r="P1646" s="22">
        <v>46251.590277777781</v>
      </c>
      <c r="Q1646" s="22">
        <v>46251.686111111114</v>
      </c>
      <c r="S1646" s="21" t="s">
        <v>6632</v>
      </c>
      <c r="T1646" s="55" t="s">
        <v>164</v>
      </c>
      <c r="U1646" s="21"/>
      <c r="V1646" s="21" t="s">
        <v>6633</v>
      </c>
      <c r="Y1646" t="s">
        <v>158</v>
      </c>
      <c r="Z1646" t="s">
        <v>70</v>
      </c>
    </row>
    <row r="1647" spans="1:26" ht="15" customHeight="1">
      <c r="A1647" s="60">
        <f>ROW() - ROW(Table1[[#Headers],[s]])</f>
        <v>1646</v>
      </c>
      <c r="B1647" t="s">
        <v>6634</v>
      </c>
      <c r="C1647" s="272">
        <v>46235</v>
      </c>
      <c r="D1647" s="19" t="s">
        <v>6635</v>
      </c>
      <c r="E1647" t="s">
        <v>6636</v>
      </c>
      <c r="F1647" s="18" t="e" vm="17">
        <v>#VALUE!</v>
      </c>
      <c r="G1647" s="43" t="s">
        <v>186</v>
      </c>
      <c r="H1647" s="18" t="s">
        <v>152</v>
      </c>
      <c r="I1647" t="s">
        <v>43</v>
      </c>
      <c r="J1647" s="18" t="s">
        <v>153</v>
      </c>
      <c r="K1647" s="44" t="s">
        <v>154</v>
      </c>
      <c r="L1647" s="20">
        <v>46251.45</v>
      </c>
      <c r="M1647" s="55" t="s">
        <v>6257</v>
      </c>
      <c r="N1647" s="55" t="s">
        <v>6257</v>
      </c>
      <c r="O1647" s="3">
        <v>46251.541666666664</v>
      </c>
      <c r="P1647" s="22">
        <v>46251.548611111109</v>
      </c>
      <c r="Q1647" s="22">
        <v>46251.738888888889</v>
      </c>
      <c r="S1647" s="21" t="s">
        <v>6637</v>
      </c>
      <c r="T1647" s="55" t="s">
        <v>164</v>
      </c>
      <c r="U1647" s="21"/>
      <c r="V1647" s="21" t="s">
        <v>1032</v>
      </c>
      <c r="Y1647" t="s">
        <v>158</v>
      </c>
      <c r="Z1647" t="s">
        <v>70</v>
      </c>
    </row>
    <row r="1648" spans="1:26" ht="15" customHeight="1">
      <c r="A1648" s="60">
        <f>ROW() - ROW(Table1[[#Headers],[s]])</f>
        <v>1647</v>
      </c>
      <c r="B1648" t="s">
        <v>6638</v>
      </c>
      <c r="C1648" s="272">
        <v>46235</v>
      </c>
      <c r="D1648" s="19" t="s">
        <v>6639</v>
      </c>
      <c r="E1648" t="s">
        <v>6640</v>
      </c>
      <c r="F1648" s="18" t="e" vm="21">
        <v>#VALUE!</v>
      </c>
      <c r="G1648" s="43" t="s">
        <v>186</v>
      </c>
      <c r="H1648" s="18" t="s">
        <v>152</v>
      </c>
      <c r="I1648" t="s">
        <v>43</v>
      </c>
      <c r="J1648" s="18" t="s">
        <v>153</v>
      </c>
      <c r="K1648" s="44" t="s">
        <v>154</v>
      </c>
      <c r="L1648" s="20">
        <v>46251.45208333333</v>
      </c>
      <c r="M1648" s="55" t="s">
        <v>39</v>
      </c>
      <c r="N1648" s="55" t="s">
        <v>39</v>
      </c>
      <c r="O1648" s="3">
        <v>46251.5</v>
      </c>
      <c r="P1648" s="22">
        <v>46251.506944444445</v>
      </c>
      <c r="Q1648" s="22">
        <v>46251.615972222222</v>
      </c>
      <c r="S1648" s="21" t="s">
        <v>259</v>
      </c>
      <c r="T1648" s="55" t="s">
        <v>164</v>
      </c>
      <c r="U1648" s="21"/>
      <c r="V1648" s="21" t="s">
        <v>6641</v>
      </c>
      <c r="Y1648" t="s">
        <v>158</v>
      </c>
      <c r="Z1648" t="s">
        <v>70</v>
      </c>
    </row>
    <row r="1649" spans="1:26" ht="15" customHeight="1">
      <c r="A1649" s="60">
        <f>ROW() - ROW(Table1[[#Headers],[s]])</f>
        <v>1648</v>
      </c>
      <c r="B1649" t="s">
        <v>6642</v>
      </c>
      <c r="C1649" s="272">
        <v>46235</v>
      </c>
      <c r="D1649" s="19" t="s">
        <v>6643</v>
      </c>
      <c r="E1649" t="s">
        <v>6640</v>
      </c>
      <c r="F1649" s="18" t="e" vm="21">
        <v>#VALUE!</v>
      </c>
      <c r="G1649" s="43" t="s">
        <v>186</v>
      </c>
      <c r="H1649" s="18" t="s">
        <v>152</v>
      </c>
      <c r="I1649" t="s">
        <v>43</v>
      </c>
      <c r="J1649" s="18" t="s">
        <v>153</v>
      </c>
      <c r="K1649" s="44" t="s">
        <v>154</v>
      </c>
      <c r="L1649" s="20">
        <v>46251.459027777775</v>
      </c>
      <c r="M1649" s="55" t="s">
        <v>39</v>
      </c>
      <c r="N1649" s="55" t="s">
        <v>39</v>
      </c>
      <c r="O1649" s="3">
        <v>46251.5</v>
      </c>
      <c r="P1649" s="22">
        <v>46251.506944444445</v>
      </c>
      <c r="Q1649" s="22">
        <v>46251.560416666667</v>
      </c>
      <c r="S1649" s="21" t="s">
        <v>6644</v>
      </c>
      <c r="T1649" s="55" t="s">
        <v>164</v>
      </c>
      <c r="U1649" s="21"/>
      <c r="V1649" s="21" t="s">
        <v>6645</v>
      </c>
      <c r="Y1649" t="s">
        <v>158</v>
      </c>
      <c r="Z1649" t="s">
        <v>70</v>
      </c>
    </row>
    <row r="1650" spans="1:26" ht="15" customHeight="1">
      <c r="A1650" s="60">
        <f>ROW() - ROW(Table1[[#Headers],[s]])</f>
        <v>1649</v>
      </c>
      <c r="B1650" t="s">
        <v>6646</v>
      </c>
      <c r="C1650" s="272">
        <v>46235</v>
      </c>
      <c r="D1650" s="52" t="s">
        <v>6647</v>
      </c>
      <c r="E1650" t="s">
        <v>6648</v>
      </c>
      <c r="F1650" s="18" t="e" vm="5">
        <v>#VALUE!</v>
      </c>
      <c r="G1650" s="43" t="s">
        <v>186</v>
      </c>
      <c r="H1650" s="18" t="s">
        <v>152</v>
      </c>
      <c r="I1650" t="s">
        <v>43</v>
      </c>
      <c r="J1650" s="18" t="s">
        <v>153</v>
      </c>
      <c r="K1650" s="44" t="s">
        <v>154</v>
      </c>
      <c r="L1650" s="44">
        <v>46251.503472222219</v>
      </c>
      <c r="M1650" s="55" t="s">
        <v>55</v>
      </c>
      <c r="N1650" s="55" t="s">
        <v>55</v>
      </c>
      <c r="O1650" s="56">
        <v>46251.666666666664</v>
      </c>
      <c r="P1650" s="22">
        <v>46251.673611111109</v>
      </c>
      <c r="Q1650" s="58">
        <v>46251.791666666664</v>
      </c>
      <c r="S1650" s="21" t="s">
        <v>259</v>
      </c>
      <c r="T1650" s="55" t="s">
        <v>164</v>
      </c>
      <c r="U1650" s="21"/>
      <c r="V1650" s="53" t="s">
        <v>6649</v>
      </c>
      <c r="Y1650" t="s">
        <v>158</v>
      </c>
      <c r="Z1650" t="s">
        <v>70</v>
      </c>
    </row>
    <row r="1651" spans="1:26" ht="15" customHeight="1">
      <c r="A1651" s="60">
        <f>ROW() - ROW(Table1[[#Headers],[s]])</f>
        <v>1650</v>
      </c>
      <c r="B1651" t="s">
        <v>6650</v>
      </c>
      <c r="C1651" s="272">
        <v>46235</v>
      </c>
      <c r="D1651" s="19" t="s">
        <v>6651</v>
      </c>
      <c r="E1651" t="s">
        <v>5940</v>
      </c>
      <c r="F1651" s="18" t="e" vm="7">
        <v>#VALUE!</v>
      </c>
      <c r="G1651" s="43" t="s">
        <v>186</v>
      </c>
      <c r="H1651" s="18" t="s">
        <v>245</v>
      </c>
      <c r="I1651" t="s">
        <v>43</v>
      </c>
      <c r="J1651" s="18" t="s">
        <v>253</v>
      </c>
      <c r="K1651" s="44" t="s">
        <v>154</v>
      </c>
      <c r="L1651" s="20">
        <v>46251.51666666667</v>
      </c>
      <c r="M1651" s="18" t="s">
        <v>6652</v>
      </c>
      <c r="N1651" s="18" t="s">
        <v>6652</v>
      </c>
      <c r="O1651" s="3">
        <v>46251.708333333336</v>
      </c>
      <c r="P1651" s="22">
        <v>46251.75</v>
      </c>
      <c r="Q1651" s="22">
        <v>46251.886111111111</v>
      </c>
      <c r="S1651" s="21" t="s">
        <v>424</v>
      </c>
      <c r="T1651" s="55" t="s">
        <v>164</v>
      </c>
      <c r="U1651" s="21"/>
      <c r="V1651" s="21" t="s">
        <v>6653</v>
      </c>
      <c r="Y1651" t="s">
        <v>158</v>
      </c>
      <c r="Z1651" t="s">
        <v>158</v>
      </c>
    </row>
    <row r="1652" spans="1:26" ht="15" customHeight="1">
      <c r="A1652" s="60">
        <f>ROW() - ROW(Table1[[#Headers],[s]])</f>
        <v>1651</v>
      </c>
      <c r="B1652" t="s">
        <v>4643</v>
      </c>
      <c r="C1652" s="272">
        <v>46235</v>
      </c>
      <c r="D1652" s="19" t="s">
        <v>6654</v>
      </c>
      <c r="E1652" t="s">
        <v>6655</v>
      </c>
      <c r="F1652" s="18" t="e" vm="12">
        <v>#VALUE!</v>
      </c>
      <c r="G1652" s="43" t="s">
        <v>186</v>
      </c>
      <c r="H1652" s="18" t="s">
        <v>152</v>
      </c>
      <c r="I1652" t="s">
        <v>43</v>
      </c>
      <c r="J1652" s="18" t="s">
        <v>153</v>
      </c>
      <c r="K1652" s="44" t="s">
        <v>154</v>
      </c>
      <c r="L1652" s="20">
        <v>46251.689583333333</v>
      </c>
      <c r="M1652" s="18" t="s">
        <v>57</v>
      </c>
      <c r="N1652" s="18" t="s">
        <v>57</v>
      </c>
      <c r="O1652" s="3">
        <v>46251.75</v>
      </c>
      <c r="P1652" s="22">
        <v>46251.756944444445</v>
      </c>
      <c r="Q1652" s="22">
        <v>46251.786805555559</v>
      </c>
      <c r="S1652" s="21" t="s">
        <v>6656</v>
      </c>
      <c r="T1652" s="55" t="s">
        <v>164</v>
      </c>
      <c r="U1652" s="21"/>
      <c r="V1652" s="21" t="s">
        <v>568</v>
      </c>
      <c r="Y1652" t="s">
        <v>158</v>
      </c>
      <c r="Z1652" t="s">
        <v>70</v>
      </c>
    </row>
    <row r="1653" spans="1:26" ht="15" hidden="1" customHeight="1">
      <c r="A1653" s="60">
        <f>ROW() - ROW(Table1[[#Headers],[s]])</f>
        <v>1652</v>
      </c>
      <c r="B1653" t="s">
        <v>6657</v>
      </c>
      <c r="C1653" s="272">
        <v>46235</v>
      </c>
      <c r="D1653" s="19" t="s">
        <v>6658</v>
      </c>
      <c r="E1653" t="s">
        <v>5627</v>
      </c>
      <c r="F1653" s="18" t="e" vm="10">
        <v>#VALUE!</v>
      </c>
      <c r="G1653" s="43" t="s">
        <v>174</v>
      </c>
      <c r="H1653" s="18" t="s">
        <v>152</v>
      </c>
      <c r="I1653" s="18"/>
      <c r="J1653" s="18" t="s">
        <v>153</v>
      </c>
      <c r="K1653" s="44" t="s">
        <v>154</v>
      </c>
      <c r="L1653" s="20">
        <v>46251.697916666664</v>
      </c>
      <c r="M1653" s="55" t="s">
        <v>78</v>
      </c>
      <c r="N1653" s="55" t="s">
        <v>78</v>
      </c>
      <c r="O1653" s="3">
        <v>46252.333333333336</v>
      </c>
      <c r="P1653" s="3">
        <v>46252.354166666664</v>
      </c>
      <c r="Q1653" s="3">
        <v>46252.375</v>
      </c>
      <c r="S1653" s="21" t="s">
        <v>6659</v>
      </c>
      <c r="T1653" s="18" t="s">
        <v>478</v>
      </c>
      <c r="U1653" s="21"/>
      <c r="V1653" s="21" t="s">
        <v>6660</v>
      </c>
      <c r="Y1653" t="s">
        <v>158</v>
      </c>
      <c r="Z1653" t="s">
        <v>70</v>
      </c>
    </row>
    <row r="1654" spans="1:26" ht="15" customHeight="1">
      <c r="A1654" s="60">
        <f>ROW() - ROW(Table1[[#Headers],[s]])</f>
        <v>1653</v>
      </c>
      <c r="B1654" t="s">
        <v>6661</v>
      </c>
      <c r="C1654" s="272">
        <v>46235</v>
      </c>
      <c r="D1654" s="19" t="s">
        <v>6662</v>
      </c>
      <c r="E1654" t="s">
        <v>6663</v>
      </c>
      <c r="F1654" s="18" t="e" vm="25">
        <v>#VALUE!</v>
      </c>
      <c r="G1654" s="43" t="s">
        <v>186</v>
      </c>
      <c r="H1654" s="18" t="s">
        <v>152</v>
      </c>
      <c r="I1654" t="s">
        <v>43</v>
      </c>
      <c r="J1654" s="18" t="s">
        <v>153</v>
      </c>
      <c r="K1654" s="44" t="s">
        <v>154</v>
      </c>
      <c r="L1654" s="20">
        <v>46251.703472222223</v>
      </c>
      <c r="M1654" s="18" t="s">
        <v>57</v>
      </c>
      <c r="N1654" s="18" t="s">
        <v>57</v>
      </c>
      <c r="O1654" s="3">
        <v>46251.791666666664</v>
      </c>
      <c r="P1654" s="22">
        <v>46251.798611111109</v>
      </c>
      <c r="Q1654" s="22">
        <v>46251.901388888888</v>
      </c>
      <c r="S1654" s="21" t="s">
        <v>6664</v>
      </c>
      <c r="T1654" s="55" t="s">
        <v>164</v>
      </c>
      <c r="U1654" s="21"/>
      <c r="V1654" s="21" t="s">
        <v>6665</v>
      </c>
      <c r="Y1654" t="s">
        <v>158</v>
      </c>
      <c r="Z1654" t="s">
        <v>70</v>
      </c>
    </row>
    <row r="1655" spans="1:26" ht="15" customHeight="1">
      <c r="A1655" s="60">
        <f>ROW() - ROW(Table1[[#Headers],[s]])</f>
        <v>1654</v>
      </c>
      <c r="B1655" t="s">
        <v>6221</v>
      </c>
      <c r="C1655" s="272">
        <v>46235</v>
      </c>
      <c r="D1655" s="19" t="s">
        <v>6666</v>
      </c>
      <c r="E1655" t="s">
        <v>6667</v>
      </c>
      <c r="F1655" s="18" t="e" vm="10">
        <v>#VALUE!</v>
      </c>
      <c r="G1655" s="43" t="s">
        <v>186</v>
      </c>
      <c r="H1655" s="18" t="s">
        <v>152</v>
      </c>
      <c r="I1655" t="s">
        <v>43</v>
      </c>
      <c r="J1655" s="18" t="s">
        <v>153</v>
      </c>
      <c r="K1655" s="44" t="s">
        <v>154</v>
      </c>
      <c r="L1655" s="20">
        <v>46251.716666666667</v>
      </c>
      <c r="M1655" s="55" t="s">
        <v>78</v>
      </c>
      <c r="N1655" s="55" t="s">
        <v>78</v>
      </c>
      <c r="O1655" s="3">
        <v>46251.708333333336</v>
      </c>
      <c r="P1655" s="22">
        <v>46251.715277777781</v>
      </c>
      <c r="Q1655" s="22">
        <v>46251.772916666669</v>
      </c>
      <c r="S1655" s="21" t="s">
        <v>527</v>
      </c>
      <c r="T1655" s="55" t="s">
        <v>164</v>
      </c>
      <c r="U1655" s="21"/>
      <c r="V1655" s="21" t="s">
        <v>6668</v>
      </c>
      <c r="Y1655" t="s">
        <v>158</v>
      </c>
      <c r="Z1655" t="s">
        <v>70</v>
      </c>
    </row>
    <row r="1656" spans="1:26" ht="15" hidden="1" customHeight="1">
      <c r="A1656" s="60">
        <f>ROW() - ROW(Table1[[#Headers],[s]])</f>
        <v>1655</v>
      </c>
      <c r="B1656" t="s">
        <v>6669</v>
      </c>
      <c r="C1656" s="272">
        <v>46235</v>
      </c>
      <c r="D1656" s="19" t="s">
        <v>6670</v>
      </c>
      <c r="E1656" t="s">
        <v>6671</v>
      </c>
      <c r="F1656" s="18" t="e" vm="1">
        <v>#VALUE!</v>
      </c>
      <c r="G1656" s="43" t="s">
        <v>174</v>
      </c>
      <c r="H1656" s="18" t="s">
        <v>245</v>
      </c>
      <c r="I1656" s="18"/>
      <c r="J1656" s="18" t="s">
        <v>253</v>
      </c>
      <c r="K1656" s="20"/>
      <c r="L1656" s="20">
        <v>46252.061805555553</v>
      </c>
      <c r="M1656" s="18" t="s">
        <v>6672</v>
      </c>
      <c r="N1656" s="18" t="s">
        <v>6673</v>
      </c>
      <c r="O1656" s="3"/>
      <c r="P1656" s="22"/>
      <c r="Q1656" s="22">
        <v>46252.530555555553</v>
      </c>
      <c r="S1656" s="21" t="s">
        <v>6674</v>
      </c>
      <c r="T1656" s="18" t="s">
        <v>6675</v>
      </c>
      <c r="U1656" s="21"/>
      <c r="V1656" s="21" t="s">
        <v>6676</v>
      </c>
      <c r="Y1656" t="s">
        <v>70</v>
      </c>
      <c r="Z1656" t="s">
        <v>158</v>
      </c>
    </row>
    <row r="1657" spans="1:26" ht="15" hidden="1" customHeight="1">
      <c r="A1657" s="60">
        <f>ROW() - ROW(Table1[[#Headers],[s]])</f>
        <v>1656</v>
      </c>
      <c r="B1657" t="s">
        <v>6534</v>
      </c>
      <c r="C1657" s="272">
        <v>46235</v>
      </c>
      <c r="D1657" s="52" t="s">
        <v>6677</v>
      </c>
      <c r="E1657" t="s">
        <v>6086</v>
      </c>
      <c r="F1657" s="18" t="e" vm="25">
        <v>#VALUE!</v>
      </c>
      <c r="G1657" s="43" t="s">
        <v>174</v>
      </c>
      <c r="H1657" s="18" t="s">
        <v>152</v>
      </c>
      <c r="I1657" s="18"/>
      <c r="J1657" s="18" t="s">
        <v>153</v>
      </c>
      <c r="K1657" s="44" t="s">
        <v>154</v>
      </c>
      <c r="L1657" s="20">
        <v>46252.472222222219</v>
      </c>
      <c r="M1657" s="55" t="s">
        <v>352</v>
      </c>
      <c r="N1657" s="55" t="s">
        <v>352</v>
      </c>
      <c r="O1657" s="20">
        <v>46252.548611111109</v>
      </c>
      <c r="P1657" s="20">
        <v>46252.565972222219</v>
      </c>
      <c r="Q1657" s="20">
        <v>46252.638888888891</v>
      </c>
      <c r="S1657" s="21" t="s">
        <v>6678</v>
      </c>
      <c r="T1657" s="55" t="s">
        <v>478</v>
      </c>
      <c r="U1657" s="21"/>
      <c r="V1657" s="53" t="s">
        <v>6679</v>
      </c>
      <c r="Y1657" t="s">
        <v>158</v>
      </c>
      <c r="Z1657" t="s">
        <v>70</v>
      </c>
    </row>
    <row r="1658" spans="1:26" ht="15" hidden="1" customHeight="1">
      <c r="A1658" s="60">
        <f>ROW() - ROW(Table1[[#Headers],[s]])</f>
        <v>1657</v>
      </c>
      <c r="B1658" s="305" t="s">
        <v>6680</v>
      </c>
      <c r="C1658" s="272">
        <v>46235</v>
      </c>
      <c r="D1658" s="19" t="s">
        <v>6681</v>
      </c>
      <c r="E1658" t="s">
        <v>6682</v>
      </c>
      <c r="F1658" s="18" t="e" vm="16">
        <v>#VALUE!</v>
      </c>
      <c r="G1658" s="43" t="s">
        <v>1057</v>
      </c>
      <c r="H1658" s="18" t="s">
        <v>152</v>
      </c>
      <c r="I1658" t="s">
        <v>43</v>
      </c>
      <c r="J1658" s="18" t="s">
        <v>153</v>
      </c>
      <c r="K1658" s="44" t="s">
        <v>154</v>
      </c>
      <c r="L1658" s="20">
        <v>46252.473611111112</v>
      </c>
      <c r="M1658" s="18" t="s">
        <v>58</v>
      </c>
      <c r="N1658" s="18" t="s">
        <v>58</v>
      </c>
      <c r="O1658" s="20">
        <v>46253.375</v>
      </c>
      <c r="P1658" s="20">
        <v>46253.402777777781</v>
      </c>
      <c r="Q1658" s="20">
        <v>46253.402777777781</v>
      </c>
      <c r="S1658" s="21" t="s">
        <v>6683</v>
      </c>
      <c r="T1658" s="55" t="s">
        <v>478</v>
      </c>
      <c r="U1658" s="21"/>
      <c r="V1658" s="21" t="s">
        <v>6684</v>
      </c>
      <c r="Y1658" t="s">
        <v>158</v>
      </c>
      <c r="Z1658" t="s">
        <v>70</v>
      </c>
    </row>
    <row r="1659" spans="1:26" ht="15" hidden="1" customHeight="1">
      <c r="A1659" s="60">
        <f>ROW() - ROW(Table1[[#Headers],[s]])</f>
        <v>1658</v>
      </c>
      <c r="B1659" t="s">
        <v>6685</v>
      </c>
      <c r="C1659" s="272">
        <v>46235</v>
      </c>
      <c r="D1659" s="19" t="s">
        <v>6686</v>
      </c>
      <c r="E1659" t="s">
        <v>6578</v>
      </c>
      <c r="F1659" s="18" t="e" vm="16">
        <v>#VALUE!</v>
      </c>
      <c r="G1659" s="43" t="s">
        <v>1057</v>
      </c>
      <c r="H1659" s="18" t="s">
        <v>747</v>
      </c>
      <c r="I1659" t="s">
        <v>43</v>
      </c>
      <c r="J1659" s="18" t="s">
        <v>253</v>
      </c>
      <c r="K1659" s="44" t="s">
        <v>154</v>
      </c>
      <c r="L1659" s="20">
        <v>46252.470138888886</v>
      </c>
      <c r="M1659" s="18" t="s">
        <v>58</v>
      </c>
      <c r="N1659" s="18" t="s">
        <v>6687</v>
      </c>
      <c r="O1659" s="20">
        <v>46253.375</v>
      </c>
      <c r="P1659" s="20">
        <v>46253.375</v>
      </c>
      <c r="Q1659" s="20">
        <v>46253.547222222223</v>
      </c>
      <c r="S1659" s="21" t="s">
        <v>6688</v>
      </c>
      <c r="T1659" s="18" t="s">
        <v>266</v>
      </c>
      <c r="U1659" s="21"/>
      <c r="V1659" s="21" t="s">
        <v>6689</v>
      </c>
      <c r="Y1659" t="s">
        <v>158</v>
      </c>
      <c r="Z1659" t="s">
        <v>158</v>
      </c>
    </row>
    <row r="1660" spans="1:26" ht="15" hidden="1" customHeight="1">
      <c r="A1660" s="60">
        <f>ROW() - ROW(Table1[[#Headers],[s]])</f>
        <v>1659</v>
      </c>
      <c r="B1660" t="s">
        <v>6690</v>
      </c>
      <c r="C1660" s="272">
        <v>46235</v>
      </c>
      <c r="D1660" s="19" t="s">
        <v>6691</v>
      </c>
      <c r="E1660" t="s">
        <v>898</v>
      </c>
      <c r="F1660" s="18" t="e" vm="21">
        <v>#VALUE!</v>
      </c>
      <c r="G1660" s="43" t="s">
        <v>174</v>
      </c>
      <c r="H1660" s="18" t="s">
        <v>152</v>
      </c>
      <c r="I1660" s="18"/>
      <c r="J1660" s="18" t="s">
        <v>153</v>
      </c>
      <c r="K1660" s="44" t="s">
        <v>154</v>
      </c>
      <c r="L1660" s="20">
        <v>46252.493055555555</v>
      </c>
      <c r="M1660" s="55" t="s">
        <v>39</v>
      </c>
      <c r="N1660" s="55" t="s">
        <v>39</v>
      </c>
      <c r="O1660" s="20">
        <v>46252.548611111109</v>
      </c>
      <c r="P1660" s="20">
        <v>46252.583333333336</v>
      </c>
      <c r="Q1660" s="20">
        <v>46252.635416666664</v>
      </c>
      <c r="S1660" s="21" t="s">
        <v>6692</v>
      </c>
      <c r="T1660" s="18" t="s">
        <v>2765</v>
      </c>
      <c r="U1660" s="21"/>
      <c r="V1660" s="21" t="s">
        <v>4225</v>
      </c>
      <c r="Y1660" t="s">
        <v>158</v>
      </c>
      <c r="Z1660" t="s">
        <v>70</v>
      </c>
    </row>
    <row r="1661" spans="1:26" ht="15" hidden="1" customHeight="1">
      <c r="A1661" s="60">
        <f>ROW() - ROW(Table1[[#Headers],[s]])</f>
        <v>1660</v>
      </c>
      <c r="B1661" t="s">
        <v>6693</v>
      </c>
      <c r="C1661" s="272">
        <v>46235</v>
      </c>
      <c r="D1661" s="19" t="s">
        <v>6694</v>
      </c>
      <c r="E1661" t="s">
        <v>316</v>
      </c>
      <c r="F1661" s="18" t="e" vm="37">
        <v>#VALUE!</v>
      </c>
      <c r="G1661" s="43" t="s">
        <v>174</v>
      </c>
      <c r="H1661" s="18" t="s">
        <v>747</v>
      </c>
      <c r="I1661" s="18"/>
      <c r="J1661" s="18" t="s">
        <v>253</v>
      </c>
      <c r="K1661" s="44" t="s">
        <v>154</v>
      </c>
      <c r="L1661" s="20">
        <v>46252.579861111109</v>
      </c>
      <c r="M1661" s="18" t="s">
        <v>1023</v>
      </c>
      <c r="N1661" s="18" t="s">
        <v>1023</v>
      </c>
      <c r="O1661" s="20">
        <v>46252.631944444445</v>
      </c>
      <c r="P1661" s="20">
        <v>46252.645833333336</v>
      </c>
      <c r="Q1661" s="20">
        <v>46252.760416666664</v>
      </c>
      <c r="S1661" s="21" t="s">
        <v>2902</v>
      </c>
      <c r="T1661" s="18" t="s">
        <v>4685</v>
      </c>
      <c r="U1661" s="21"/>
      <c r="V1661" s="21" t="s">
        <v>1619</v>
      </c>
      <c r="Y1661" t="s">
        <v>158</v>
      </c>
      <c r="Z1661" t="s">
        <v>158</v>
      </c>
    </row>
    <row r="1662" spans="1:26" ht="15" hidden="1" customHeight="1">
      <c r="A1662" s="60">
        <f>ROW() - ROW(Table1[[#Headers],[s]])</f>
        <v>1661</v>
      </c>
      <c r="B1662" t="s">
        <v>6695</v>
      </c>
      <c r="C1662" s="272">
        <v>46235</v>
      </c>
      <c r="D1662" s="19" t="s">
        <v>6696</v>
      </c>
      <c r="E1662" t="s">
        <v>5169</v>
      </c>
      <c r="F1662" s="18" t="e" vm="25">
        <v>#VALUE!</v>
      </c>
      <c r="G1662" s="43" t="s">
        <v>174</v>
      </c>
      <c r="H1662" s="18" t="s">
        <v>747</v>
      </c>
      <c r="I1662" s="18"/>
      <c r="J1662" s="18" t="s">
        <v>253</v>
      </c>
      <c r="K1662" s="44" t="s">
        <v>154</v>
      </c>
      <c r="L1662" s="20">
        <v>46252.586805555555</v>
      </c>
      <c r="M1662" s="18" t="s">
        <v>53</v>
      </c>
      <c r="N1662" s="18" t="s">
        <v>53</v>
      </c>
      <c r="O1662" s="20">
        <v>46252.628472222219</v>
      </c>
      <c r="P1662" s="20">
        <v>46252.635416666664</v>
      </c>
      <c r="Q1662" s="20">
        <v>46252.708333333336</v>
      </c>
      <c r="S1662" s="21" t="s">
        <v>6697</v>
      </c>
      <c r="T1662" s="55" t="s">
        <v>478</v>
      </c>
      <c r="U1662" s="21"/>
      <c r="V1662" s="21" t="s">
        <v>6698</v>
      </c>
      <c r="Y1662" t="s">
        <v>158</v>
      </c>
      <c r="Z1662" t="s">
        <v>70</v>
      </c>
    </row>
    <row r="1663" spans="1:26" ht="15" hidden="1" customHeight="1">
      <c r="A1663" s="60">
        <f>ROW() - ROW(Table1[[#Headers],[s]])</f>
        <v>1662</v>
      </c>
      <c r="B1663" s="223" t="s">
        <v>6699</v>
      </c>
      <c r="C1663" s="272">
        <v>46235</v>
      </c>
      <c r="D1663" s="19" t="s">
        <v>6700</v>
      </c>
      <c r="E1663" t="s">
        <v>6701</v>
      </c>
      <c r="F1663" s="18" t="e" vm="26">
        <v>#VALUE!</v>
      </c>
      <c r="G1663" s="43" t="s">
        <v>174</v>
      </c>
      <c r="H1663" s="18" t="s">
        <v>152</v>
      </c>
      <c r="I1663" s="18"/>
      <c r="J1663" s="18" t="s">
        <v>268</v>
      </c>
      <c r="K1663" s="44" t="s">
        <v>154</v>
      </c>
      <c r="L1663" s="20">
        <v>46252.79583333333</v>
      </c>
      <c r="M1663" s="55" t="s">
        <v>78</v>
      </c>
      <c r="N1663" s="55" t="s">
        <v>78</v>
      </c>
      <c r="O1663" s="20">
        <v>46252.864583333336</v>
      </c>
      <c r="P1663" s="20">
        <v>46252.895833333336</v>
      </c>
      <c r="Q1663" s="20">
        <v>46252.927083333336</v>
      </c>
      <c r="S1663" s="21" t="s">
        <v>6702</v>
      </c>
      <c r="T1663" s="18" t="s">
        <v>478</v>
      </c>
      <c r="U1663" s="21"/>
      <c r="V1663" s="21" t="s">
        <v>404</v>
      </c>
      <c r="Y1663" t="s">
        <v>158</v>
      </c>
      <c r="Z1663" t="s">
        <v>70</v>
      </c>
    </row>
    <row r="1664" spans="1:26" ht="15" hidden="1" customHeight="1">
      <c r="A1664" s="60">
        <f>ROW() - ROW(Table1[[#Headers],[s]])</f>
        <v>1663</v>
      </c>
      <c r="B1664" t="s">
        <v>6703</v>
      </c>
      <c r="C1664" s="272">
        <v>46235</v>
      </c>
      <c r="D1664" s="19" t="s">
        <v>6704</v>
      </c>
      <c r="E1664" t="s">
        <v>6613</v>
      </c>
      <c r="F1664" s="18" t="e" vm="49">
        <v>#VALUE!</v>
      </c>
      <c r="G1664" s="43" t="s">
        <v>174</v>
      </c>
      <c r="H1664" s="18" t="s">
        <v>152</v>
      </c>
      <c r="I1664" s="18"/>
      <c r="J1664" s="18" t="s">
        <v>153</v>
      </c>
      <c r="K1664" s="44" t="s">
        <v>154</v>
      </c>
      <c r="L1664" s="20">
        <v>46252.793749999997</v>
      </c>
      <c r="M1664" s="18" t="s">
        <v>227</v>
      </c>
      <c r="N1664" s="18" t="s">
        <v>227</v>
      </c>
      <c r="O1664" s="20">
        <v>46252.854166666664</v>
      </c>
      <c r="P1664" s="20">
        <v>46252.878472222219</v>
      </c>
      <c r="Q1664" s="20">
        <v>46252.927083333336</v>
      </c>
      <c r="S1664" s="21" t="s">
        <v>6705</v>
      </c>
      <c r="T1664" s="18" t="s">
        <v>478</v>
      </c>
      <c r="U1664" s="21"/>
      <c r="V1664" s="21" t="s">
        <v>6706</v>
      </c>
      <c r="Y1664" t="s">
        <v>158</v>
      </c>
      <c r="Z1664" t="s">
        <v>70</v>
      </c>
    </row>
    <row r="1665" spans="1:27" ht="15" hidden="1" customHeight="1">
      <c r="A1665" s="60">
        <f>ROW() - ROW(Table1[[#Headers],[s]])</f>
        <v>1664</v>
      </c>
      <c r="B1665" t="s">
        <v>6707</v>
      </c>
      <c r="C1665" s="181" t="s">
        <v>60</v>
      </c>
      <c r="D1665" s="19" t="s">
        <v>6708</v>
      </c>
      <c r="E1665" t="s">
        <v>6709</v>
      </c>
      <c r="F1665" s="18" t="e" vm="37">
        <v>#VALUE!</v>
      </c>
      <c r="G1665" s="43" t="s">
        <v>174</v>
      </c>
      <c r="H1665" s="18" t="s">
        <v>152</v>
      </c>
      <c r="I1665" s="18"/>
      <c r="J1665" s="18" t="s">
        <v>153</v>
      </c>
      <c r="K1665" s="42" t="s">
        <v>154</v>
      </c>
      <c r="L1665" s="20">
        <v>46252.79791666667</v>
      </c>
      <c r="M1665" s="18" t="s">
        <v>1023</v>
      </c>
      <c r="N1665" s="18" t="s">
        <v>1023</v>
      </c>
      <c r="O1665" s="3"/>
      <c r="P1665" s="22"/>
      <c r="S1665" s="44" t="s">
        <v>6710</v>
      </c>
      <c r="T1665" s="18" t="s">
        <v>179</v>
      </c>
      <c r="U1665" s="21"/>
      <c r="V1665" s="44" t="s">
        <v>6710</v>
      </c>
      <c r="Y1665" t="s">
        <v>179</v>
      </c>
      <c r="Z1665" t="s">
        <v>179</v>
      </c>
    </row>
    <row r="1666" spans="1:27" ht="15" hidden="1" customHeight="1">
      <c r="A1666" s="60">
        <f>ROW() - ROW(Table1[[#Headers],[s]])</f>
        <v>1665</v>
      </c>
      <c r="B1666" t="s">
        <v>6711</v>
      </c>
      <c r="C1666" s="272">
        <v>46235</v>
      </c>
      <c r="D1666" s="19" t="s">
        <v>6712</v>
      </c>
      <c r="E1666" t="s">
        <v>6709</v>
      </c>
      <c r="F1666" s="18" t="e" vm="37">
        <v>#VALUE!</v>
      </c>
      <c r="G1666" s="43" t="s">
        <v>174</v>
      </c>
      <c r="H1666" s="18" t="s">
        <v>152</v>
      </c>
      <c r="I1666" s="18"/>
      <c r="J1666" s="18" t="s">
        <v>153</v>
      </c>
      <c r="K1666" s="44" t="s">
        <v>154</v>
      </c>
      <c r="L1666" s="20">
        <v>46252.808333333334</v>
      </c>
      <c r="M1666" s="18" t="s">
        <v>1023</v>
      </c>
      <c r="N1666" s="18" t="s">
        <v>1023</v>
      </c>
      <c r="O1666" s="20">
        <v>46252.864583333336</v>
      </c>
      <c r="P1666" s="20">
        <v>46252.875</v>
      </c>
      <c r="Q1666" s="20">
        <v>46252.927083333336</v>
      </c>
      <c r="S1666" s="21" t="s">
        <v>6713</v>
      </c>
      <c r="T1666" s="55" t="s">
        <v>478</v>
      </c>
      <c r="U1666" s="21"/>
      <c r="V1666" s="53" t="s">
        <v>6714</v>
      </c>
      <c r="Y1666" t="s">
        <v>158</v>
      </c>
      <c r="Z1666" t="s">
        <v>70</v>
      </c>
    </row>
    <row r="1667" spans="1:27" ht="15" hidden="1" customHeight="1">
      <c r="A1667" s="60">
        <f>ROW() - ROW(Table1[[#Headers],[s]])</f>
        <v>1666</v>
      </c>
      <c r="B1667" t="s">
        <v>6715</v>
      </c>
      <c r="C1667" s="272">
        <v>46235</v>
      </c>
      <c r="D1667" s="19" t="s">
        <v>6716</v>
      </c>
      <c r="E1667" t="s">
        <v>6111</v>
      </c>
      <c r="F1667" s="18" t="e" vm="25">
        <v>#VALUE!</v>
      </c>
      <c r="G1667" s="43" t="s">
        <v>1057</v>
      </c>
      <c r="H1667" s="18" t="s">
        <v>152</v>
      </c>
      <c r="I1667" t="s">
        <v>43</v>
      </c>
      <c r="J1667" s="18" t="s">
        <v>153</v>
      </c>
      <c r="K1667" s="44" t="s">
        <v>154</v>
      </c>
      <c r="L1667" s="20">
        <v>46253.445138888892</v>
      </c>
      <c r="M1667" s="18" t="s">
        <v>53</v>
      </c>
      <c r="N1667" s="18" t="s">
        <v>53</v>
      </c>
      <c r="O1667" s="20">
        <v>46253.520833333336</v>
      </c>
      <c r="P1667" s="20">
        <v>46253.538194444445</v>
      </c>
      <c r="Q1667" s="20">
        <v>46253.570138888892</v>
      </c>
      <c r="R1667" t="s">
        <v>3220</v>
      </c>
      <c r="S1667" s="21" t="s">
        <v>6717</v>
      </c>
      <c r="T1667" s="18" t="s">
        <v>4685</v>
      </c>
      <c r="U1667" s="21"/>
      <c r="V1667" s="21" t="s">
        <v>6718</v>
      </c>
      <c r="W1667" t="s">
        <v>6719</v>
      </c>
      <c r="Y1667" t="s">
        <v>158</v>
      </c>
      <c r="Z1667" t="s">
        <v>70</v>
      </c>
    </row>
    <row r="1668" spans="1:27" ht="15" hidden="1" customHeight="1">
      <c r="A1668" s="60">
        <f>ROW() - ROW(Table1[[#Headers],[s]])</f>
        <v>1667</v>
      </c>
      <c r="B1668" t="s">
        <v>6720</v>
      </c>
      <c r="C1668" s="272">
        <v>46235</v>
      </c>
      <c r="D1668" s="19" t="s">
        <v>6721</v>
      </c>
      <c r="E1668" t="s">
        <v>5632</v>
      </c>
      <c r="F1668" t="e" vm="10">
        <v>#VALUE!</v>
      </c>
      <c r="G1668" s="43" t="s">
        <v>1057</v>
      </c>
      <c r="H1668" s="18" t="s">
        <v>245</v>
      </c>
      <c r="I1668" t="s">
        <v>43</v>
      </c>
      <c r="J1668" s="18" t="s">
        <v>280</v>
      </c>
      <c r="K1668" s="419" t="s">
        <v>6722</v>
      </c>
      <c r="L1668" s="20">
        <v>46253.503472222219</v>
      </c>
      <c r="M1668" s="18" t="s">
        <v>6723</v>
      </c>
      <c r="N1668" s="18" t="s">
        <v>6723</v>
      </c>
      <c r="O1668" s="20">
        <v>46253.503472222219</v>
      </c>
      <c r="P1668" s="20">
        <v>46253.802083333336</v>
      </c>
      <c r="Q1668" s="20">
        <v>46253.880555555559</v>
      </c>
      <c r="R1668" t="s">
        <v>3191</v>
      </c>
      <c r="S1668" s="21" t="s">
        <v>6724</v>
      </c>
      <c r="T1668" s="18" t="s">
        <v>6725</v>
      </c>
      <c r="U1668" s="21"/>
      <c r="V1668" s="21" t="s">
        <v>6726</v>
      </c>
      <c r="Y1668" t="s">
        <v>70</v>
      </c>
      <c r="Z1668" t="s">
        <v>158</v>
      </c>
    </row>
    <row r="1669" spans="1:27" ht="15" hidden="1" customHeight="1">
      <c r="A1669" s="60">
        <f>ROW() - ROW(Table1[[#Headers],[s]])</f>
        <v>1668</v>
      </c>
      <c r="B1669" s="24" t="s">
        <v>6727</v>
      </c>
      <c r="C1669" s="366">
        <v>46235</v>
      </c>
      <c r="D1669" s="242" t="s">
        <v>6728</v>
      </c>
      <c r="E1669" s="24" t="s">
        <v>328</v>
      </c>
      <c r="F1669" s="259" t="e" vm="49">
        <v>#VALUE!</v>
      </c>
      <c r="G1669" s="90" t="s">
        <v>1057</v>
      </c>
      <c r="H1669" s="259" t="s">
        <v>245</v>
      </c>
      <c r="I1669" s="259" t="s">
        <v>43</v>
      </c>
      <c r="J1669" s="259" t="s">
        <v>287</v>
      </c>
      <c r="K1669" s="419" t="s">
        <v>6722</v>
      </c>
      <c r="L1669" s="258">
        <v>46253.655555555553</v>
      </c>
      <c r="M1669" s="259" t="s">
        <v>1255</v>
      </c>
      <c r="N1669" s="259" t="s">
        <v>1255</v>
      </c>
      <c r="O1669" s="20">
        <v>46253.71875</v>
      </c>
      <c r="P1669" s="20">
        <v>46254.666666666664</v>
      </c>
      <c r="Q1669" s="20">
        <v>46254.811111111114</v>
      </c>
      <c r="S1669" s="21" t="s">
        <v>6729</v>
      </c>
      <c r="U1669" s="21"/>
      <c r="V1669" s="21" t="s">
        <v>6730</v>
      </c>
      <c r="Y1669" t="s">
        <v>70</v>
      </c>
      <c r="Z1669" t="s">
        <v>70</v>
      </c>
    </row>
    <row r="1670" spans="1:27" ht="15" hidden="1" customHeight="1">
      <c r="A1670" s="60">
        <f>ROW() - ROW(Table1[[#Headers],[s]])</f>
        <v>1669</v>
      </c>
      <c r="B1670" t="s">
        <v>6731</v>
      </c>
      <c r="C1670" s="163">
        <v>46235</v>
      </c>
      <c r="D1670" s="52" t="s">
        <v>6732</v>
      </c>
      <c r="E1670" t="s">
        <v>328</v>
      </c>
      <c r="F1670" s="18" t="e" vm="49">
        <v>#VALUE!</v>
      </c>
      <c r="G1670" s="43" t="s">
        <v>1057</v>
      </c>
      <c r="H1670" s="18" t="s">
        <v>245</v>
      </c>
      <c r="I1670" t="s">
        <v>43</v>
      </c>
      <c r="J1670" s="18" t="s">
        <v>253</v>
      </c>
      <c r="K1670" s="44" t="s">
        <v>154</v>
      </c>
      <c r="L1670" s="20">
        <v>46253.740972222222</v>
      </c>
      <c r="M1670" s="18" t="s">
        <v>84</v>
      </c>
      <c r="N1670" s="18" t="s">
        <v>84</v>
      </c>
      <c r="O1670" s="20">
        <v>46253.791666666664</v>
      </c>
      <c r="P1670" s="20">
        <v>46253.90625</v>
      </c>
      <c r="Q1670" s="20">
        <v>46253.94027777778</v>
      </c>
      <c r="S1670" s="21" t="s">
        <v>6733</v>
      </c>
      <c r="T1670" s="18" t="s">
        <v>179</v>
      </c>
      <c r="U1670" s="21"/>
      <c r="V1670" s="53" t="s">
        <v>6734</v>
      </c>
      <c r="Y1670" t="s">
        <v>158</v>
      </c>
      <c r="Z1670" t="s">
        <v>70</v>
      </c>
    </row>
    <row r="1671" spans="1:27" ht="15" hidden="1" customHeight="1">
      <c r="A1671" s="60">
        <f>ROW() - ROW(Table1[[#Headers],[s]])</f>
        <v>1670</v>
      </c>
      <c r="B1671" t="s">
        <v>6735</v>
      </c>
      <c r="C1671" s="272">
        <v>46235</v>
      </c>
      <c r="D1671" s="19" t="s">
        <v>6736</v>
      </c>
      <c r="E1671" t="s">
        <v>6737</v>
      </c>
      <c r="F1671" s="18" t="e" vm="11">
        <v>#VALUE!</v>
      </c>
      <c r="G1671" s="43" t="s">
        <v>1057</v>
      </c>
      <c r="H1671" s="18" t="s">
        <v>245</v>
      </c>
      <c r="I1671" t="s">
        <v>43</v>
      </c>
      <c r="J1671" s="18" t="s">
        <v>253</v>
      </c>
      <c r="K1671" s="420" t="s">
        <v>6738</v>
      </c>
      <c r="L1671" s="20">
        <v>46253.879861111112</v>
      </c>
      <c r="M1671" s="18" t="s">
        <v>6739</v>
      </c>
      <c r="N1671" s="18" t="s">
        <v>85</v>
      </c>
      <c r="O1671" s="20">
        <v>46253.965277777781</v>
      </c>
      <c r="P1671" s="20">
        <v>46254.625</v>
      </c>
      <c r="Q1671" s="20">
        <v>46254.680555555555</v>
      </c>
      <c r="R1671" t="s">
        <v>3191</v>
      </c>
      <c r="S1671" s="21" t="s">
        <v>6740</v>
      </c>
      <c r="T1671" s="55" t="s">
        <v>478</v>
      </c>
      <c r="U1671" s="21"/>
      <c r="V1671" s="21" t="s">
        <v>6741</v>
      </c>
      <c r="W1671" t="s">
        <v>6742</v>
      </c>
      <c r="Y1671" t="s">
        <v>70</v>
      </c>
      <c r="Z1671" t="s">
        <v>70</v>
      </c>
    </row>
    <row r="1672" spans="1:27" ht="15" hidden="1" customHeight="1">
      <c r="A1672" s="60">
        <f>ROW() - ROW(Table1[[#Headers],[s]])</f>
        <v>1671</v>
      </c>
      <c r="B1672" t="s">
        <v>6743</v>
      </c>
      <c r="C1672" s="272">
        <v>46235</v>
      </c>
      <c r="D1672" s="19" t="s">
        <v>6744</v>
      </c>
      <c r="E1672" t="s">
        <v>6745</v>
      </c>
      <c r="F1672" s="18" t="e" vm="16">
        <v>#VALUE!</v>
      </c>
      <c r="G1672" s="43" t="s">
        <v>1057</v>
      </c>
      <c r="H1672" s="18" t="s">
        <v>152</v>
      </c>
      <c r="I1672" s="18"/>
      <c r="J1672" s="18" t="s">
        <v>153</v>
      </c>
      <c r="K1672" s="44" t="s">
        <v>154</v>
      </c>
      <c r="L1672" s="20">
        <v>46254.012499999997</v>
      </c>
      <c r="M1672" s="18" t="s">
        <v>58</v>
      </c>
      <c r="N1672" s="18" t="s">
        <v>58</v>
      </c>
      <c r="O1672" s="20"/>
      <c r="P1672" s="20"/>
      <c r="Q1672" s="20">
        <v>46254.378472222219</v>
      </c>
      <c r="S1672" s="21" t="s">
        <v>473</v>
      </c>
      <c r="T1672" s="55" t="s">
        <v>478</v>
      </c>
      <c r="U1672" s="21"/>
      <c r="V1672" s="21" t="s">
        <v>3248</v>
      </c>
      <c r="Y1672" t="s">
        <v>158</v>
      </c>
      <c r="Z1672" t="s">
        <v>158</v>
      </c>
    </row>
    <row r="1673" spans="1:27" ht="15" hidden="1" customHeight="1">
      <c r="A1673" s="60">
        <f>ROW() - ROW(Table1[[#Headers],[s]])</f>
        <v>1672</v>
      </c>
      <c r="B1673" t="s">
        <v>6746</v>
      </c>
      <c r="C1673" s="272">
        <v>46235</v>
      </c>
      <c r="D1673" s="19" t="s">
        <v>6747</v>
      </c>
      <c r="E1673" t="s">
        <v>5347</v>
      </c>
      <c r="F1673" s="18" t="e" vm="12">
        <v>#VALUE!</v>
      </c>
      <c r="G1673" s="43" t="s">
        <v>1057</v>
      </c>
      <c r="H1673" s="18" t="s">
        <v>152</v>
      </c>
      <c r="I1673" s="18"/>
      <c r="J1673" s="18" t="s">
        <v>153</v>
      </c>
      <c r="K1673" s="44" t="s">
        <v>154</v>
      </c>
      <c r="L1673" s="20">
        <v>46254.020138888889</v>
      </c>
      <c r="M1673" s="18" t="s">
        <v>55</v>
      </c>
      <c r="N1673" s="18" t="s">
        <v>55</v>
      </c>
      <c r="O1673" s="20">
        <v>46254.541666666664</v>
      </c>
      <c r="P1673" s="20">
        <v>46254.666666666664</v>
      </c>
      <c r="Q1673" s="20">
        <v>46254.680555555555</v>
      </c>
      <c r="R1673" t="s">
        <v>3220</v>
      </c>
      <c r="S1673" s="21" t="s">
        <v>6748</v>
      </c>
      <c r="T1673" s="18" t="s">
        <v>179</v>
      </c>
      <c r="U1673" s="21"/>
      <c r="V1673" s="21" t="s">
        <v>6749</v>
      </c>
      <c r="W1673" t="s">
        <v>6750</v>
      </c>
      <c r="Y1673" t="s">
        <v>158</v>
      </c>
      <c r="Z1673" t="s">
        <v>70</v>
      </c>
      <c r="AA1673" t="s">
        <v>6751</v>
      </c>
    </row>
    <row r="1674" spans="1:27" ht="15" hidden="1" customHeight="1">
      <c r="A1674" s="60">
        <f>ROW() - ROW(Table1[[#Headers],[s]])</f>
        <v>1673</v>
      </c>
      <c r="B1674" t="s">
        <v>6752</v>
      </c>
      <c r="C1674" s="272">
        <v>46235</v>
      </c>
      <c r="D1674" s="19" t="s">
        <v>6753</v>
      </c>
      <c r="E1674" t="s">
        <v>6003</v>
      </c>
      <c r="F1674" s="18" t="e" vm="26">
        <v>#VALUE!</v>
      </c>
      <c r="G1674" s="43" t="s">
        <v>174</v>
      </c>
      <c r="H1674" s="18" t="s">
        <v>152</v>
      </c>
      <c r="I1674" s="18"/>
      <c r="J1674" s="18" t="s">
        <v>153</v>
      </c>
      <c r="K1674" s="44" t="s">
        <v>154</v>
      </c>
      <c r="L1674" s="20">
        <v>46254.305555555555</v>
      </c>
      <c r="M1674" s="18" t="s">
        <v>1023</v>
      </c>
      <c r="N1674" s="18" t="s">
        <v>1023</v>
      </c>
      <c r="O1674" s="3"/>
      <c r="P1674" s="22"/>
      <c r="Q1674" s="20">
        <v>46254.427083333336</v>
      </c>
      <c r="S1674" s="21" t="s">
        <v>6754</v>
      </c>
      <c r="T1674" s="55" t="s">
        <v>478</v>
      </c>
      <c r="U1674" s="21"/>
      <c r="V1674" s="21" t="s">
        <v>6755</v>
      </c>
      <c r="Y1674" t="s">
        <v>158</v>
      </c>
      <c r="Z1674" t="s">
        <v>70</v>
      </c>
    </row>
    <row r="1675" spans="1:27" s="24" customFormat="1" ht="15" hidden="1" customHeight="1">
      <c r="A1675" s="60">
        <f>ROW() - ROW(Table1[[#Headers],[s]])</f>
        <v>1674</v>
      </c>
      <c r="B1675" s="24" t="s">
        <v>6756</v>
      </c>
      <c r="C1675" s="366">
        <v>46235</v>
      </c>
      <c r="D1675" s="242" t="s">
        <v>6757</v>
      </c>
      <c r="E1675" s="24" t="s">
        <v>6758</v>
      </c>
      <c r="F1675" s="259" t="e" vm="25">
        <v>#VALUE!</v>
      </c>
      <c r="G1675" s="90" t="s">
        <v>174</v>
      </c>
      <c r="H1675" s="259" t="s">
        <v>152</v>
      </c>
      <c r="I1675" s="259"/>
      <c r="J1675" s="259" t="s">
        <v>153</v>
      </c>
      <c r="K1675" s="142" t="s">
        <v>6407</v>
      </c>
      <c r="L1675" s="258">
        <v>46254.597222222219</v>
      </c>
      <c r="M1675" s="259" t="s">
        <v>72</v>
      </c>
      <c r="N1675" s="259" t="s">
        <v>1499</v>
      </c>
      <c r="O1675" s="344"/>
      <c r="P1675" s="346"/>
      <c r="Q1675" s="258">
        <v>46254.729166666664</v>
      </c>
      <c r="S1675" s="345" t="s">
        <v>6759</v>
      </c>
      <c r="T1675" s="259" t="s">
        <v>164</v>
      </c>
      <c r="U1675" s="345"/>
      <c r="V1675" s="345" t="s">
        <v>6760</v>
      </c>
      <c r="Y1675" s="24" t="s">
        <v>158</v>
      </c>
      <c r="Z1675" s="24" t="s">
        <v>203</v>
      </c>
    </row>
    <row r="1676" spans="1:27" ht="15" hidden="1" customHeight="1">
      <c r="A1676" s="60">
        <f>ROW() - ROW(Table1[[#Headers],[s]])</f>
        <v>1675</v>
      </c>
      <c r="B1676" t="s">
        <v>4321</v>
      </c>
      <c r="C1676" s="272">
        <v>46235</v>
      </c>
      <c r="D1676" s="19" t="s">
        <v>6761</v>
      </c>
      <c r="E1676" t="s">
        <v>6762</v>
      </c>
      <c r="F1676" s="18" t="e" vm="7">
        <v>#VALUE!</v>
      </c>
      <c r="G1676" s="43" t="s">
        <v>36</v>
      </c>
      <c r="H1676" s="18" t="s">
        <v>152</v>
      </c>
      <c r="I1676" s="18" t="s">
        <v>43</v>
      </c>
      <c r="J1676" s="18" t="s">
        <v>153</v>
      </c>
      <c r="K1676" s="20" t="s">
        <v>154</v>
      </c>
      <c r="L1676" s="20">
        <v>46254.697916666664</v>
      </c>
      <c r="M1676" s="18" t="s">
        <v>68</v>
      </c>
      <c r="N1676" s="18" t="s">
        <v>68</v>
      </c>
      <c r="O1676" s="3"/>
      <c r="P1676" s="22"/>
      <c r="Q1676" s="22">
        <v>46255.505555555559</v>
      </c>
      <c r="S1676" s="21" t="s">
        <v>598</v>
      </c>
      <c r="T1676" s="18" t="s">
        <v>164</v>
      </c>
      <c r="U1676" s="21"/>
      <c r="V1676" s="21" t="s">
        <v>6763</v>
      </c>
      <c r="Y1676" t="s">
        <v>158</v>
      </c>
      <c r="Z1676" t="s">
        <v>203</v>
      </c>
    </row>
    <row r="1677" spans="1:27" ht="15" hidden="1" customHeight="1">
      <c r="A1677" s="60">
        <f>ROW() - ROW(Table1[[#Headers],[s]])</f>
        <v>1676</v>
      </c>
      <c r="B1677" t="s">
        <v>6764</v>
      </c>
      <c r="C1677" s="272">
        <v>46235</v>
      </c>
      <c r="D1677" s="19" t="s">
        <v>6765</v>
      </c>
      <c r="E1677" t="s">
        <v>6648</v>
      </c>
      <c r="F1677" s="18" t="e" vm="5">
        <v>#VALUE!</v>
      </c>
      <c r="G1677" s="43" t="s">
        <v>174</v>
      </c>
      <c r="H1677" s="18" t="s">
        <v>747</v>
      </c>
      <c r="I1677" s="18"/>
      <c r="J1677" s="18" t="s">
        <v>253</v>
      </c>
      <c r="K1677" s="44" t="s">
        <v>154</v>
      </c>
      <c r="L1677" s="20">
        <v>46254.584722222222</v>
      </c>
      <c r="M1677" s="18" t="s">
        <v>55</v>
      </c>
      <c r="N1677" s="18" t="s">
        <v>55</v>
      </c>
      <c r="O1677" s="3"/>
      <c r="P1677" s="22"/>
      <c r="Q1677" s="22">
        <v>46254.911111111112</v>
      </c>
      <c r="S1677" s="21" t="s">
        <v>6766</v>
      </c>
      <c r="T1677" s="55" t="s">
        <v>478</v>
      </c>
      <c r="U1677" s="21"/>
      <c r="V1677" s="21" t="s">
        <v>6767</v>
      </c>
      <c r="Y1677" t="s">
        <v>158</v>
      </c>
      <c r="Z1677" t="s">
        <v>70</v>
      </c>
    </row>
    <row r="1678" spans="1:27" ht="15" hidden="1" customHeight="1">
      <c r="A1678" s="60">
        <f>ROW() - ROW(Table1[[#Headers],[s]])</f>
        <v>1677</v>
      </c>
      <c r="B1678" t="s">
        <v>6768</v>
      </c>
      <c r="C1678" s="272">
        <v>46235</v>
      </c>
      <c r="D1678" s="19" t="s">
        <v>6769</v>
      </c>
      <c r="E1678" t="s">
        <v>6417</v>
      </c>
      <c r="F1678" s="18" t="e" vm="35">
        <v>#VALUE!</v>
      </c>
      <c r="G1678" s="43" t="s">
        <v>36</v>
      </c>
      <c r="H1678" s="18" t="s">
        <v>747</v>
      </c>
      <c r="I1678" t="s">
        <v>43</v>
      </c>
      <c r="J1678" s="18" t="s">
        <v>253</v>
      </c>
      <c r="K1678" s="44" t="s">
        <v>154</v>
      </c>
      <c r="L1678" s="20">
        <v>46254.719444444447</v>
      </c>
      <c r="M1678" s="18" t="s">
        <v>85</v>
      </c>
      <c r="N1678" s="18" t="s">
        <v>85</v>
      </c>
      <c r="O1678" s="3"/>
      <c r="P1678" s="22"/>
      <c r="Q1678" s="22">
        <v>46255.54583333333</v>
      </c>
      <c r="S1678" s="21" t="s">
        <v>6770</v>
      </c>
      <c r="T1678" s="18" t="s">
        <v>50</v>
      </c>
      <c r="U1678" s="21"/>
      <c r="V1678" s="21" t="s">
        <v>776</v>
      </c>
      <c r="Y1678" t="s">
        <v>70</v>
      </c>
      <c r="Z1678" t="s">
        <v>52</v>
      </c>
    </row>
    <row r="1679" spans="1:27" ht="15" hidden="1" customHeight="1">
      <c r="A1679" s="60">
        <f>ROW() - ROW(Table1[[#Headers],[s]])</f>
        <v>1678</v>
      </c>
      <c r="B1679" s="223" t="s">
        <v>6771</v>
      </c>
      <c r="C1679" s="272">
        <v>46235</v>
      </c>
      <c r="D1679" s="19" t="s">
        <v>6772</v>
      </c>
      <c r="E1679" t="s">
        <v>6709</v>
      </c>
      <c r="F1679" s="18" t="e" vm="37">
        <v>#VALUE!</v>
      </c>
      <c r="G1679" s="43" t="s">
        <v>174</v>
      </c>
      <c r="H1679" s="18" t="s">
        <v>152</v>
      </c>
      <c r="I1679" s="18"/>
      <c r="J1679" s="18" t="s">
        <v>153</v>
      </c>
      <c r="K1679" s="44" t="s">
        <v>154</v>
      </c>
      <c r="L1679" s="20">
        <v>46254.654861111114</v>
      </c>
      <c r="M1679" s="18" t="s">
        <v>1023</v>
      </c>
      <c r="N1679" s="18" t="s">
        <v>1023</v>
      </c>
      <c r="O1679" s="3"/>
      <c r="P1679" s="22"/>
      <c r="Q1679" s="20">
        <v>46254.770833333336</v>
      </c>
      <c r="S1679" s="21" t="s">
        <v>6773</v>
      </c>
      <c r="T1679" s="55" t="s">
        <v>478</v>
      </c>
      <c r="U1679" s="21"/>
      <c r="V1679" s="21" t="s">
        <v>6774</v>
      </c>
      <c r="Y1679" t="s">
        <v>158</v>
      </c>
      <c r="Z1679" t="s">
        <v>70</v>
      </c>
    </row>
    <row r="1680" spans="1:27" ht="15" hidden="1" customHeight="1">
      <c r="A1680" s="60">
        <f>ROW() - ROW(Table1[[#Headers],[s]])</f>
        <v>1679</v>
      </c>
      <c r="B1680" s="223" t="s">
        <v>6775</v>
      </c>
      <c r="C1680" s="272">
        <v>46235</v>
      </c>
      <c r="D1680" s="19" t="s">
        <v>6776</v>
      </c>
      <c r="E1680" t="s">
        <v>6777</v>
      </c>
      <c r="F1680" s="18" t="e" vm="5">
        <v>#VALUE!</v>
      </c>
      <c r="G1680" s="43" t="s">
        <v>174</v>
      </c>
      <c r="H1680" s="18" t="s">
        <v>152</v>
      </c>
      <c r="I1680" s="18"/>
      <c r="J1680" s="18" t="s">
        <v>153</v>
      </c>
      <c r="K1680" s="44" t="s">
        <v>154</v>
      </c>
      <c r="L1680" s="20">
        <v>46254.418749999997</v>
      </c>
      <c r="M1680" s="18" t="s">
        <v>55</v>
      </c>
      <c r="N1680" s="18" t="s">
        <v>55</v>
      </c>
      <c r="O1680" s="3"/>
      <c r="P1680" s="22"/>
      <c r="Q1680" s="20">
        <v>46254.541666666664</v>
      </c>
      <c r="S1680" s="21" t="s">
        <v>6778</v>
      </c>
      <c r="T1680" s="55" t="s">
        <v>478</v>
      </c>
      <c r="U1680" s="21"/>
      <c r="V1680" s="21" t="s">
        <v>2501</v>
      </c>
      <c r="Y1680" t="s">
        <v>158</v>
      </c>
      <c r="Z1680" t="s">
        <v>158</v>
      </c>
    </row>
    <row r="1681" spans="1:26" ht="15" hidden="1" customHeight="1">
      <c r="A1681" s="60">
        <f>ROW() - ROW(Table1[[#Headers],[s]])</f>
        <v>1680</v>
      </c>
      <c r="B1681" s="305" t="s">
        <v>6779</v>
      </c>
      <c r="C1681" s="272">
        <v>46235</v>
      </c>
      <c r="D1681" s="19" t="s">
        <v>6780</v>
      </c>
      <c r="E1681" t="s">
        <v>6056</v>
      </c>
      <c r="F1681" s="18" t="e" vm="21">
        <v>#VALUE!</v>
      </c>
      <c r="G1681" s="43" t="s">
        <v>174</v>
      </c>
      <c r="H1681" s="18" t="s">
        <v>152</v>
      </c>
      <c r="I1681" s="18"/>
      <c r="J1681" s="18" t="s">
        <v>153</v>
      </c>
      <c r="K1681" s="44" t="s">
        <v>154</v>
      </c>
      <c r="L1681" s="20">
        <v>46254.417361111111</v>
      </c>
      <c r="M1681" s="18" t="s">
        <v>6781</v>
      </c>
      <c r="N1681" s="18" t="s">
        <v>6781</v>
      </c>
      <c r="O1681" s="3"/>
      <c r="P1681" s="22"/>
      <c r="Q1681" s="20">
        <v>46254.583333333336</v>
      </c>
      <c r="S1681" s="21" t="s">
        <v>1063</v>
      </c>
      <c r="T1681" s="18" t="s">
        <v>516</v>
      </c>
      <c r="U1681" s="21"/>
      <c r="V1681" s="21" t="s">
        <v>6782</v>
      </c>
      <c r="Y1681" t="s">
        <v>158</v>
      </c>
      <c r="Z1681" t="s">
        <v>70</v>
      </c>
    </row>
    <row r="1682" spans="1:26" ht="15" hidden="1" customHeight="1">
      <c r="A1682" s="60">
        <f>ROW() - ROW(Table1[[#Headers],[s]])</f>
        <v>1681</v>
      </c>
      <c r="B1682" s="223" t="s">
        <v>6783</v>
      </c>
      <c r="C1682" s="272">
        <v>46235</v>
      </c>
      <c r="D1682" s="19" t="s">
        <v>6784</v>
      </c>
      <c r="E1682" t="s">
        <v>5301</v>
      </c>
      <c r="F1682" s="18" t="e" vm="16">
        <v>#VALUE!</v>
      </c>
      <c r="G1682" s="43" t="s">
        <v>174</v>
      </c>
      <c r="H1682" s="18" t="s">
        <v>152</v>
      </c>
      <c r="I1682" s="18"/>
      <c r="J1682" s="18" t="s">
        <v>153</v>
      </c>
      <c r="K1682" s="44" t="s">
        <v>154</v>
      </c>
      <c r="L1682" s="20">
        <v>46254.415277777778</v>
      </c>
      <c r="M1682" s="18" t="s">
        <v>58</v>
      </c>
      <c r="N1682" s="18" t="s">
        <v>58</v>
      </c>
      <c r="O1682" s="3"/>
      <c r="P1682" s="22"/>
      <c r="Q1682" s="20">
        <v>46254.520833333336</v>
      </c>
      <c r="S1682" s="21" t="s">
        <v>6785</v>
      </c>
      <c r="T1682" s="55" t="s">
        <v>478</v>
      </c>
      <c r="U1682" s="21"/>
      <c r="V1682" s="21" t="s">
        <v>930</v>
      </c>
      <c r="Y1682" t="s">
        <v>158</v>
      </c>
      <c r="Z1682" t="s">
        <v>70</v>
      </c>
    </row>
    <row r="1683" spans="1:26" ht="15" hidden="1" customHeight="1">
      <c r="A1683" s="60">
        <f>ROW() - ROW(Table1[[#Headers],[s]])</f>
        <v>1682</v>
      </c>
      <c r="B1683" t="s">
        <v>6786</v>
      </c>
      <c r="C1683" s="272">
        <v>46235</v>
      </c>
      <c r="D1683" s="19" t="s">
        <v>6787</v>
      </c>
      <c r="E1683" t="s">
        <v>6788</v>
      </c>
      <c r="F1683" s="18" t="e" vm="39">
        <v>#VALUE!</v>
      </c>
      <c r="G1683" s="43" t="s">
        <v>36</v>
      </c>
      <c r="H1683" s="18" t="s">
        <v>747</v>
      </c>
      <c r="I1683" s="18" t="s">
        <v>43</v>
      </c>
      <c r="J1683" s="18" t="s">
        <v>253</v>
      </c>
      <c r="K1683" s="44" t="s">
        <v>154</v>
      </c>
      <c r="L1683" s="20">
        <v>46255.018750000003</v>
      </c>
      <c r="M1683" s="18" t="s">
        <v>3190</v>
      </c>
      <c r="N1683" s="18" t="s">
        <v>3190</v>
      </c>
      <c r="O1683" s="3"/>
      <c r="P1683" s="22"/>
      <c r="Q1683" s="22">
        <v>46255.663888888892</v>
      </c>
      <c r="S1683" s="21" t="s">
        <v>1994</v>
      </c>
      <c r="T1683" s="55" t="s">
        <v>478</v>
      </c>
      <c r="U1683" s="21"/>
      <c r="V1683" s="21" t="s">
        <v>6789</v>
      </c>
      <c r="Y1683" t="s">
        <v>70</v>
      </c>
      <c r="Z1683" t="s">
        <v>52</v>
      </c>
    </row>
    <row r="1684" spans="1:26" ht="15" hidden="1" customHeight="1">
      <c r="A1684" s="60">
        <f>ROW() - ROW(Table1[[#Headers],[s]])</f>
        <v>1683</v>
      </c>
      <c r="B1684" t="s">
        <v>6790</v>
      </c>
      <c r="C1684" s="272">
        <v>46235</v>
      </c>
      <c r="D1684" s="19" t="s">
        <v>6791</v>
      </c>
      <c r="E1684" t="s">
        <v>6792</v>
      </c>
      <c r="F1684" s="18" t="e" vm="5">
        <v>#VALUE!</v>
      </c>
      <c r="G1684" s="43" t="s">
        <v>36</v>
      </c>
      <c r="H1684" s="18" t="s">
        <v>152</v>
      </c>
      <c r="I1684" t="s">
        <v>43</v>
      </c>
      <c r="J1684" s="18" t="s">
        <v>153</v>
      </c>
      <c r="K1684" s="20" t="s">
        <v>154</v>
      </c>
      <c r="L1684" s="20">
        <v>46255.429166666669</v>
      </c>
      <c r="M1684" s="18" t="s">
        <v>55</v>
      </c>
      <c r="N1684" s="18" t="s">
        <v>55</v>
      </c>
      <c r="O1684" s="3"/>
      <c r="P1684" s="22"/>
      <c r="Q1684" s="22">
        <v>46255.680555555555</v>
      </c>
      <c r="S1684" s="21" t="s">
        <v>6793</v>
      </c>
      <c r="T1684" s="18" t="s">
        <v>164</v>
      </c>
      <c r="U1684" s="21"/>
      <c r="V1684" s="21" t="s">
        <v>6794</v>
      </c>
      <c r="Y1684" t="s">
        <v>158</v>
      </c>
      <c r="Z1684" t="s">
        <v>70</v>
      </c>
    </row>
    <row r="1685" spans="1:26" ht="15" hidden="1" customHeight="1">
      <c r="A1685" s="60">
        <f>ROW() - ROW(Table1[[#Headers],[s]])</f>
        <v>1684</v>
      </c>
      <c r="B1685" t="s">
        <v>6795</v>
      </c>
      <c r="C1685" s="272">
        <v>46235</v>
      </c>
      <c r="D1685" s="19" t="s">
        <v>6796</v>
      </c>
      <c r="E1685" t="s">
        <v>6797</v>
      </c>
      <c r="F1685" s="18" t="e" vm="23">
        <v>#VALUE!</v>
      </c>
      <c r="G1685" s="43" t="s">
        <v>36</v>
      </c>
      <c r="H1685" s="18" t="s">
        <v>152</v>
      </c>
      <c r="I1685" t="s">
        <v>43</v>
      </c>
      <c r="J1685" s="18" t="s">
        <v>153</v>
      </c>
      <c r="K1685" s="20" t="s">
        <v>154</v>
      </c>
      <c r="L1685" s="20">
        <v>46255.429861111108</v>
      </c>
      <c r="M1685" s="18" t="s">
        <v>58</v>
      </c>
      <c r="N1685" s="18" t="s">
        <v>58</v>
      </c>
      <c r="O1685" s="3"/>
      <c r="P1685" s="22"/>
      <c r="Q1685" s="22">
        <v>46255.583333333336</v>
      </c>
      <c r="S1685" s="21" t="s">
        <v>6798</v>
      </c>
      <c r="T1685" s="18" t="s">
        <v>164</v>
      </c>
      <c r="U1685" s="21"/>
      <c r="V1685" s="21" t="s">
        <v>6799</v>
      </c>
      <c r="Y1685" t="s">
        <v>158</v>
      </c>
      <c r="Z1685" t="s">
        <v>70</v>
      </c>
    </row>
    <row r="1686" spans="1:26" ht="15" hidden="1" customHeight="1">
      <c r="A1686" s="60">
        <f>ROW() - ROW(Table1[[#Headers],[s]])</f>
        <v>1685</v>
      </c>
      <c r="B1686" t="s">
        <v>6800</v>
      </c>
      <c r="C1686" s="272">
        <v>46235</v>
      </c>
      <c r="D1686" s="19" t="s">
        <v>6801</v>
      </c>
      <c r="E1686" t="s">
        <v>6802</v>
      </c>
      <c r="F1686" s="18" t="e" vm="25">
        <v>#VALUE!</v>
      </c>
      <c r="G1686" s="43" t="s">
        <v>36</v>
      </c>
      <c r="H1686" s="18" t="s">
        <v>152</v>
      </c>
      <c r="I1686" s="18" t="s">
        <v>43</v>
      </c>
      <c r="J1686" s="18" t="s">
        <v>268</v>
      </c>
      <c r="K1686" s="20" t="s">
        <v>154</v>
      </c>
      <c r="L1686" s="20">
        <v>46255.475694444445</v>
      </c>
      <c r="M1686" s="18" t="s">
        <v>53</v>
      </c>
      <c r="N1686" s="18" t="s">
        <v>53</v>
      </c>
      <c r="O1686" s="3"/>
      <c r="P1686" s="22"/>
      <c r="Q1686" s="22">
        <v>46255.625</v>
      </c>
      <c r="S1686" s="21" t="s">
        <v>6803</v>
      </c>
      <c r="T1686" s="18" t="s">
        <v>164</v>
      </c>
      <c r="U1686" s="21"/>
      <c r="V1686" s="21" t="s">
        <v>6804</v>
      </c>
      <c r="Y1686" t="s">
        <v>158</v>
      </c>
      <c r="Z1686" t="s">
        <v>158</v>
      </c>
    </row>
    <row r="1687" spans="1:26" ht="15" hidden="1" customHeight="1">
      <c r="A1687" s="60">
        <f>ROW() - ROW(Table1[[#Headers],[s]])</f>
        <v>1686</v>
      </c>
      <c r="B1687" t="s">
        <v>6805</v>
      </c>
      <c r="C1687" s="272">
        <v>46235</v>
      </c>
      <c r="D1687" s="19" t="s">
        <v>6806</v>
      </c>
      <c r="E1687" t="s">
        <v>226</v>
      </c>
      <c r="F1687" s="18" t="e" vm="17">
        <v>#VALUE!</v>
      </c>
      <c r="G1687" s="43" t="s">
        <v>174</v>
      </c>
      <c r="H1687" s="18" t="s">
        <v>152</v>
      </c>
      <c r="I1687" s="18"/>
      <c r="J1687" s="18" t="s">
        <v>153</v>
      </c>
      <c r="K1687" s="20" t="s">
        <v>154</v>
      </c>
      <c r="L1687" s="20">
        <v>46255.518750000003</v>
      </c>
      <c r="M1687" s="18" t="s">
        <v>6257</v>
      </c>
      <c r="N1687" s="18" t="s">
        <v>6257</v>
      </c>
      <c r="O1687" s="3"/>
      <c r="P1687" s="22"/>
      <c r="Q1687" s="22">
        <v>46255.666666666664</v>
      </c>
      <c r="S1687" s="21" t="s">
        <v>2135</v>
      </c>
      <c r="T1687" s="18" t="s">
        <v>164</v>
      </c>
      <c r="U1687" s="21"/>
      <c r="V1687" s="21" t="s">
        <v>6807</v>
      </c>
      <c r="Y1687" t="s">
        <v>158</v>
      </c>
      <c r="Z1687" t="s">
        <v>158</v>
      </c>
    </row>
    <row r="1688" spans="1:26" ht="15" hidden="1" customHeight="1">
      <c r="A1688" s="60">
        <f>ROW() - ROW(Table1[[#Headers],[s]])</f>
        <v>1687</v>
      </c>
      <c r="B1688" t="s">
        <v>1605</v>
      </c>
      <c r="C1688" s="272">
        <v>46235</v>
      </c>
      <c r="D1688" s="19" t="s">
        <v>6808</v>
      </c>
      <c r="E1688" t="s">
        <v>6809</v>
      </c>
      <c r="F1688" s="18" t="e" vm="30">
        <v>#VALUE!</v>
      </c>
      <c r="G1688" s="43" t="s">
        <v>36</v>
      </c>
      <c r="H1688" s="18" t="s">
        <v>152</v>
      </c>
      <c r="I1688" t="s">
        <v>43</v>
      </c>
      <c r="J1688" s="18" t="s">
        <v>153</v>
      </c>
      <c r="K1688" s="20" t="s">
        <v>154</v>
      </c>
      <c r="L1688" s="20">
        <v>46255.527083333334</v>
      </c>
      <c r="M1688" s="18" t="s">
        <v>466</v>
      </c>
      <c r="N1688" s="18" t="s">
        <v>466</v>
      </c>
      <c r="O1688" s="3"/>
      <c r="P1688" s="22"/>
      <c r="Q1688" s="22">
        <v>46255.583333333336</v>
      </c>
      <c r="S1688" s="21" t="s">
        <v>2580</v>
      </c>
      <c r="T1688" s="18" t="s">
        <v>478</v>
      </c>
      <c r="U1688" s="21"/>
      <c r="V1688" s="21" t="s">
        <v>6810</v>
      </c>
      <c r="Y1688" t="s">
        <v>158</v>
      </c>
      <c r="Z1688" t="s">
        <v>70</v>
      </c>
    </row>
    <row r="1689" spans="1:26" ht="15" hidden="1" customHeight="1">
      <c r="A1689" s="60">
        <f>ROW() - ROW(Table1[[#Headers],[s]])</f>
        <v>1688</v>
      </c>
      <c r="B1689" t="s">
        <v>6811</v>
      </c>
      <c r="C1689" s="163">
        <v>46235</v>
      </c>
      <c r="D1689" s="52" t="s">
        <v>6812</v>
      </c>
      <c r="E1689" t="s">
        <v>6253</v>
      </c>
      <c r="F1689" s="5" t="e" vm="37">
        <v>#VALUE!</v>
      </c>
      <c r="G1689" s="43" t="s">
        <v>36</v>
      </c>
      <c r="H1689" s="18" t="s">
        <v>152</v>
      </c>
      <c r="I1689" t="s">
        <v>43</v>
      </c>
      <c r="J1689" s="18" t="s">
        <v>153</v>
      </c>
      <c r="K1689" s="20" t="s">
        <v>154</v>
      </c>
      <c r="L1689" s="44">
        <v>46255.603472222225</v>
      </c>
      <c r="M1689" s="55" t="s">
        <v>1023</v>
      </c>
      <c r="N1689" s="55" t="s">
        <v>1023</v>
      </c>
      <c r="O1689" s="56"/>
      <c r="P1689" s="22"/>
      <c r="Q1689" s="58">
        <v>46255.645833333336</v>
      </c>
      <c r="S1689" s="21" t="s">
        <v>6813</v>
      </c>
      <c r="T1689" s="55" t="s">
        <v>179</v>
      </c>
      <c r="U1689" s="21"/>
      <c r="V1689" s="53" t="s">
        <v>6813</v>
      </c>
      <c r="Y1689" t="s">
        <v>158</v>
      </c>
      <c r="Z1689" t="s">
        <v>70</v>
      </c>
    </row>
    <row r="1690" spans="1:26" ht="15" hidden="1" customHeight="1">
      <c r="A1690" s="60">
        <f>ROW() - ROW(Table1[[#Headers],[s]])</f>
        <v>1689</v>
      </c>
      <c r="B1690" t="s">
        <v>6814</v>
      </c>
      <c r="C1690" s="163">
        <v>46235</v>
      </c>
      <c r="D1690" s="52" t="s">
        <v>6815</v>
      </c>
      <c r="E1690" t="s">
        <v>6667</v>
      </c>
      <c r="F1690" s="5" t="e" vm="10">
        <v>#VALUE!</v>
      </c>
      <c r="G1690" s="43" t="s">
        <v>174</v>
      </c>
      <c r="H1690" s="18" t="s">
        <v>152</v>
      </c>
      <c r="I1690" s="18"/>
      <c r="J1690" s="18" t="s">
        <v>153</v>
      </c>
      <c r="K1690" s="20" t="s">
        <v>154</v>
      </c>
      <c r="L1690" s="44">
        <v>46255.606944444444</v>
      </c>
      <c r="M1690" s="55" t="s">
        <v>78</v>
      </c>
      <c r="N1690" s="55" t="s">
        <v>78</v>
      </c>
      <c r="O1690" s="56"/>
      <c r="P1690" s="22"/>
      <c r="Q1690" s="58">
        <v>46255.864583333336</v>
      </c>
      <c r="S1690" s="21" t="s">
        <v>6816</v>
      </c>
      <c r="T1690" s="18" t="s">
        <v>478</v>
      </c>
      <c r="U1690" s="21"/>
      <c r="V1690" s="53" t="s">
        <v>6817</v>
      </c>
      <c r="Y1690" t="s">
        <v>158</v>
      </c>
      <c r="Z1690" t="s">
        <v>70</v>
      </c>
    </row>
    <row r="1691" spans="1:26" ht="15" hidden="1" customHeight="1">
      <c r="A1691" s="60">
        <f>ROW() - ROW(Table1[[#Headers],[s]])</f>
        <v>1690</v>
      </c>
      <c r="B1691" t="s">
        <v>6818</v>
      </c>
      <c r="C1691" s="163">
        <v>46235</v>
      </c>
      <c r="D1691" s="52" t="s">
        <v>6819</v>
      </c>
      <c r="E1691" t="s">
        <v>6820</v>
      </c>
      <c r="F1691" s="5" t="e" vm="7">
        <v>#VALUE!</v>
      </c>
      <c r="G1691" s="43" t="s">
        <v>174</v>
      </c>
      <c r="H1691" s="18" t="s">
        <v>152</v>
      </c>
      <c r="I1691" s="18"/>
      <c r="J1691" s="18" t="s">
        <v>153</v>
      </c>
      <c r="K1691" s="20" t="s">
        <v>154</v>
      </c>
      <c r="L1691" s="44">
        <v>46255.613194444442</v>
      </c>
      <c r="M1691" s="55" t="s">
        <v>6821</v>
      </c>
      <c r="N1691" s="55" t="s">
        <v>6821</v>
      </c>
      <c r="O1691" s="56"/>
      <c r="P1691" s="22"/>
      <c r="Q1691" s="58">
        <v>46255.9375</v>
      </c>
      <c r="S1691" s="21" t="s">
        <v>6822</v>
      </c>
      <c r="T1691" s="18" t="s">
        <v>478</v>
      </c>
      <c r="U1691" s="21"/>
      <c r="V1691" s="53" t="s">
        <v>6823</v>
      </c>
      <c r="Y1691" t="s">
        <v>158</v>
      </c>
      <c r="Z1691" t="s">
        <v>70</v>
      </c>
    </row>
    <row r="1692" spans="1:26" ht="15" hidden="1" customHeight="1">
      <c r="A1692" s="60">
        <f>ROW() - ROW(Table1[[#Headers],[s]])</f>
        <v>1691</v>
      </c>
      <c r="B1692" t="s">
        <v>6824</v>
      </c>
      <c r="C1692" s="163">
        <v>46235</v>
      </c>
      <c r="D1692" s="52" t="s">
        <v>6825</v>
      </c>
      <c r="E1692" t="s">
        <v>6826</v>
      </c>
      <c r="F1692" s="18" t="e" vm="30">
        <v>#VALUE!</v>
      </c>
      <c r="G1692" s="43" t="s">
        <v>174</v>
      </c>
      <c r="H1692" s="18" t="s">
        <v>152</v>
      </c>
      <c r="I1692" s="18"/>
      <c r="J1692" s="18" t="s">
        <v>153</v>
      </c>
      <c r="K1692" s="20" t="s">
        <v>154</v>
      </c>
      <c r="L1692" s="44">
        <v>46255.602083333331</v>
      </c>
      <c r="M1692" s="55" t="s">
        <v>1638</v>
      </c>
      <c r="N1692" s="55" t="s">
        <v>1638</v>
      </c>
      <c r="O1692" s="56"/>
      <c r="P1692" s="22"/>
      <c r="Q1692" s="58">
        <v>46257.333333333336</v>
      </c>
      <c r="S1692" s="21" t="s">
        <v>6404</v>
      </c>
      <c r="T1692" s="55" t="s">
        <v>478</v>
      </c>
      <c r="U1692" s="21" t="s">
        <v>6827</v>
      </c>
      <c r="V1692" s="53" t="s">
        <v>183</v>
      </c>
      <c r="Y1692" t="s">
        <v>158</v>
      </c>
      <c r="Z1692" t="s">
        <v>70</v>
      </c>
    </row>
    <row r="1693" spans="1:26" ht="15" hidden="1" customHeight="1">
      <c r="A1693" s="60">
        <f>ROW() - ROW(Table1[[#Headers],[s]])</f>
        <v>1692</v>
      </c>
      <c r="B1693" t="s">
        <v>6828</v>
      </c>
      <c r="C1693" s="163">
        <v>46235</v>
      </c>
      <c r="D1693" s="52" t="s">
        <v>6829</v>
      </c>
      <c r="E1693" s="421" t="s">
        <v>6253</v>
      </c>
      <c r="F1693" s="422" t="e" vm="37">
        <v>#VALUE!</v>
      </c>
      <c r="G1693" s="423" t="s">
        <v>36</v>
      </c>
      <c r="H1693" s="424" t="s">
        <v>152</v>
      </c>
      <c r="I1693" t="s">
        <v>43</v>
      </c>
      <c r="J1693" s="424" t="s">
        <v>153</v>
      </c>
      <c r="K1693" s="425" t="s">
        <v>154</v>
      </c>
      <c r="L1693" s="44">
        <v>46255.616666666669</v>
      </c>
      <c r="M1693" s="55" t="s">
        <v>1023</v>
      </c>
      <c r="N1693" s="55" t="s">
        <v>1023</v>
      </c>
      <c r="O1693" s="56"/>
      <c r="P1693" s="22"/>
      <c r="Q1693" s="58">
        <v>46255.666666666664</v>
      </c>
      <c r="S1693" s="21" t="s">
        <v>6830</v>
      </c>
      <c r="T1693" s="18" t="s">
        <v>478</v>
      </c>
      <c r="U1693" s="21"/>
      <c r="V1693" s="53" t="s">
        <v>6830</v>
      </c>
      <c r="Y1693" t="s">
        <v>158</v>
      </c>
      <c r="Z1693" t="s">
        <v>70</v>
      </c>
    </row>
    <row r="1694" spans="1:26" ht="15" hidden="1" customHeight="1">
      <c r="A1694" s="60">
        <f>ROW() - ROW(Table1[[#Headers],[s]])</f>
        <v>1693</v>
      </c>
      <c r="B1694" t="s">
        <v>6831</v>
      </c>
      <c r="C1694" s="272">
        <v>46235</v>
      </c>
      <c r="D1694" s="19" t="s">
        <v>6832</v>
      </c>
      <c r="E1694" t="s">
        <v>5920</v>
      </c>
      <c r="F1694" s="5" t="e" vm="25">
        <v>#VALUE!</v>
      </c>
      <c r="G1694" s="423" t="s">
        <v>174</v>
      </c>
      <c r="H1694" s="424" t="s">
        <v>152</v>
      </c>
      <c r="I1694" s="424"/>
      <c r="J1694" s="424" t="s">
        <v>153</v>
      </c>
      <c r="K1694" s="425" t="s">
        <v>154</v>
      </c>
      <c r="L1694" s="20">
        <v>46255.68472222222</v>
      </c>
      <c r="M1694" s="18" t="s">
        <v>53</v>
      </c>
      <c r="N1694" s="18" t="s">
        <v>53</v>
      </c>
      <c r="O1694" s="3"/>
      <c r="P1694" s="22"/>
      <c r="Q1694" s="22">
        <v>46255.847222222219</v>
      </c>
      <c r="S1694" s="21" t="s">
        <v>6833</v>
      </c>
      <c r="T1694" s="18" t="s">
        <v>478</v>
      </c>
      <c r="U1694" s="21"/>
      <c r="V1694" s="21" t="s">
        <v>6834</v>
      </c>
      <c r="Y1694" t="s">
        <v>158</v>
      </c>
      <c r="Z1694" t="s">
        <v>70</v>
      </c>
    </row>
    <row r="1695" spans="1:26" ht="15" hidden="1" customHeight="1">
      <c r="A1695" s="60">
        <f>ROW() - ROW(Table1[[#Headers],[s]])</f>
        <v>1694</v>
      </c>
      <c r="B1695" s="240" t="s">
        <v>6835</v>
      </c>
      <c r="C1695" s="23" t="s">
        <v>60</v>
      </c>
      <c r="D1695" s="19" t="s">
        <v>6836</v>
      </c>
      <c r="E1695" t="s">
        <v>226</v>
      </c>
      <c r="F1695" s="18" t="e" vm="17">
        <v>#VALUE!</v>
      </c>
      <c r="G1695" s="43" t="s">
        <v>36</v>
      </c>
      <c r="H1695" s="18" t="s">
        <v>152</v>
      </c>
      <c r="I1695" s="181" t="s">
        <v>60</v>
      </c>
      <c r="J1695" s="18" t="s">
        <v>153</v>
      </c>
      <c r="K1695" s="42" t="s">
        <v>154</v>
      </c>
      <c r="L1695" s="20">
        <v>46255.713888888888</v>
      </c>
      <c r="M1695" s="18" t="s">
        <v>6257</v>
      </c>
      <c r="N1695" s="18"/>
      <c r="O1695" s="3"/>
      <c r="P1695" s="22"/>
      <c r="Q1695" s="22">
        <v>46255.666666666664</v>
      </c>
      <c r="S1695" s="20" t="s">
        <v>6837</v>
      </c>
      <c r="T1695" s="18" t="s">
        <v>179</v>
      </c>
      <c r="U1695" s="21"/>
      <c r="V1695" s="20" t="s">
        <v>6837</v>
      </c>
      <c r="Y1695" t="s">
        <v>179</v>
      </c>
      <c r="Z1695" t="s">
        <v>179</v>
      </c>
    </row>
    <row r="1696" spans="1:26" ht="15" hidden="1" customHeight="1">
      <c r="A1696" s="60">
        <f>ROW() - ROW(Table1[[#Headers],[s]])</f>
        <v>1695</v>
      </c>
      <c r="B1696" s="305" t="s">
        <v>6838</v>
      </c>
      <c r="C1696" s="272">
        <v>46235</v>
      </c>
      <c r="D1696" s="19" t="s">
        <v>6839</v>
      </c>
      <c r="E1696" t="s">
        <v>6840</v>
      </c>
      <c r="F1696" s="18" t="e" vm="2">
        <v>#VALUE!</v>
      </c>
      <c r="G1696" s="43" t="s">
        <v>174</v>
      </c>
      <c r="H1696" s="18" t="s">
        <v>152</v>
      </c>
      <c r="I1696" s="18"/>
      <c r="J1696" s="18" t="s">
        <v>153</v>
      </c>
      <c r="K1696" s="20" t="s">
        <v>154</v>
      </c>
      <c r="L1696" s="20">
        <v>46256.408333333333</v>
      </c>
      <c r="M1696" s="18" t="s">
        <v>162</v>
      </c>
      <c r="N1696" s="18" t="s">
        <v>162</v>
      </c>
      <c r="O1696" s="3"/>
      <c r="P1696" s="22"/>
      <c r="Q1696" s="20">
        <v>46256.53125</v>
      </c>
      <c r="S1696" s="21" t="s">
        <v>6841</v>
      </c>
      <c r="T1696" s="18" t="s">
        <v>478</v>
      </c>
      <c r="U1696" s="21"/>
      <c r="V1696" s="21" t="s">
        <v>6842</v>
      </c>
      <c r="Y1696" t="s">
        <v>158</v>
      </c>
      <c r="Z1696" t="s">
        <v>158</v>
      </c>
    </row>
    <row r="1697" spans="1:26" ht="15" hidden="1" customHeight="1">
      <c r="A1697" s="60">
        <f>ROW() - ROW(Table1[[#Headers],[s]])</f>
        <v>1696</v>
      </c>
      <c r="B1697" s="223" t="s">
        <v>6843</v>
      </c>
      <c r="C1697" s="272">
        <v>46235</v>
      </c>
      <c r="D1697" s="19" t="s">
        <v>6844</v>
      </c>
      <c r="E1697" t="s">
        <v>6845</v>
      </c>
      <c r="F1697" s="18" t="e" vm="12">
        <v>#VALUE!</v>
      </c>
      <c r="G1697" s="43" t="s">
        <v>174</v>
      </c>
      <c r="H1697" s="18" t="s">
        <v>152</v>
      </c>
      <c r="I1697" s="18"/>
      <c r="J1697" s="18" t="s">
        <v>153</v>
      </c>
      <c r="K1697" s="20" t="s">
        <v>154</v>
      </c>
      <c r="L1697" s="20">
        <v>46256.466666666667</v>
      </c>
      <c r="M1697" s="18" t="s">
        <v>53</v>
      </c>
      <c r="N1697" s="18" t="s">
        <v>53</v>
      </c>
      <c r="O1697" s="3"/>
      <c r="P1697" s="22"/>
      <c r="Q1697" s="20">
        <v>46256.604166666664</v>
      </c>
      <c r="S1697" s="21" t="s">
        <v>6846</v>
      </c>
      <c r="T1697" s="18" t="s">
        <v>516</v>
      </c>
      <c r="U1697" s="21"/>
      <c r="V1697" s="21" t="s">
        <v>6847</v>
      </c>
      <c r="Y1697" t="s">
        <v>158</v>
      </c>
      <c r="Z1697" t="s">
        <v>70</v>
      </c>
    </row>
    <row r="1698" spans="1:26" ht="15" hidden="1" customHeight="1">
      <c r="A1698" s="60">
        <f>ROW() - ROW(Table1[[#Headers],[s]])</f>
        <v>1697</v>
      </c>
      <c r="B1698" s="223" t="s">
        <v>1605</v>
      </c>
      <c r="C1698" s="163">
        <v>46235</v>
      </c>
      <c r="D1698" s="52" t="s">
        <v>6848</v>
      </c>
      <c r="E1698" t="s">
        <v>6849</v>
      </c>
      <c r="F1698" s="18" t="e" vm="30">
        <v>#VALUE!</v>
      </c>
      <c r="G1698" s="43" t="s">
        <v>174</v>
      </c>
      <c r="H1698" s="18" t="s">
        <v>152</v>
      </c>
      <c r="I1698" s="18"/>
      <c r="J1698" s="18" t="s">
        <v>153</v>
      </c>
      <c r="K1698" s="20" t="s">
        <v>154</v>
      </c>
      <c r="L1698" s="20">
        <v>46256.652083333334</v>
      </c>
      <c r="M1698" s="55" t="s">
        <v>1638</v>
      </c>
      <c r="N1698" s="55" t="s">
        <v>1638</v>
      </c>
      <c r="O1698" s="56"/>
      <c r="P1698" s="22"/>
      <c r="Q1698" s="58">
        <v>46257.354166666664</v>
      </c>
      <c r="S1698" s="21" t="s">
        <v>6404</v>
      </c>
      <c r="T1698" s="55" t="s">
        <v>478</v>
      </c>
      <c r="U1698" s="21"/>
      <c r="V1698" s="53" t="s">
        <v>930</v>
      </c>
      <c r="Y1698" t="s">
        <v>158</v>
      </c>
      <c r="Z1698" t="s">
        <v>70</v>
      </c>
    </row>
    <row r="1699" spans="1:26" ht="15" hidden="1" customHeight="1">
      <c r="A1699" s="60">
        <f>ROW() - ROW(Table1[[#Headers],[s]])</f>
        <v>1698</v>
      </c>
      <c r="B1699" s="223" t="s">
        <v>6850</v>
      </c>
      <c r="C1699" s="163">
        <v>46235</v>
      </c>
      <c r="D1699" s="52" t="s">
        <v>6851</v>
      </c>
      <c r="E1699" t="s">
        <v>6852</v>
      </c>
      <c r="F1699" t="e" vm="30">
        <v>#VALUE!</v>
      </c>
      <c r="G1699" s="43" t="s">
        <v>174</v>
      </c>
      <c r="H1699" s="18" t="s">
        <v>152</v>
      </c>
      <c r="I1699" s="18"/>
      <c r="J1699" s="18" t="s">
        <v>153</v>
      </c>
      <c r="K1699" s="20" t="s">
        <v>154</v>
      </c>
      <c r="L1699" s="20">
        <v>46256.652777777781</v>
      </c>
      <c r="M1699" s="18" t="s">
        <v>85</v>
      </c>
      <c r="N1699" s="18" t="s">
        <v>85</v>
      </c>
      <c r="O1699" s="56"/>
      <c r="P1699" s="22"/>
      <c r="Q1699" s="20">
        <v>46256.8125</v>
      </c>
      <c r="S1699" s="21" t="s">
        <v>6853</v>
      </c>
      <c r="T1699" s="55" t="s">
        <v>478</v>
      </c>
      <c r="U1699" s="21"/>
      <c r="V1699" s="53" t="s">
        <v>2501</v>
      </c>
      <c r="Y1699" t="s">
        <v>158</v>
      </c>
      <c r="Z1699" t="s">
        <v>158</v>
      </c>
    </row>
    <row r="1700" spans="1:26" ht="15" hidden="1" customHeight="1">
      <c r="A1700" s="60">
        <f>ROW() - ROW(Table1[[#Headers],[s]])</f>
        <v>1699</v>
      </c>
      <c r="B1700" s="223" t="s">
        <v>6854</v>
      </c>
      <c r="C1700" s="163">
        <v>46235</v>
      </c>
      <c r="D1700" s="52" t="s">
        <v>6855</v>
      </c>
      <c r="E1700" t="s">
        <v>5233</v>
      </c>
      <c r="F1700" s="18" t="e" vm="10">
        <v>#VALUE!</v>
      </c>
      <c r="G1700" s="43" t="s">
        <v>174</v>
      </c>
      <c r="H1700" s="18" t="s">
        <v>152</v>
      </c>
      <c r="I1700" s="18"/>
      <c r="J1700" s="18" t="s">
        <v>153</v>
      </c>
      <c r="K1700" s="20" t="s">
        <v>154</v>
      </c>
      <c r="L1700" s="20">
        <v>46256.652777777781</v>
      </c>
      <c r="M1700" s="55" t="s">
        <v>78</v>
      </c>
      <c r="N1700" s="55" t="s">
        <v>78</v>
      </c>
      <c r="O1700" s="56"/>
      <c r="P1700" s="22"/>
      <c r="Q1700" s="20">
        <v>46256.743055555555</v>
      </c>
      <c r="S1700" s="21" t="s">
        <v>4728</v>
      </c>
      <c r="T1700" s="55" t="s">
        <v>2765</v>
      </c>
      <c r="U1700" s="21"/>
      <c r="V1700" s="53" t="s">
        <v>4225</v>
      </c>
      <c r="Y1700" t="s">
        <v>158</v>
      </c>
      <c r="Z1700" t="s">
        <v>70</v>
      </c>
    </row>
    <row r="1701" spans="1:26" ht="15" hidden="1" customHeight="1">
      <c r="A1701" s="60">
        <f>ROW() - ROW(Table1[[#Headers],[s]])</f>
        <v>1700</v>
      </c>
      <c r="B1701" s="223" t="s">
        <v>6856</v>
      </c>
      <c r="C1701" s="163">
        <v>46235</v>
      </c>
      <c r="D1701" s="52" t="s">
        <v>6857</v>
      </c>
      <c r="E1701" t="s">
        <v>5233</v>
      </c>
      <c r="F1701" s="18" t="e" vm="10">
        <v>#VALUE!</v>
      </c>
      <c r="G1701" s="43" t="s">
        <v>174</v>
      </c>
      <c r="H1701" s="18" t="s">
        <v>152</v>
      </c>
      <c r="I1701" s="18"/>
      <c r="J1701" s="18" t="s">
        <v>153</v>
      </c>
      <c r="K1701" s="20" t="s">
        <v>154</v>
      </c>
      <c r="L1701" s="20">
        <v>46256.65347222222</v>
      </c>
      <c r="M1701" s="55" t="s">
        <v>78</v>
      </c>
      <c r="N1701" s="55" t="s">
        <v>78</v>
      </c>
      <c r="O1701" s="56"/>
      <c r="P1701" s="22"/>
      <c r="Q1701" s="20">
        <v>46256.774305555555</v>
      </c>
      <c r="S1701" s="21" t="s">
        <v>6858</v>
      </c>
      <c r="T1701" s="55" t="s">
        <v>164</v>
      </c>
      <c r="U1701" s="21"/>
      <c r="V1701" s="53" t="s">
        <v>6859</v>
      </c>
      <c r="Y1701" t="s">
        <v>158</v>
      </c>
      <c r="Z1701" t="s">
        <v>70</v>
      </c>
    </row>
    <row r="1702" spans="1:26" ht="15" hidden="1" customHeight="1">
      <c r="A1702" s="60">
        <f>ROW() - ROW(Table1[[#Headers],[s]])</f>
        <v>1701</v>
      </c>
      <c r="B1702" t="s">
        <v>6860</v>
      </c>
      <c r="C1702" s="163">
        <v>46235</v>
      </c>
      <c r="D1702" s="52" t="s">
        <v>6861</v>
      </c>
      <c r="E1702" t="s">
        <v>5940</v>
      </c>
      <c r="F1702" s="18" t="e" vm="7">
        <v>#VALUE!</v>
      </c>
      <c r="G1702" s="43" t="s">
        <v>174</v>
      </c>
      <c r="H1702" s="18" t="s">
        <v>747</v>
      </c>
      <c r="I1702" s="18"/>
      <c r="J1702" s="18" t="s">
        <v>253</v>
      </c>
      <c r="K1702" s="20" t="s">
        <v>154</v>
      </c>
      <c r="L1702" s="20">
        <v>46256.705555555556</v>
      </c>
      <c r="M1702" s="18" t="s">
        <v>85</v>
      </c>
      <c r="N1702" s="18" t="s">
        <v>85</v>
      </c>
      <c r="O1702" s="56"/>
      <c r="P1702" s="22"/>
      <c r="Q1702" s="20">
        <v>46257.757638888892</v>
      </c>
      <c r="S1702" s="21" t="s">
        <v>6862</v>
      </c>
      <c r="T1702" s="55" t="s">
        <v>4685</v>
      </c>
      <c r="U1702" s="21"/>
      <c r="V1702" s="53" t="s">
        <v>6863</v>
      </c>
      <c r="Y1702" t="s">
        <v>158</v>
      </c>
      <c r="Z1702" t="s">
        <v>158</v>
      </c>
    </row>
    <row r="1703" spans="1:26" ht="15" hidden="1" customHeight="1">
      <c r="A1703" s="60">
        <f>ROW() - ROW(Table1[[#Headers],[s]])</f>
        <v>1702</v>
      </c>
      <c r="B1703" s="223" t="s">
        <v>6864</v>
      </c>
      <c r="C1703" s="163">
        <v>46235</v>
      </c>
      <c r="D1703" s="52" t="s">
        <v>6865</v>
      </c>
      <c r="E1703" t="s">
        <v>226</v>
      </c>
      <c r="F1703" s="18" t="e" vm="17">
        <v>#VALUE!</v>
      </c>
      <c r="G1703" s="43" t="s">
        <v>151</v>
      </c>
      <c r="H1703" s="18" t="s">
        <v>152</v>
      </c>
      <c r="I1703" s="18"/>
      <c r="J1703" s="18" t="s">
        <v>153</v>
      </c>
      <c r="K1703" s="44" t="s">
        <v>154</v>
      </c>
      <c r="L1703" s="20">
        <v>46257.559027777781</v>
      </c>
      <c r="M1703" s="55" t="s">
        <v>68</v>
      </c>
      <c r="N1703" s="55" t="s">
        <v>68</v>
      </c>
      <c r="O1703" s="56">
        <v>46258.4375</v>
      </c>
      <c r="P1703" s="22">
        <v>46258.4375</v>
      </c>
      <c r="Q1703" s="58">
        <v>46258.479166666664</v>
      </c>
      <c r="S1703" s="21" t="s">
        <v>6866</v>
      </c>
      <c r="T1703" s="55" t="s">
        <v>164</v>
      </c>
      <c r="U1703" s="21"/>
      <c r="V1703" s="53" t="s">
        <v>183</v>
      </c>
      <c r="Y1703" t="s">
        <v>70</v>
      </c>
      <c r="Z1703" t="s">
        <v>70</v>
      </c>
    </row>
    <row r="1704" spans="1:26" ht="15" hidden="1" customHeight="1">
      <c r="A1704" s="60">
        <f>ROW() - ROW(Table1[[#Headers],[s]])</f>
        <v>1703</v>
      </c>
      <c r="B1704" s="223" t="s">
        <v>6867</v>
      </c>
      <c r="C1704" s="163">
        <v>46235</v>
      </c>
      <c r="D1704" s="52" t="s">
        <v>6868</v>
      </c>
      <c r="E1704" t="s">
        <v>6869</v>
      </c>
      <c r="F1704" s="18" t="e" vm="25">
        <v>#VALUE!</v>
      </c>
      <c r="G1704" s="43" t="s">
        <v>174</v>
      </c>
      <c r="H1704" s="18" t="s">
        <v>152</v>
      </c>
      <c r="I1704" s="18"/>
      <c r="J1704" s="18" t="s">
        <v>153</v>
      </c>
      <c r="K1704" s="20" t="s">
        <v>154</v>
      </c>
      <c r="L1704" s="20">
        <v>46257.561805555553</v>
      </c>
      <c r="M1704" s="18" t="s">
        <v>53</v>
      </c>
      <c r="N1704" s="18" t="s">
        <v>53</v>
      </c>
      <c r="O1704" s="56"/>
      <c r="P1704" s="22"/>
      <c r="Q1704" s="20">
        <v>46257.65625</v>
      </c>
      <c r="S1704" s="21" t="s">
        <v>4678</v>
      </c>
      <c r="T1704" s="55" t="s">
        <v>4701</v>
      </c>
      <c r="U1704" s="21"/>
      <c r="V1704" s="53" t="s">
        <v>6870</v>
      </c>
      <c r="Y1704" t="s">
        <v>158</v>
      </c>
      <c r="Z1704" t="s">
        <v>70</v>
      </c>
    </row>
    <row r="1705" spans="1:26" ht="15" hidden="1" customHeight="1">
      <c r="A1705" s="60">
        <f>ROW() - ROW(Table1[[#Headers],[s]])</f>
        <v>1704</v>
      </c>
      <c r="B1705" s="223" t="s">
        <v>6871</v>
      </c>
      <c r="C1705" s="163">
        <v>46235</v>
      </c>
      <c r="D1705" s="52" t="s">
        <v>6872</v>
      </c>
      <c r="E1705" t="s">
        <v>6564</v>
      </c>
      <c r="F1705" s="18" t="e" vm="42">
        <v>#VALUE!</v>
      </c>
      <c r="G1705" s="43" t="s">
        <v>151</v>
      </c>
      <c r="H1705" s="18" t="s">
        <v>152</v>
      </c>
      <c r="I1705" s="18"/>
      <c r="J1705" s="18" t="s">
        <v>153</v>
      </c>
      <c r="K1705" s="44" t="s">
        <v>154</v>
      </c>
      <c r="L1705" s="20">
        <v>46257.412499999999</v>
      </c>
      <c r="M1705" s="55" t="s">
        <v>6433</v>
      </c>
      <c r="N1705" s="55" t="s">
        <v>6433</v>
      </c>
      <c r="O1705" s="56">
        <v>46258.467361111114</v>
      </c>
      <c r="P1705" s="22">
        <v>46258.467361111114</v>
      </c>
      <c r="Q1705" s="58">
        <v>46258.508333333331</v>
      </c>
      <c r="S1705" s="21" t="s">
        <v>6873</v>
      </c>
      <c r="T1705" s="55" t="s">
        <v>478</v>
      </c>
      <c r="U1705" s="21"/>
      <c r="V1705" s="53" t="s">
        <v>6874</v>
      </c>
      <c r="Y1705" t="s">
        <v>70</v>
      </c>
      <c r="Z1705" t="s">
        <v>70</v>
      </c>
    </row>
    <row r="1706" spans="1:26" ht="15" hidden="1" customHeight="1">
      <c r="A1706" s="60">
        <f>ROW() - ROW(Table1[[#Headers],[s]])</f>
        <v>1705</v>
      </c>
      <c r="B1706" t="s">
        <v>6875</v>
      </c>
      <c r="C1706" s="163">
        <v>46235</v>
      </c>
      <c r="D1706" s="52" t="s">
        <v>6876</v>
      </c>
      <c r="E1706" t="s">
        <v>5233</v>
      </c>
      <c r="F1706" s="18" t="e" vm="10">
        <v>#VALUE!</v>
      </c>
      <c r="G1706" s="43" t="s">
        <v>151</v>
      </c>
      <c r="H1706" s="18" t="s">
        <v>152</v>
      </c>
      <c r="I1706" s="18"/>
      <c r="J1706" s="18" t="s">
        <v>153</v>
      </c>
      <c r="K1706" s="44" t="s">
        <v>154</v>
      </c>
      <c r="L1706" s="44">
        <v>46258.380555555559</v>
      </c>
      <c r="M1706" s="55" t="s">
        <v>78</v>
      </c>
      <c r="N1706" s="55" t="s">
        <v>78</v>
      </c>
      <c r="O1706" s="56">
        <v>46258.693055555559</v>
      </c>
      <c r="P1706" s="22">
        <v>46258.699305555558</v>
      </c>
      <c r="Q1706" s="58">
        <v>46258.713194444441</v>
      </c>
      <c r="S1706" s="21" t="s">
        <v>6877</v>
      </c>
      <c r="T1706" s="55" t="s">
        <v>478</v>
      </c>
      <c r="U1706" s="21"/>
      <c r="V1706" s="53" t="s">
        <v>183</v>
      </c>
      <c r="Y1706" t="s">
        <v>158</v>
      </c>
      <c r="Z1706" t="s">
        <v>70</v>
      </c>
    </row>
    <row r="1707" spans="1:26" ht="15" hidden="1" customHeight="1">
      <c r="A1707" s="60">
        <f>ROW() - ROW(Table1[[#Headers],[s]])</f>
        <v>1706</v>
      </c>
      <c r="B1707" t="s">
        <v>6878</v>
      </c>
      <c r="C1707" s="163">
        <v>46235</v>
      </c>
      <c r="D1707" s="52" t="s">
        <v>6879</v>
      </c>
      <c r="E1707" t="s">
        <v>5219</v>
      </c>
      <c r="F1707" s="18" t="e" vm="26">
        <v>#VALUE!</v>
      </c>
      <c r="G1707" s="43" t="s">
        <v>1057</v>
      </c>
      <c r="H1707" s="18" t="s">
        <v>152</v>
      </c>
      <c r="I1707" t="s">
        <v>43</v>
      </c>
      <c r="J1707" s="18" t="s">
        <v>153</v>
      </c>
      <c r="K1707" s="44" t="s">
        <v>154</v>
      </c>
      <c r="L1707" s="44">
        <v>46258.38958333333</v>
      </c>
      <c r="M1707" s="55" t="s">
        <v>59</v>
      </c>
      <c r="N1707" s="55" t="s">
        <v>59</v>
      </c>
      <c r="O1707" s="44">
        <v>46258.6875</v>
      </c>
      <c r="P1707" s="44">
        <v>46258.694444444445</v>
      </c>
      <c r="Q1707" s="44">
        <v>46259.423611111109</v>
      </c>
      <c r="R1707" t="s">
        <v>6880</v>
      </c>
      <c r="S1707" s="21" t="s">
        <v>6881</v>
      </c>
      <c r="T1707" s="55" t="s">
        <v>6882</v>
      </c>
      <c r="U1707" s="21"/>
      <c r="V1707" s="53" t="s">
        <v>6883</v>
      </c>
      <c r="W1707" t="s">
        <v>6884</v>
      </c>
      <c r="Y1707" t="s">
        <v>158</v>
      </c>
      <c r="Z1707" t="s">
        <v>158</v>
      </c>
    </row>
    <row r="1708" spans="1:26" ht="15" hidden="1" customHeight="1">
      <c r="A1708" s="60">
        <f>ROW() - ROW(Table1[[#Headers],[s]])</f>
        <v>1707</v>
      </c>
      <c r="B1708" t="s">
        <v>6885</v>
      </c>
      <c r="C1708" s="163">
        <v>46235</v>
      </c>
      <c r="D1708" s="52" t="s">
        <v>6886</v>
      </c>
      <c r="E1708" t="s">
        <v>5785</v>
      </c>
      <c r="F1708" s="18" t="e" vm="25">
        <v>#VALUE!</v>
      </c>
      <c r="G1708" s="43" t="s">
        <v>151</v>
      </c>
      <c r="H1708" s="18" t="s">
        <v>152</v>
      </c>
      <c r="I1708" s="18"/>
      <c r="J1708" s="18" t="s">
        <v>153</v>
      </c>
      <c r="K1708" s="44" t="s">
        <v>154</v>
      </c>
      <c r="L1708" s="44">
        <v>46258.400000000001</v>
      </c>
      <c r="M1708" s="55" t="s">
        <v>72</v>
      </c>
      <c r="N1708" s="55" t="s">
        <v>72</v>
      </c>
      <c r="O1708" s="56">
        <v>46258.511805555558</v>
      </c>
      <c r="P1708" s="22">
        <v>46258.511805555558</v>
      </c>
      <c r="Q1708" s="58">
        <v>46258.521527777775</v>
      </c>
      <c r="S1708" s="21" t="s">
        <v>6887</v>
      </c>
      <c r="T1708" s="55" t="s">
        <v>3011</v>
      </c>
      <c r="U1708" s="21"/>
      <c r="V1708" s="53" t="s">
        <v>6887</v>
      </c>
      <c r="Y1708" t="s">
        <v>158</v>
      </c>
      <c r="Z1708" t="s">
        <v>70</v>
      </c>
    </row>
    <row r="1709" spans="1:26" ht="15" hidden="1" customHeight="1">
      <c r="A1709" s="60">
        <f>ROW() - ROW(Table1[[#Headers],[s]])</f>
        <v>1708</v>
      </c>
      <c r="B1709" t="s">
        <v>6888</v>
      </c>
      <c r="C1709" s="163">
        <v>46235</v>
      </c>
      <c r="D1709" s="52" t="s">
        <v>6889</v>
      </c>
      <c r="E1709" t="s">
        <v>5761</v>
      </c>
      <c r="F1709" s="18" t="e" vm="2">
        <v>#VALUE!</v>
      </c>
      <c r="G1709" s="43" t="s">
        <v>6890</v>
      </c>
      <c r="H1709" s="18" t="s">
        <v>245</v>
      </c>
      <c r="I1709" s="18"/>
      <c r="J1709" s="18" t="s">
        <v>253</v>
      </c>
      <c r="K1709" s="44" t="s">
        <v>154</v>
      </c>
      <c r="L1709" s="44">
        <v>46258.482638888891</v>
      </c>
      <c r="M1709" s="55" t="s">
        <v>162</v>
      </c>
      <c r="N1709" s="55" t="s">
        <v>162</v>
      </c>
      <c r="O1709" s="56">
        <v>46258.554166666669</v>
      </c>
      <c r="P1709" s="22">
        <v>46258.583333333336</v>
      </c>
      <c r="Q1709" s="22">
        <v>46258.936805555553</v>
      </c>
      <c r="S1709" s="21" t="s">
        <v>6891</v>
      </c>
      <c r="T1709" s="55" t="s">
        <v>6892</v>
      </c>
      <c r="U1709" s="21"/>
      <c r="V1709" s="53" t="s">
        <v>6893</v>
      </c>
      <c r="W1709" t="s">
        <v>6894</v>
      </c>
      <c r="Y1709" t="s">
        <v>70</v>
      </c>
      <c r="Z1709" t="s">
        <v>158</v>
      </c>
    </row>
    <row r="1710" spans="1:26" ht="15" hidden="1" customHeight="1">
      <c r="A1710" s="60">
        <f>ROW() - ROW(Table1[[#Headers],[s]])</f>
        <v>1709</v>
      </c>
      <c r="B1710" t="s">
        <v>6895</v>
      </c>
      <c r="C1710" s="163">
        <v>46235</v>
      </c>
      <c r="D1710" s="52" t="s">
        <v>6896</v>
      </c>
      <c r="E1710" t="s">
        <v>5233</v>
      </c>
      <c r="F1710" s="18" t="e" vm="10">
        <v>#VALUE!</v>
      </c>
      <c r="G1710" s="43" t="s">
        <v>1057</v>
      </c>
      <c r="H1710" s="18" t="s">
        <v>152</v>
      </c>
      <c r="I1710" s="18"/>
      <c r="J1710" s="18" t="s">
        <v>153</v>
      </c>
      <c r="K1710" s="44" t="s">
        <v>154</v>
      </c>
      <c r="L1710" s="44">
        <v>46258.519444444442</v>
      </c>
      <c r="M1710" s="55" t="s">
        <v>78</v>
      </c>
      <c r="N1710" s="55" t="s">
        <v>78</v>
      </c>
      <c r="O1710" s="44">
        <v>46258.708333333336</v>
      </c>
      <c r="P1710" s="44">
        <v>46258.715277777781</v>
      </c>
      <c r="Q1710" s="44">
        <v>46258.729166666664</v>
      </c>
      <c r="S1710" s="21" t="s">
        <v>6897</v>
      </c>
      <c r="T1710" s="18" t="s">
        <v>50</v>
      </c>
      <c r="U1710" s="21"/>
      <c r="V1710" s="53" t="s">
        <v>6898</v>
      </c>
      <c r="Y1710" t="s">
        <v>158</v>
      </c>
      <c r="Z1710" t="s">
        <v>70</v>
      </c>
    </row>
    <row r="1711" spans="1:26" ht="15" hidden="1" customHeight="1">
      <c r="A1711" s="60">
        <f>ROW() - ROW(Table1[[#Headers],[s]])</f>
        <v>1710</v>
      </c>
      <c r="B1711" t="s">
        <v>6899</v>
      </c>
      <c r="C1711" s="163">
        <v>46235</v>
      </c>
      <c r="D1711" s="52" t="s">
        <v>6900</v>
      </c>
      <c r="E1711" t="s">
        <v>5301</v>
      </c>
      <c r="F1711" s="18" t="e" vm="16">
        <v>#VALUE!</v>
      </c>
      <c r="G1711" s="43" t="s">
        <v>36</v>
      </c>
      <c r="H1711" s="18" t="s">
        <v>152</v>
      </c>
      <c r="I1711" t="s">
        <v>43</v>
      </c>
      <c r="J1711" s="18" t="s">
        <v>153</v>
      </c>
      <c r="K1711" s="44" t="s">
        <v>154</v>
      </c>
      <c r="L1711" s="44">
        <v>46258.556944444441</v>
      </c>
      <c r="M1711" s="55" t="s">
        <v>58</v>
      </c>
      <c r="N1711" s="55" t="s">
        <v>58</v>
      </c>
      <c r="O1711" s="56"/>
      <c r="P1711" s="22"/>
      <c r="Q1711" s="58">
        <v>46260.5</v>
      </c>
      <c r="S1711" s="21" t="s">
        <v>6901</v>
      </c>
      <c r="T1711" s="55" t="s">
        <v>478</v>
      </c>
      <c r="U1711" s="21"/>
      <c r="V1711" s="53" t="s">
        <v>6902</v>
      </c>
      <c r="Y1711" t="s">
        <v>70</v>
      </c>
      <c r="Z1711" t="s">
        <v>70</v>
      </c>
    </row>
    <row r="1712" spans="1:26" ht="15" hidden="1" customHeight="1">
      <c r="A1712" s="60">
        <f>ROW() - ROW(Table1[[#Headers],[s]])</f>
        <v>1711</v>
      </c>
      <c r="B1712" t="s">
        <v>6903</v>
      </c>
      <c r="C1712" s="163">
        <v>46235</v>
      </c>
      <c r="D1712" s="52" t="s">
        <v>6904</v>
      </c>
      <c r="E1712" t="s">
        <v>5920</v>
      </c>
      <c r="F1712" s="18" t="e" vm="25">
        <v>#VALUE!</v>
      </c>
      <c r="G1712" s="43" t="s">
        <v>151</v>
      </c>
      <c r="H1712" s="18" t="s">
        <v>152</v>
      </c>
      <c r="I1712" s="18"/>
      <c r="J1712" s="18" t="s">
        <v>153</v>
      </c>
      <c r="K1712" s="44" t="s">
        <v>6905</v>
      </c>
      <c r="L1712" s="44">
        <v>46258.603472222225</v>
      </c>
      <c r="M1712" s="55" t="s">
        <v>72</v>
      </c>
      <c r="N1712" s="55" t="s">
        <v>72</v>
      </c>
      <c r="O1712" s="56">
        <v>46258.587500000001</v>
      </c>
      <c r="P1712" s="22">
        <v>46258.634722222225</v>
      </c>
      <c r="Q1712" s="58">
        <v>46258.665277777778</v>
      </c>
      <c r="S1712" s="21" t="s">
        <v>6906</v>
      </c>
      <c r="T1712" s="55" t="s">
        <v>478</v>
      </c>
      <c r="U1712" s="21"/>
      <c r="V1712" s="53" t="s">
        <v>6907</v>
      </c>
      <c r="Y1712" t="s">
        <v>158</v>
      </c>
      <c r="Z1712" t="s">
        <v>158</v>
      </c>
    </row>
    <row r="1713" spans="1:27" ht="15" hidden="1" customHeight="1">
      <c r="A1713" s="60">
        <f>ROW() - ROW(Table1[[#Headers],[s]])</f>
        <v>1712</v>
      </c>
      <c r="B1713" t="s">
        <v>6908</v>
      </c>
      <c r="C1713" s="163">
        <v>46235</v>
      </c>
      <c r="D1713" s="52" t="s">
        <v>6909</v>
      </c>
      <c r="E1713" t="s">
        <v>304</v>
      </c>
      <c r="F1713" s="18" t="e" vm="1">
        <v>#VALUE!</v>
      </c>
      <c r="G1713" s="43" t="s">
        <v>36</v>
      </c>
      <c r="H1713" s="18" t="s">
        <v>747</v>
      </c>
      <c r="I1713" s="18" t="s">
        <v>43</v>
      </c>
      <c r="J1713" s="18" t="s">
        <v>253</v>
      </c>
      <c r="K1713" s="44" t="s">
        <v>154</v>
      </c>
      <c r="L1713" s="44">
        <v>46258.63958333333</v>
      </c>
      <c r="M1713" s="55" t="s">
        <v>6354</v>
      </c>
      <c r="N1713" s="55" t="s">
        <v>6354</v>
      </c>
      <c r="O1713" s="56"/>
      <c r="P1713" s="22"/>
      <c r="Q1713" s="58">
        <v>46260.836805555555</v>
      </c>
      <c r="S1713" s="21" t="s">
        <v>6910</v>
      </c>
      <c r="T1713" s="55" t="s">
        <v>478</v>
      </c>
      <c r="U1713" s="21"/>
      <c r="V1713" s="53" t="s">
        <v>6911</v>
      </c>
      <c r="Y1713" t="s">
        <v>70</v>
      </c>
      <c r="Z1713" t="s">
        <v>179</v>
      </c>
      <c r="AA1713" t="s">
        <v>6912</v>
      </c>
    </row>
    <row r="1714" spans="1:27" ht="15" hidden="1" customHeight="1">
      <c r="A1714" s="60">
        <f>ROW() - ROW(Table1[[#Headers],[s]])</f>
        <v>1713</v>
      </c>
      <c r="B1714" t="s">
        <v>6913</v>
      </c>
      <c r="C1714" s="163">
        <v>46235</v>
      </c>
      <c r="D1714" s="52" t="s">
        <v>6914</v>
      </c>
      <c r="E1714" t="s">
        <v>6915</v>
      </c>
      <c r="F1714" s="18" t="e" vm="25">
        <v>#VALUE!</v>
      </c>
      <c r="G1714" s="43" t="s">
        <v>151</v>
      </c>
      <c r="H1714" s="18" t="s">
        <v>152</v>
      </c>
      <c r="I1714" s="18"/>
      <c r="J1714" s="18" t="s">
        <v>153</v>
      </c>
      <c r="K1714" s="44" t="s">
        <v>154</v>
      </c>
      <c r="L1714" s="44">
        <v>46258.675694444442</v>
      </c>
      <c r="M1714" s="55" t="s">
        <v>72</v>
      </c>
      <c r="N1714" s="55" t="s">
        <v>72</v>
      </c>
      <c r="O1714" s="56">
        <v>46258.730555555558</v>
      </c>
      <c r="P1714" s="22">
        <v>46258.730555555558</v>
      </c>
      <c r="Q1714" s="58">
        <v>46258.739583333336</v>
      </c>
      <c r="S1714" s="21" t="s">
        <v>6916</v>
      </c>
      <c r="T1714" s="55" t="s">
        <v>2765</v>
      </c>
      <c r="U1714" s="21"/>
      <c r="V1714" s="53" t="s">
        <v>6916</v>
      </c>
      <c r="Y1714" t="s">
        <v>158</v>
      </c>
      <c r="Z1714" t="s">
        <v>70</v>
      </c>
    </row>
    <row r="1715" spans="1:27" ht="15" hidden="1" customHeight="1">
      <c r="A1715" s="60">
        <f>ROW() - ROW(Table1[[#Headers],[s]])</f>
        <v>1714</v>
      </c>
      <c r="B1715" t="s">
        <v>6917</v>
      </c>
      <c r="C1715" s="163">
        <v>46235</v>
      </c>
      <c r="D1715" s="52" t="s">
        <v>6918</v>
      </c>
      <c r="E1715" t="s">
        <v>5233</v>
      </c>
      <c r="F1715" s="18" t="e" vm="10">
        <v>#VALUE!</v>
      </c>
      <c r="G1715" s="43" t="s">
        <v>1057</v>
      </c>
      <c r="H1715" s="18" t="s">
        <v>152</v>
      </c>
      <c r="I1715" s="18"/>
      <c r="J1715" s="18" t="s">
        <v>153</v>
      </c>
      <c r="K1715" s="44" t="s">
        <v>154</v>
      </c>
      <c r="L1715" s="44">
        <v>46258.712500000001</v>
      </c>
      <c r="M1715" s="55" t="s">
        <v>78</v>
      </c>
      <c r="N1715" s="55" t="s">
        <v>78</v>
      </c>
      <c r="O1715" s="44">
        <v>46259.402777777781</v>
      </c>
      <c r="P1715" s="44">
        <v>46259.416666666664</v>
      </c>
      <c r="Q1715" s="44">
        <v>46259.434027777781</v>
      </c>
      <c r="S1715" s="21" t="s">
        <v>6919</v>
      </c>
      <c r="T1715" s="55" t="s">
        <v>179</v>
      </c>
      <c r="U1715" s="21"/>
      <c r="V1715" s="53" t="s">
        <v>6920</v>
      </c>
      <c r="Y1715" t="s">
        <v>158</v>
      </c>
      <c r="Z1715" t="s">
        <v>70</v>
      </c>
    </row>
    <row r="1716" spans="1:27" ht="15" hidden="1" customHeight="1">
      <c r="A1716" s="60">
        <f>ROW() - ROW(Table1[[#Headers],[s]])</f>
        <v>1715</v>
      </c>
      <c r="B1716" t="s">
        <v>6921</v>
      </c>
      <c r="C1716" s="163">
        <v>46235</v>
      </c>
      <c r="D1716" s="52" t="s">
        <v>6922</v>
      </c>
      <c r="E1716" t="s">
        <v>5632</v>
      </c>
      <c r="F1716" s="18" t="e" vm="10">
        <v>#VALUE!</v>
      </c>
      <c r="G1716" s="43" t="s">
        <v>1057</v>
      </c>
      <c r="H1716" s="18" t="s">
        <v>747</v>
      </c>
      <c r="I1716" s="18"/>
      <c r="J1716" s="18" t="s">
        <v>253</v>
      </c>
      <c r="K1716" s="44" t="s">
        <v>154</v>
      </c>
      <c r="L1716" s="44">
        <v>46258.70208333333</v>
      </c>
      <c r="M1716" s="55" t="s">
        <v>78</v>
      </c>
      <c r="N1716" s="55" t="s">
        <v>78</v>
      </c>
      <c r="O1716" s="44">
        <v>46258.78125</v>
      </c>
      <c r="P1716" s="44">
        <v>46258.822916666664</v>
      </c>
      <c r="Q1716" s="44">
        <v>46258.888194444444</v>
      </c>
      <c r="R1716" t="s">
        <v>6880</v>
      </c>
      <c r="S1716" s="21" t="s">
        <v>6923</v>
      </c>
      <c r="T1716" s="55" t="s">
        <v>4685</v>
      </c>
      <c r="U1716" s="21"/>
      <c r="V1716" s="53" t="s">
        <v>6924</v>
      </c>
      <c r="W1716" t="s">
        <v>6925</v>
      </c>
      <c r="Y1716" t="s">
        <v>158</v>
      </c>
      <c r="Z1716" t="s">
        <v>158</v>
      </c>
    </row>
    <row r="1717" spans="1:27" ht="15" hidden="1" customHeight="1">
      <c r="A1717" s="60">
        <f>ROW() - ROW(Table1[[#Headers],[s]])</f>
        <v>1716</v>
      </c>
      <c r="B1717" t="s">
        <v>6926</v>
      </c>
      <c r="C1717" s="181"/>
      <c r="D1717" s="52" t="s">
        <v>6927</v>
      </c>
      <c r="E1717" t="s">
        <v>6928</v>
      </c>
      <c r="F1717" s="18" t="e" vm="25">
        <v>#VALUE!</v>
      </c>
      <c r="G1717" s="43" t="s">
        <v>36</v>
      </c>
      <c r="H1717" s="18" t="s">
        <v>152</v>
      </c>
      <c r="I1717" t="s">
        <v>43</v>
      </c>
      <c r="J1717" s="18" t="s">
        <v>153</v>
      </c>
      <c r="K1717" s="44" t="s">
        <v>154</v>
      </c>
      <c r="L1717" s="44">
        <v>46259.39166666667</v>
      </c>
      <c r="M1717" s="55" t="s">
        <v>53</v>
      </c>
      <c r="N1717" s="55" t="s">
        <v>1499</v>
      </c>
      <c r="O1717" s="44">
        <v>46259.6875</v>
      </c>
      <c r="P1717" s="44">
        <v>46259.697916666664</v>
      </c>
      <c r="Q1717" s="58">
        <v>46266.625</v>
      </c>
      <c r="R1717" t="s">
        <v>3232</v>
      </c>
      <c r="S1717" s="240" t="s">
        <v>6929</v>
      </c>
      <c r="T1717" s="55" t="s">
        <v>478</v>
      </c>
      <c r="U1717" s="21"/>
      <c r="V1717" s="53" t="s">
        <v>6929</v>
      </c>
      <c r="Y1717" t="s">
        <v>158</v>
      </c>
      <c r="Z1717" t="s">
        <v>158</v>
      </c>
    </row>
    <row r="1718" spans="1:27" ht="15" hidden="1" customHeight="1">
      <c r="A1718" s="60">
        <f>ROW() - ROW(Table1[[#Headers],[s]])</f>
        <v>1717</v>
      </c>
      <c r="B1718" t="s">
        <v>6930</v>
      </c>
      <c r="C1718" s="163">
        <v>46235</v>
      </c>
      <c r="D1718" s="52" t="s">
        <v>6931</v>
      </c>
      <c r="E1718" t="s">
        <v>6932</v>
      </c>
      <c r="F1718" s="18" t="e" vm="12">
        <v>#VALUE!</v>
      </c>
      <c r="G1718" s="43" t="s">
        <v>1057</v>
      </c>
      <c r="H1718" s="18" t="s">
        <v>152</v>
      </c>
      <c r="I1718" t="s">
        <v>43</v>
      </c>
      <c r="J1718" s="18" t="s">
        <v>153</v>
      </c>
      <c r="K1718" s="44" t="s">
        <v>154</v>
      </c>
      <c r="L1718" s="44">
        <v>46259.395138888889</v>
      </c>
      <c r="M1718" s="55" t="s">
        <v>55</v>
      </c>
      <c r="N1718" s="55" t="s">
        <v>55</v>
      </c>
      <c r="O1718" s="44">
        <v>46259.520833333336</v>
      </c>
      <c r="P1718" s="44">
        <v>46259.527777777781</v>
      </c>
      <c r="Q1718" s="44">
        <v>46259.548611111109</v>
      </c>
      <c r="S1718" s="21" t="s">
        <v>6933</v>
      </c>
      <c r="T1718" s="55" t="s">
        <v>2765</v>
      </c>
      <c r="U1718" s="21"/>
      <c r="V1718" s="53" t="s">
        <v>6934</v>
      </c>
      <c r="Y1718" t="s">
        <v>158</v>
      </c>
      <c r="Z1718" t="s">
        <v>70</v>
      </c>
    </row>
    <row r="1719" spans="1:27" ht="15" hidden="1" customHeight="1">
      <c r="A1719" s="60">
        <f>ROW() - ROW(Table1[[#Headers],[s]])</f>
        <v>1718</v>
      </c>
      <c r="B1719" t="s">
        <v>6935</v>
      </c>
      <c r="C1719" s="163">
        <v>46235</v>
      </c>
      <c r="D1719" s="52" t="s">
        <v>6936</v>
      </c>
      <c r="E1719" t="s">
        <v>6937</v>
      </c>
      <c r="F1719" s="18" t="e" vm="2">
        <v>#VALUE!</v>
      </c>
      <c r="G1719" s="43" t="s">
        <v>40</v>
      </c>
      <c r="H1719" s="18" t="s">
        <v>747</v>
      </c>
      <c r="I1719" s="18"/>
      <c r="J1719" s="18" t="s">
        <v>253</v>
      </c>
      <c r="K1719" s="44" t="s">
        <v>154</v>
      </c>
      <c r="L1719" s="44">
        <v>46259.421527777777</v>
      </c>
      <c r="M1719" s="55" t="s">
        <v>162</v>
      </c>
      <c r="N1719" s="55" t="s">
        <v>162</v>
      </c>
      <c r="O1719" s="44">
        <v>46259.645833333336</v>
      </c>
      <c r="P1719" s="44">
        <v>46259.65625</v>
      </c>
      <c r="Q1719" s="44">
        <v>46259.716666666667</v>
      </c>
      <c r="S1719" s="21" t="s">
        <v>6938</v>
      </c>
      <c r="T1719" s="55" t="s">
        <v>179</v>
      </c>
      <c r="U1719" s="21"/>
      <c r="V1719" s="53" t="s">
        <v>6939</v>
      </c>
      <c r="Y1719" t="s">
        <v>158</v>
      </c>
      <c r="Z1719" t="s">
        <v>70</v>
      </c>
    </row>
    <row r="1720" spans="1:27" ht="15" hidden="1" customHeight="1">
      <c r="A1720" s="60">
        <f>ROW() - ROW(Table1[[#Headers],[s]])</f>
        <v>1719</v>
      </c>
      <c r="B1720" t="s">
        <v>2333</v>
      </c>
      <c r="C1720" s="163">
        <v>46235</v>
      </c>
      <c r="D1720" s="52" t="s">
        <v>6940</v>
      </c>
      <c r="E1720" t="s">
        <v>6941</v>
      </c>
      <c r="F1720" s="18" t="e" vm="21">
        <v>#VALUE!</v>
      </c>
      <c r="G1720" s="43" t="s">
        <v>1057</v>
      </c>
      <c r="H1720" s="18" t="s">
        <v>152</v>
      </c>
      <c r="I1720" t="s">
        <v>43</v>
      </c>
      <c r="J1720" s="18" t="s">
        <v>153</v>
      </c>
      <c r="K1720" s="44" t="s">
        <v>154</v>
      </c>
      <c r="L1720" s="44">
        <v>46259.460416666669</v>
      </c>
      <c r="M1720" s="55" t="s">
        <v>6942</v>
      </c>
      <c r="N1720" s="55" t="s">
        <v>6942</v>
      </c>
      <c r="O1720" s="44">
        <v>46259.625</v>
      </c>
      <c r="P1720" s="44">
        <v>46259.631944444445</v>
      </c>
      <c r="Q1720" s="44">
        <v>46259.663194444445</v>
      </c>
      <c r="R1720" t="s">
        <v>6880</v>
      </c>
      <c r="S1720" s="21" t="s">
        <v>6943</v>
      </c>
      <c r="T1720" s="18" t="s">
        <v>516</v>
      </c>
      <c r="U1720" s="21"/>
      <c r="V1720" s="53" t="s">
        <v>6944</v>
      </c>
      <c r="W1720" t="s">
        <v>6945</v>
      </c>
      <c r="Y1720" t="s">
        <v>158</v>
      </c>
      <c r="Z1720" t="s">
        <v>158</v>
      </c>
    </row>
    <row r="1721" spans="1:27" ht="15" hidden="1" customHeight="1">
      <c r="A1721" s="60">
        <f>ROW() - ROW(Table1[[#Headers],[s]])</f>
        <v>1720</v>
      </c>
      <c r="B1721" t="s">
        <v>6946</v>
      </c>
      <c r="C1721" s="181" t="s">
        <v>60</v>
      </c>
      <c r="D1721" s="52" t="s">
        <v>6947</v>
      </c>
      <c r="E1721" t="s">
        <v>5690</v>
      </c>
      <c r="F1721" s="18" t="e" vm="5">
        <v>#VALUE!</v>
      </c>
      <c r="G1721" s="43" t="s">
        <v>1057</v>
      </c>
      <c r="H1721" s="18" t="s">
        <v>747</v>
      </c>
      <c r="I1721" s="18"/>
      <c r="J1721" s="18" t="s">
        <v>253</v>
      </c>
      <c r="K1721" s="44" t="s">
        <v>2854</v>
      </c>
      <c r="L1721" s="44">
        <v>46259.638194444444</v>
      </c>
      <c r="M1721" s="55" t="s">
        <v>50</v>
      </c>
      <c r="N1721" s="55" t="s">
        <v>50</v>
      </c>
      <c r="O1721" s="56"/>
      <c r="P1721" s="22"/>
      <c r="Q1721" s="44">
        <v>46259.638194444444</v>
      </c>
      <c r="S1721" s="240" t="s">
        <v>6948</v>
      </c>
      <c r="T1721" s="55" t="s">
        <v>50</v>
      </c>
      <c r="U1721" s="21"/>
      <c r="V1721" s="53" t="s">
        <v>6949</v>
      </c>
      <c r="Y1721" t="s">
        <v>179</v>
      </c>
      <c r="Z1721" t="s">
        <v>179</v>
      </c>
    </row>
    <row r="1722" spans="1:27" ht="15" hidden="1" customHeight="1">
      <c r="A1722" s="60">
        <f>ROW() - ROW(Table1[[#Headers],[s]])</f>
        <v>1721</v>
      </c>
      <c r="B1722" t="s">
        <v>6950</v>
      </c>
      <c r="C1722" s="163">
        <v>46235</v>
      </c>
      <c r="D1722" s="52" t="s">
        <v>6951</v>
      </c>
      <c r="E1722" t="s">
        <v>5591</v>
      </c>
      <c r="F1722" s="18" t="e" vm="49">
        <v>#VALUE!</v>
      </c>
      <c r="G1722" s="43" t="s">
        <v>1057</v>
      </c>
      <c r="H1722" s="18" t="s">
        <v>747</v>
      </c>
      <c r="I1722" t="s">
        <v>43</v>
      </c>
      <c r="J1722" s="18" t="s">
        <v>253</v>
      </c>
      <c r="K1722" s="44" t="s">
        <v>154</v>
      </c>
      <c r="L1722" s="44">
        <v>46259.638194444444</v>
      </c>
      <c r="M1722" s="55" t="s">
        <v>55</v>
      </c>
      <c r="N1722" s="55" t="s">
        <v>55</v>
      </c>
      <c r="O1722" s="44">
        <v>46259.697916666664</v>
      </c>
      <c r="P1722" s="44">
        <v>46259.708333333336</v>
      </c>
      <c r="Q1722" s="44">
        <v>46259.864583333336</v>
      </c>
      <c r="S1722" s="21" t="s">
        <v>6952</v>
      </c>
      <c r="T1722" s="55" t="s">
        <v>6953</v>
      </c>
      <c r="U1722" s="21"/>
      <c r="V1722" s="53" t="s">
        <v>6954</v>
      </c>
      <c r="W1722" t="s">
        <v>6955</v>
      </c>
      <c r="Y1722" t="s">
        <v>158</v>
      </c>
      <c r="Z1722" t="s">
        <v>158</v>
      </c>
    </row>
    <row r="1723" spans="1:27" ht="15" hidden="1" customHeight="1">
      <c r="A1723" s="60">
        <f>ROW() - ROW(Table1[[#Headers],[s]])</f>
        <v>1722</v>
      </c>
      <c r="B1723" t="s">
        <v>4445</v>
      </c>
      <c r="C1723" s="163">
        <v>46235</v>
      </c>
      <c r="D1723" s="52" t="s">
        <v>6956</v>
      </c>
      <c r="E1723" t="s">
        <v>5546</v>
      </c>
      <c r="F1723" s="18" t="e" vm="5">
        <v>#VALUE!</v>
      </c>
      <c r="G1723" s="43" t="s">
        <v>1057</v>
      </c>
      <c r="H1723" s="18" t="s">
        <v>152</v>
      </c>
      <c r="I1723" t="s">
        <v>43</v>
      </c>
      <c r="J1723" s="18" t="s">
        <v>153</v>
      </c>
      <c r="K1723" s="44" t="s">
        <v>154</v>
      </c>
      <c r="L1723" s="44">
        <v>46259.654861111114</v>
      </c>
      <c r="M1723" s="55" t="s">
        <v>55</v>
      </c>
      <c r="N1723" s="55" t="s">
        <v>55</v>
      </c>
      <c r="O1723" s="44">
        <v>46259.777777777781</v>
      </c>
      <c r="P1723" s="44">
        <v>46259.791666666664</v>
      </c>
      <c r="Q1723" s="44">
        <v>46259.798611111109</v>
      </c>
      <c r="S1723" s="21" t="s">
        <v>6957</v>
      </c>
      <c r="T1723" s="55" t="s">
        <v>179</v>
      </c>
      <c r="U1723" s="21"/>
      <c r="V1723" s="53" t="s">
        <v>6958</v>
      </c>
      <c r="Y1723" t="s">
        <v>158</v>
      </c>
      <c r="Z1723" t="s">
        <v>70</v>
      </c>
    </row>
    <row r="1724" spans="1:27" ht="15" hidden="1" customHeight="1">
      <c r="A1724" s="60">
        <f>ROW() - ROW(Table1[[#Headers],[s]])</f>
        <v>1723</v>
      </c>
      <c r="B1724" t="s">
        <v>6959</v>
      </c>
      <c r="C1724" s="163">
        <v>46235</v>
      </c>
      <c r="D1724" s="52" t="s">
        <v>6960</v>
      </c>
      <c r="E1724" t="s">
        <v>6961</v>
      </c>
      <c r="F1724" s="18" t="e" vm="12">
        <v>#VALUE!</v>
      </c>
      <c r="G1724" s="43" t="s">
        <v>1057</v>
      </c>
      <c r="H1724" s="18" t="s">
        <v>152</v>
      </c>
      <c r="I1724" t="s">
        <v>43</v>
      </c>
      <c r="J1724" s="18" t="s">
        <v>153</v>
      </c>
      <c r="K1724" s="44" t="s">
        <v>154</v>
      </c>
      <c r="L1724" s="44">
        <v>46259.713888888888</v>
      </c>
      <c r="M1724" s="55" t="s">
        <v>72</v>
      </c>
      <c r="N1724" s="55" t="s">
        <v>72</v>
      </c>
      <c r="O1724" s="44">
        <v>46260.447916666664</v>
      </c>
      <c r="P1724" s="44">
        <v>46260.479166666664</v>
      </c>
      <c r="Q1724" s="44">
        <v>46260.496527777781</v>
      </c>
      <c r="S1724" s="21" t="s">
        <v>6962</v>
      </c>
      <c r="T1724" s="55" t="s">
        <v>179</v>
      </c>
      <c r="U1724" s="21"/>
      <c r="V1724" s="53" t="s">
        <v>6963</v>
      </c>
      <c r="Y1724" t="s">
        <v>158</v>
      </c>
      <c r="Z1724" t="s">
        <v>70</v>
      </c>
    </row>
    <row r="1725" spans="1:27" ht="15" hidden="1" customHeight="1">
      <c r="A1725" s="60">
        <f>ROW() - ROW(Table1[[#Headers],[s]])</f>
        <v>1724</v>
      </c>
      <c r="B1725" t="s">
        <v>6695</v>
      </c>
      <c r="C1725" s="163">
        <v>46235</v>
      </c>
      <c r="D1725" s="52" t="s">
        <v>6964</v>
      </c>
      <c r="E1725" t="s">
        <v>5169</v>
      </c>
      <c r="F1725" s="18" t="e" vm="25">
        <v>#VALUE!</v>
      </c>
      <c r="G1725" s="43" t="s">
        <v>1057</v>
      </c>
      <c r="H1725" s="18" t="s">
        <v>747</v>
      </c>
      <c r="I1725" s="18"/>
      <c r="J1725" s="18" t="s">
        <v>253</v>
      </c>
      <c r="K1725" s="44" t="s">
        <v>154</v>
      </c>
      <c r="L1725" s="44">
        <v>46259.715277777781</v>
      </c>
      <c r="M1725" s="55" t="s">
        <v>53</v>
      </c>
      <c r="N1725" s="55" t="s">
        <v>53</v>
      </c>
      <c r="O1725" s="44">
        <v>46259.75</v>
      </c>
      <c r="P1725" s="22"/>
      <c r="Q1725" s="58">
        <v>46260.576388888891</v>
      </c>
      <c r="S1725" s="21" t="s">
        <v>6965</v>
      </c>
      <c r="T1725" s="55" t="s">
        <v>50</v>
      </c>
      <c r="U1725" s="21"/>
      <c r="V1725" s="53" t="s">
        <v>6966</v>
      </c>
      <c r="Y1725" t="s">
        <v>179</v>
      </c>
      <c r="Z1725" t="s">
        <v>179</v>
      </c>
    </row>
    <row r="1726" spans="1:27" ht="15" hidden="1" customHeight="1">
      <c r="A1726" s="60">
        <f>ROW() - ROW(Table1[[#Headers],[s]])</f>
        <v>1725</v>
      </c>
      <c r="B1726" t="s">
        <v>6814</v>
      </c>
      <c r="C1726" s="163">
        <v>46235</v>
      </c>
      <c r="D1726" s="52" t="s">
        <v>6967</v>
      </c>
      <c r="E1726" s="230" t="s">
        <v>6968</v>
      </c>
      <c r="F1726" s="18" t="e" vm="10">
        <v>#VALUE!</v>
      </c>
      <c r="G1726" s="43" t="s">
        <v>1057</v>
      </c>
      <c r="H1726" s="18" t="s">
        <v>152</v>
      </c>
      <c r="I1726" t="s">
        <v>43</v>
      </c>
      <c r="J1726" s="18" t="s">
        <v>153</v>
      </c>
      <c r="K1726" s="44" t="s">
        <v>154</v>
      </c>
      <c r="L1726" s="44">
        <v>46259.723611111112</v>
      </c>
      <c r="M1726" s="55" t="s">
        <v>78</v>
      </c>
      <c r="N1726" s="55" t="s">
        <v>78</v>
      </c>
      <c r="O1726" s="44">
        <v>46259.767361111109</v>
      </c>
      <c r="P1726" s="44">
        <v>46259.769444444442</v>
      </c>
      <c r="Q1726" s="44">
        <v>46259.774305555555</v>
      </c>
      <c r="S1726" s="21" t="s">
        <v>6969</v>
      </c>
      <c r="T1726" s="55" t="s">
        <v>653</v>
      </c>
      <c r="U1726" s="21"/>
      <c r="V1726" s="53" t="s">
        <v>6970</v>
      </c>
      <c r="Y1726" t="s">
        <v>158</v>
      </c>
      <c r="Z1726" t="s">
        <v>70</v>
      </c>
    </row>
    <row r="1727" spans="1:27" ht="15" hidden="1" customHeight="1">
      <c r="A1727" s="60">
        <f>ROW() - ROW(Table1[[#Headers],[s]])</f>
        <v>1726</v>
      </c>
      <c r="B1727" t="s">
        <v>6971</v>
      </c>
      <c r="C1727" s="163">
        <v>46235</v>
      </c>
      <c r="D1727" s="52" t="s">
        <v>6972</v>
      </c>
      <c r="E1727" t="s">
        <v>6398</v>
      </c>
      <c r="F1727" s="18" t="e" vm="19">
        <v>#VALUE!</v>
      </c>
      <c r="G1727" s="43" t="s">
        <v>1057</v>
      </c>
      <c r="H1727" s="18" t="s">
        <v>152</v>
      </c>
      <c r="I1727" t="s">
        <v>43</v>
      </c>
      <c r="J1727" s="18" t="s">
        <v>153</v>
      </c>
      <c r="K1727" s="44" t="s">
        <v>154</v>
      </c>
      <c r="L1727" s="44">
        <v>46259.888194444444</v>
      </c>
      <c r="M1727" s="55" t="s">
        <v>6973</v>
      </c>
      <c r="N1727" s="55" t="s">
        <v>6973</v>
      </c>
      <c r="O1727" s="44">
        <v>46260.479166666664</v>
      </c>
      <c r="P1727" s="44">
        <v>46260.496527777781</v>
      </c>
      <c r="Q1727" s="44">
        <v>46260.520833333336</v>
      </c>
      <c r="R1727" t="s">
        <v>3220</v>
      </c>
      <c r="S1727" s="21" t="s">
        <v>6974</v>
      </c>
      <c r="T1727" s="55" t="s">
        <v>6975</v>
      </c>
      <c r="U1727" s="21"/>
      <c r="V1727" s="53" t="s">
        <v>6976</v>
      </c>
      <c r="W1727" t="s">
        <v>6977</v>
      </c>
      <c r="Y1727" t="s">
        <v>158</v>
      </c>
      <c r="Z1727" t="s">
        <v>158</v>
      </c>
    </row>
    <row r="1728" spans="1:27" ht="15" hidden="1" customHeight="1">
      <c r="A1728" s="60">
        <f>ROW() - ROW(Table1[[#Headers],[s]])</f>
        <v>1727</v>
      </c>
      <c r="B1728" t="s">
        <v>6978</v>
      </c>
      <c r="C1728" s="163">
        <v>46235</v>
      </c>
      <c r="D1728" s="52" t="s">
        <v>6979</v>
      </c>
      <c r="E1728" t="s">
        <v>6980</v>
      </c>
      <c r="F1728" s="18" t="e" vm="5">
        <v>#VALUE!</v>
      </c>
      <c r="G1728" s="43" t="s">
        <v>1057</v>
      </c>
      <c r="H1728" s="18" t="s">
        <v>747</v>
      </c>
      <c r="I1728" t="s">
        <v>43</v>
      </c>
      <c r="J1728" s="18" t="s">
        <v>253</v>
      </c>
      <c r="K1728" s="44" t="s">
        <v>154</v>
      </c>
      <c r="L1728" s="44">
        <v>46260.243055555555</v>
      </c>
      <c r="M1728" s="55" t="s">
        <v>55</v>
      </c>
      <c r="N1728" s="55" t="s">
        <v>55</v>
      </c>
      <c r="O1728" s="44">
        <v>46260.395833333336</v>
      </c>
      <c r="P1728" s="44">
        <v>46260.458333333336</v>
      </c>
      <c r="Q1728" s="44">
        <v>46260.541666666664</v>
      </c>
      <c r="R1728" t="s">
        <v>3191</v>
      </c>
      <c r="S1728" s="21" t="s">
        <v>6981</v>
      </c>
      <c r="T1728" s="55" t="s">
        <v>179</v>
      </c>
      <c r="U1728" s="21"/>
      <c r="V1728" s="53" t="s">
        <v>6982</v>
      </c>
      <c r="W1728" t="s">
        <v>6983</v>
      </c>
      <c r="Y1728" t="s">
        <v>158</v>
      </c>
      <c r="Z1728" t="s">
        <v>70</v>
      </c>
      <c r="AA1728" t="s">
        <v>6984</v>
      </c>
    </row>
    <row r="1729" spans="1:27" ht="15" hidden="1" customHeight="1">
      <c r="A1729" s="60">
        <f>ROW() - ROW(Table1[[#Headers],[s]])</f>
        <v>1728</v>
      </c>
      <c r="B1729" t="s">
        <v>6985</v>
      </c>
      <c r="C1729" s="163">
        <v>46235</v>
      </c>
      <c r="D1729" s="52" t="s">
        <v>6986</v>
      </c>
      <c r="E1729" t="s">
        <v>6086</v>
      </c>
      <c r="F1729" s="18" t="e" vm="25">
        <v>#VALUE!</v>
      </c>
      <c r="G1729" s="43" t="s">
        <v>36</v>
      </c>
      <c r="H1729" s="18" t="s">
        <v>152</v>
      </c>
      <c r="I1729" t="s">
        <v>43</v>
      </c>
      <c r="J1729" s="18" t="s">
        <v>153</v>
      </c>
      <c r="K1729" s="44" t="s">
        <v>154</v>
      </c>
      <c r="L1729" s="44">
        <v>46260.411111111112</v>
      </c>
      <c r="M1729" s="55" t="s">
        <v>53</v>
      </c>
      <c r="N1729" s="55" t="s">
        <v>53</v>
      </c>
      <c r="O1729" s="56"/>
      <c r="P1729" s="22"/>
      <c r="Q1729" s="58">
        <v>46260.666666666664</v>
      </c>
      <c r="S1729" s="21" t="s">
        <v>6987</v>
      </c>
      <c r="T1729" s="55" t="s">
        <v>478</v>
      </c>
      <c r="U1729" s="21"/>
      <c r="V1729" s="403" t="s">
        <v>6988</v>
      </c>
      <c r="Y1729" t="s">
        <v>158</v>
      </c>
      <c r="Z1729" t="s">
        <v>70</v>
      </c>
    </row>
    <row r="1730" spans="1:27" ht="15" hidden="1" customHeight="1">
      <c r="A1730" s="60">
        <f>ROW() - ROW(Table1[[#Headers],[s]])</f>
        <v>1729</v>
      </c>
      <c r="B1730" t="s">
        <v>6989</v>
      </c>
      <c r="C1730" s="272">
        <v>46235</v>
      </c>
      <c r="D1730" s="19" t="s">
        <v>6990</v>
      </c>
      <c r="E1730" t="s">
        <v>6991</v>
      </c>
      <c r="F1730" s="18" t="e" vm="26">
        <v>#VALUE!</v>
      </c>
      <c r="G1730" s="5" t="s">
        <v>36</v>
      </c>
      <c r="H1730" s="18" t="s">
        <v>245</v>
      </c>
      <c r="I1730" s="18" t="s">
        <v>43</v>
      </c>
      <c r="J1730" s="18" t="s">
        <v>253</v>
      </c>
      <c r="K1730" s="20" t="s">
        <v>6992</v>
      </c>
      <c r="L1730" s="20">
        <v>46260.438888888886</v>
      </c>
      <c r="M1730" s="18" t="s">
        <v>3633</v>
      </c>
      <c r="N1730" s="18" t="s">
        <v>3633</v>
      </c>
      <c r="O1730" s="3"/>
      <c r="P1730" s="22"/>
      <c r="Q1730" s="22">
        <v>46260.763888888891</v>
      </c>
      <c r="S1730" s="21" t="s">
        <v>6993</v>
      </c>
      <c r="T1730" s="18" t="s">
        <v>478</v>
      </c>
      <c r="U1730" s="21"/>
      <c r="V1730" s="21" t="s">
        <v>6994</v>
      </c>
      <c r="Y1730" t="s">
        <v>158</v>
      </c>
      <c r="Z1730" t="s">
        <v>52</v>
      </c>
      <c r="AA1730" t="s">
        <v>6995</v>
      </c>
    </row>
    <row r="1731" spans="1:27" ht="15" hidden="1" customHeight="1">
      <c r="A1731" s="60">
        <f>ROW() - ROW(Table1[[#Headers],[s]])</f>
        <v>1730</v>
      </c>
      <c r="B1731" t="s">
        <v>6996</v>
      </c>
      <c r="C1731" s="272">
        <v>46235</v>
      </c>
      <c r="D1731" s="19" t="s">
        <v>6997</v>
      </c>
      <c r="E1731" t="s">
        <v>6998</v>
      </c>
      <c r="F1731" s="18" t="e" vm="5">
        <v>#VALUE!</v>
      </c>
      <c r="G1731" s="5" t="s">
        <v>36</v>
      </c>
      <c r="H1731" s="18" t="s">
        <v>152</v>
      </c>
      <c r="I1731" t="s">
        <v>43</v>
      </c>
      <c r="J1731" s="18" t="s">
        <v>153</v>
      </c>
      <c r="K1731" s="20" t="s">
        <v>154</v>
      </c>
      <c r="L1731" s="20">
        <v>46260.602083333331</v>
      </c>
      <c r="M1731" s="18" t="s">
        <v>55</v>
      </c>
      <c r="N1731" s="18" t="s">
        <v>55</v>
      </c>
      <c r="O1731" s="3"/>
      <c r="P1731" s="22"/>
      <c r="Q1731" s="22">
        <v>46260.878472222219</v>
      </c>
      <c r="S1731" s="21" t="s">
        <v>6999</v>
      </c>
      <c r="T1731" s="18" t="s">
        <v>478</v>
      </c>
      <c r="U1731" s="21"/>
      <c r="V1731" s="21" t="s">
        <v>7000</v>
      </c>
      <c r="Y1731" t="s">
        <v>158</v>
      </c>
      <c r="Z1731" t="s">
        <v>52</v>
      </c>
    </row>
    <row r="1732" spans="1:27" ht="15" hidden="1" customHeight="1">
      <c r="A1732" s="60">
        <f>ROW() - ROW(Table1[[#Headers],[s]])</f>
        <v>1731</v>
      </c>
      <c r="B1732" t="s">
        <v>7001</v>
      </c>
      <c r="C1732" s="272">
        <v>46235</v>
      </c>
      <c r="D1732" s="19" t="s">
        <v>7002</v>
      </c>
      <c r="E1732" t="s">
        <v>6797</v>
      </c>
      <c r="F1732" s="18" t="e" vm="23">
        <v>#VALUE!</v>
      </c>
      <c r="G1732" s="5" t="s">
        <v>36</v>
      </c>
      <c r="H1732" s="18" t="s">
        <v>152</v>
      </c>
      <c r="I1732" t="s">
        <v>43</v>
      </c>
      <c r="J1732" s="18" t="s">
        <v>153</v>
      </c>
      <c r="K1732" s="20" t="s">
        <v>154</v>
      </c>
      <c r="L1732" s="20">
        <v>46260.60833333333</v>
      </c>
      <c r="M1732" s="18" t="s">
        <v>58</v>
      </c>
      <c r="N1732" s="18" t="s">
        <v>58</v>
      </c>
      <c r="O1732" s="3"/>
      <c r="P1732" s="22"/>
      <c r="Q1732" s="22">
        <v>46261.552083333336</v>
      </c>
      <c r="S1732" s="21" t="s">
        <v>7003</v>
      </c>
      <c r="T1732" s="18" t="s">
        <v>478</v>
      </c>
      <c r="U1732" s="21"/>
      <c r="V1732" s="403" t="s">
        <v>7004</v>
      </c>
      <c r="Y1732" t="s">
        <v>158</v>
      </c>
      <c r="Z1732" t="s">
        <v>52</v>
      </c>
    </row>
    <row r="1733" spans="1:27" ht="15" hidden="1" customHeight="1">
      <c r="A1733" s="60">
        <f>ROW() - ROW(Table1[[#Headers],[s]])</f>
        <v>1732</v>
      </c>
      <c r="B1733" t="s">
        <v>6534</v>
      </c>
      <c r="C1733" s="272">
        <v>46235</v>
      </c>
      <c r="D1733" s="19" t="s">
        <v>7005</v>
      </c>
      <c r="E1733" t="s">
        <v>6086</v>
      </c>
      <c r="F1733" s="18" t="e" vm="25">
        <v>#VALUE!</v>
      </c>
      <c r="G1733" s="5" t="s">
        <v>36</v>
      </c>
      <c r="H1733" s="18" t="s">
        <v>152</v>
      </c>
      <c r="I1733" t="s">
        <v>43</v>
      </c>
      <c r="J1733" s="18" t="s">
        <v>153</v>
      </c>
      <c r="K1733" s="20" t="s">
        <v>154</v>
      </c>
      <c r="L1733" s="20">
        <v>46260.64166666667</v>
      </c>
      <c r="M1733" s="55" t="s">
        <v>53</v>
      </c>
      <c r="N1733" s="18" t="s">
        <v>53</v>
      </c>
      <c r="O1733" s="3"/>
      <c r="P1733" s="22"/>
      <c r="Q1733" s="22">
        <v>46261.479166666664</v>
      </c>
      <c r="S1733" s="21" t="s">
        <v>7006</v>
      </c>
      <c r="T1733" s="55" t="s">
        <v>478</v>
      </c>
      <c r="U1733" s="21"/>
      <c r="V1733" s="21" t="s">
        <v>7007</v>
      </c>
      <c r="Y1733" t="s">
        <v>158</v>
      </c>
      <c r="Z1733" t="s">
        <v>52</v>
      </c>
    </row>
    <row r="1734" spans="1:27" ht="15" hidden="1" customHeight="1">
      <c r="A1734" s="60">
        <f>ROW() - ROW(Table1[[#Headers],[s]])</f>
        <v>1733</v>
      </c>
      <c r="B1734" t="s">
        <v>7008</v>
      </c>
      <c r="C1734" s="272">
        <v>46235</v>
      </c>
      <c r="D1734" s="19" t="s">
        <v>7009</v>
      </c>
      <c r="E1734" t="s">
        <v>5233</v>
      </c>
      <c r="F1734" s="18" t="e" vm="10">
        <v>#VALUE!</v>
      </c>
      <c r="G1734" s="5" t="s">
        <v>36</v>
      </c>
      <c r="H1734" s="18" t="s">
        <v>152</v>
      </c>
      <c r="I1734" t="s">
        <v>43</v>
      </c>
      <c r="J1734" s="18" t="s">
        <v>153</v>
      </c>
      <c r="K1734" s="20" t="s">
        <v>154</v>
      </c>
      <c r="L1734" s="20">
        <v>46260.7</v>
      </c>
      <c r="M1734" s="18" t="s">
        <v>78</v>
      </c>
      <c r="N1734" s="55" t="s">
        <v>78</v>
      </c>
      <c r="O1734" s="3"/>
      <c r="P1734" s="22"/>
      <c r="Q1734" s="22">
        <v>46260.770833333336</v>
      </c>
      <c r="S1734" s="21" t="s">
        <v>7010</v>
      </c>
      <c r="T1734" s="55" t="s">
        <v>478</v>
      </c>
      <c r="U1734" s="21"/>
      <c r="V1734" s="21" t="s">
        <v>7010</v>
      </c>
      <c r="Y1734" t="s">
        <v>158</v>
      </c>
      <c r="Z1734" t="s">
        <v>70</v>
      </c>
    </row>
    <row r="1735" spans="1:27" ht="15" hidden="1" customHeight="1">
      <c r="A1735" s="60">
        <f>ROW() - ROW(Table1[[#Headers],[s]])</f>
        <v>1734</v>
      </c>
      <c r="B1735" t="s">
        <v>7011</v>
      </c>
      <c r="C1735" s="272">
        <v>46235</v>
      </c>
      <c r="D1735" s="52" t="s">
        <v>7012</v>
      </c>
      <c r="E1735" t="s">
        <v>6797</v>
      </c>
      <c r="F1735" s="18" t="e" vm="23">
        <v>#VALUE!</v>
      </c>
      <c r="G1735" s="43" t="s">
        <v>174</v>
      </c>
      <c r="H1735" s="18" t="s">
        <v>152</v>
      </c>
      <c r="I1735" s="18"/>
      <c r="J1735" s="18" t="s">
        <v>153</v>
      </c>
      <c r="K1735" s="20" t="s">
        <v>154</v>
      </c>
      <c r="L1735" s="20">
        <v>46261.339583333334</v>
      </c>
      <c r="M1735" s="55" t="s">
        <v>58</v>
      </c>
      <c r="N1735" s="55" t="s">
        <v>58</v>
      </c>
      <c r="O1735" s="20">
        <v>46261.416666666664</v>
      </c>
      <c r="P1735" s="20">
        <v>46261.427083333336</v>
      </c>
      <c r="Q1735" s="20">
        <v>46261.5</v>
      </c>
      <c r="S1735" s="21" t="s">
        <v>7013</v>
      </c>
      <c r="T1735" s="55" t="s">
        <v>516</v>
      </c>
      <c r="U1735" s="21"/>
      <c r="V1735" s="53" t="s">
        <v>7014</v>
      </c>
      <c r="Y1735" t="s">
        <v>158</v>
      </c>
      <c r="Z1735" t="s">
        <v>70</v>
      </c>
    </row>
    <row r="1736" spans="1:27" ht="15" hidden="1" customHeight="1">
      <c r="A1736" s="60">
        <f>ROW() - ROW(Table1[[#Headers],[s]])</f>
        <v>1735</v>
      </c>
      <c r="B1736" s="230" t="s">
        <v>7015</v>
      </c>
      <c r="C1736" s="23" t="s">
        <v>60</v>
      </c>
      <c r="D1736" s="19" t="s">
        <v>7016</v>
      </c>
      <c r="E1736" t="s">
        <v>6317</v>
      </c>
      <c r="F1736" s="18" t="e" vm="16">
        <v>#VALUE!</v>
      </c>
      <c r="G1736" s="43" t="s">
        <v>36</v>
      </c>
      <c r="H1736" s="18" t="s">
        <v>152</v>
      </c>
      <c r="I1736" s="181" t="s">
        <v>60</v>
      </c>
      <c r="J1736" s="18" t="s">
        <v>153</v>
      </c>
      <c r="K1736" s="20" t="s">
        <v>1345</v>
      </c>
      <c r="L1736" s="20">
        <v>46261.727777777778</v>
      </c>
      <c r="M1736" s="55" t="s">
        <v>50</v>
      </c>
      <c r="N1736" s="55" t="s">
        <v>50</v>
      </c>
      <c r="O1736" s="3"/>
      <c r="P1736" s="22"/>
      <c r="Q1736" s="20">
        <v>46261.727777777778</v>
      </c>
      <c r="S1736" s="21" t="s">
        <v>7017</v>
      </c>
      <c r="T1736" s="18" t="s">
        <v>50</v>
      </c>
      <c r="U1736" s="21"/>
      <c r="V1736" t="s">
        <v>7017</v>
      </c>
      <c r="Y1736" t="s">
        <v>179</v>
      </c>
      <c r="Z1736" t="s">
        <v>179</v>
      </c>
    </row>
    <row r="1737" spans="1:27" ht="15" hidden="1" customHeight="1">
      <c r="A1737" s="60">
        <f>ROW() - ROW(Table1[[#Headers],[s]])</f>
        <v>1736</v>
      </c>
      <c r="B1737" t="s">
        <v>7018</v>
      </c>
      <c r="C1737" s="272">
        <v>46235</v>
      </c>
      <c r="D1737" s="19" t="s">
        <v>7019</v>
      </c>
      <c r="E1737" t="s">
        <v>5690</v>
      </c>
      <c r="F1737" s="18" t="e" vm="5">
        <v>#VALUE!</v>
      </c>
      <c r="G1737" s="5" t="s">
        <v>174</v>
      </c>
      <c r="H1737" s="18" t="s">
        <v>747</v>
      </c>
      <c r="I1737" s="18"/>
      <c r="J1737" s="18" t="s">
        <v>253</v>
      </c>
      <c r="K1737" s="20" t="s">
        <v>154</v>
      </c>
      <c r="L1737" s="20">
        <v>46261.493055555555</v>
      </c>
      <c r="M1737" s="18" t="s">
        <v>55</v>
      </c>
      <c r="N1737" s="18" t="s">
        <v>55</v>
      </c>
      <c r="O1737" s="20">
        <v>46261.5625</v>
      </c>
      <c r="P1737" s="20">
        <v>46261.583333333336</v>
      </c>
      <c r="Q1737" s="20">
        <v>46261.693749999999</v>
      </c>
      <c r="S1737" s="21" t="s">
        <v>7020</v>
      </c>
      <c r="T1737" s="18" t="s">
        <v>193</v>
      </c>
      <c r="U1737" s="21"/>
      <c r="V1737" s="21" t="s">
        <v>7021</v>
      </c>
      <c r="Y1737" t="s">
        <v>158</v>
      </c>
      <c r="Z1737" t="s">
        <v>70</v>
      </c>
    </row>
    <row r="1738" spans="1:27" s="29" customFormat="1" ht="15" hidden="1" customHeight="1">
      <c r="A1738" s="111">
        <f>ROW() - ROW(Table1[[#Headers],[s]])</f>
        <v>1737</v>
      </c>
      <c r="B1738" s="29" t="s">
        <v>7022</v>
      </c>
      <c r="C1738" s="276">
        <v>46235</v>
      </c>
      <c r="D1738" s="234" t="s">
        <v>7023</v>
      </c>
      <c r="E1738" s="29" t="s">
        <v>5399</v>
      </c>
      <c r="F1738" s="235" t="e" vm="30">
        <v>#VALUE!</v>
      </c>
      <c r="G1738" s="410" t="s">
        <v>174</v>
      </c>
      <c r="H1738" s="235" t="s">
        <v>245</v>
      </c>
      <c r="I1738" s="235"/>
      <c r="J1738" s="235" t="s">
        <v>253</v>
      </c>
      <c r="K1738" s="20" t="s">
        <v>154</v>
      </c>
      <c r="L1738" s="251">
        <v>46261.484722222223</v>
      </c>
      <c r="M1738" s="235" t="s">
        <v>7024</v>
      </c>
      <c r="N1738" s="235" t="s">
        <v>1638</v>
      </c>
      <c r="O1738" s="411"/>
      <c r="P1738" s="412"/>
      <c r="Q1738" s="412">
        <v>46262.704861111109</v>
      </c>
      <c r="S1738" s="252" t="s">
        <v>1442</v>
      </c>
      <c r="T1738" s="235" t="s">
        <v>478</v>
      </c>
      <c r="U1738" s="252"/>
      <c r="V1738" s="252" t="s">
        <v>2526</v>
      </c>
      <c r="Y1738" s="29" t="s">
        <v>158</v>
      </c>
      <c r="Z1738" s="29" t="s">
        <v>158</v>
      </c>
    </row>
    <row r="1739" spans="1:27" ht="15" hidden="1" customHeight="1">
      <c r="A1739" s="60">
        <f>ROW() - ROW(Table1[[#Headers],[s]])</f>
        <v>1738</v>
      </c>
      <c r="B1739" s="230" t="s">
        <v>7025</v>
      </c>
      <c r="C1739" s="23" t="s">
        <v>60</v>
      </c>
      <c r="D1739" s="19" t="s">
        <v>7026</v>
      </c>
      <c r="E1739" t="s">
        <v>5233</v>
      </c>
      <c r="F1739" s="18" t="e" vm="10">
        <v>#VALUE!</v>
      </c>
      <c r="G1739" s="5" t="s">
        <v>174</v>
      </c>
      <c r="H1739" s="18" t="s">
        <v>152</v>
      </c>
      <c r="I1739" s="18"/>
      <c r="J1739" s="18" t="s">
        <v>153</v>
      </c>
      <c r="K1739" s="20" t="s">
        <v>154</v>
      </c>
      <c r="L1739" s="20">
        <v>46261.668749999997</v>
      </c>
      <c r="M1739" s="18" t="s">
        <v>78</v>
      </c>
      <c r="N1739" s="55" t="s">
        <v>78</v>
      </c>
      <c r="O1739" s="3"/>
      <c r="P1739" s="22"/>
      <c r="S1739" s="364" t="s">
        <v>7027</v>
      </c>
      <c r="T1739" s="21" t="s">
        <v>50</v>
      </c>
      <c r="U1739" s="21"/>
      <c r="V1739" s="364" t="s">
        <v>7027</v>
      </c>
      <c r="Y1739" t="s">
        <v>179</v>
      </c>
      <c r="Z1739" t="s">
        <v>179</v>
      </c>
    </row>
    <row r="1740" spans="1:27" ht="15" hidden="1" customHeight="1">
      <c r="A1740" s="60">
        <f>ROW() - ROW(Table1[[#Headers],[s]])</f>
        <v>1739</v>
      </c>
      <c r="B1740" s="230" t="s">
        <v>7028</v>
      </c>
      <c r="C1740" s="272">
        <v>46235</v>
      </c>
      <c r="D1740" s="19" t="s">
        <v>7029</v>
      </c>
      <c r="E1740" t="s">
        <v>5233</v>
      </c>
      <c r="F1740" s="18" t="e" vm="10">
        <v>#VALUE!</v>
      </c>
      <c r="G1740" s="5" t="s">
        <v>174</v>
      </c>
      <c r="H1740" s="18" t="s">
        <v>152</v>
      </c>
      <c r="I1740" s="18"/>
      <c r="J1740" s="18" t="s">
        <v>153</v>
      </c>
      <c r="K1740" s="20" t="s">
        <v>154</v>
      </c>
      <c r="L1740" s="20">
        <v>46261.519444444442</v>
      </c>
      <c r="M1740" s="18" t="s">
        <v>78</v>
      </c>
      <c r="N1740" s="55" t="s">
        <v>78</v>
      </c>
      <c r="O1740" s="20">
        <v>46261.565972222219</v>
      </c>
      <c r="P1740" s="20">
        <v>46261.583333333336</v>
      </c>
      <c r="Q1740" s="20">
        <v>46261.677083333336</v>
      </c>
      <c r="S1740" s="21" t="s">
        <v>7030</v>
      </c>
      <c r="T1740" s="18" t="s">
        <v>478</v>
      </c>
      <c r="U1740" s="21"/>
      <c r="V1740" s="21" t="s">
        <v>7031</v>
      </c>
      <c r="Y1740" t="s">
        <v>158</v>
      </c>
      <c r="Z1740" t="s">
        <v>70</v>
      </c>
    </row>
    <row r="1741" spans="1:27" ht="15" hidden="1" customHeight="1">
      <c r="A1741" s="60">
        <f>ROW() - ROW(Table1[[#Headers],[s]])</f>
        <v>1740</v>
      </c>
      <c r="B1741" s="230" t="s">
        <v>7032</v>
      </c>
      <c r="C1741" s="272">
        <v>46235</v>
      </c>
      <c r="D1741" s="19" t="s">
        <v>7033</v>
      </c>
      <c r="E1741" t="s">
        <v>7034</v>
      </c>
      <c r="F1741" s="18" t="e" vm="10">
        <v>#VALUE!</v>
      </c>
      <c r="G1741" s="5" t="s">
        <v>174</v>
      </c>
      <c r="H1741" s="18" t="s">
        <v>152</v>
      </c>
      <c r="I1741" s="18"/>
      <c r="J1741" s="18" t="s">
        <v>153</v>
      </c>
      <c r="K1741" s="20" t="s">
        <v>154</v>
      </c>
      <c r="L1741" s="20">
        <v>46261.518055555556</v>
      </c>
      <c r="M1741" s="18" t="s">
        <v>78</v>
      </c>
      <c r="N1741" s="55" t="s">
        <v>78</v>
      </c>
      <c r="O1741" s="20">
        <v>46261.565972222219</v>
      </c>
      <c r="P1741" s="20">
        <v>46261.583333333336</v>
      </c>
      <c r="Q1741" s="20">
        <v>46261.618055555555</v>
      </c>
      <c r="S1741" s="21" t="s">
        <v>7035</v>
      </c>
      <c r="T1741" s="18" t="s">
        <v>478</v>
      </c>
      <c r="U1741" s="21"/>
      <c r="V1741" s="21" t="s">
        <v>930</v>
      </c>
      <c r="Y1741" t="s">
        <v>158</v>
      </c>
      <c r="Z1741" t="s">
        <v>70</v>
      </c>
    </row>
    <row r="1742" spans="1:27" ht="15" hidden="1" customHeight="1">
      <c r="A1742" s="60">
        <f>ROW() - ROW(Table1[[#Headers],[s]])</f>
        <v>1741</v>
      </c>
      <c r="B1742" s="230" t="s">
        <v>7036</v>
      </c>
      <c r="C1742" s="272">
        <v>46235</v>
      </c>
      <c r="D1742" s="19" t="s">
        <v>7037</v>
      </c>
      <c r="E1742" t="s">
        <v>6802</v>
      </c>
      <c r="F1742" s="18" t="e" vm="25">
        <v>#VALUE!</v>
      </c>
      <c r="G1742" s="5" t="s">
        <v>174</v>
      </c>
      <c r="H1742" s="18" t="s">
        <v>152</v>
      </c>
      <c r="I1742" s="18"/>
      <c r="J1742" s="18" t="s">
        <v>153</v>
      </c>
      <c r="K1742" s="20" t="s">
        <v>154</v>
      </c>
      <c r="L1742" s="20">
        <v>46261.518055555556</v>
      </c>
      <c r="M1742" s="55" t="s">
        <v>53</v>
      </c>
      <c r="N1742" s="55" t="s">
        <v>53</v>
      </c>
      <c r="O1742" s="20">
        <v>46261.583333333336</v>
      </c>
      <c r="P1742" s="20">
        <v>46261.590277777781</v>
      </c>
      <c r="Q1742" s="20">
        <v>46261.635416666664</v>
      </c>
      <c r="S1742" s="21" t="s">
        <v>3010</v>
      </c>
      <c r="T1742" s="18" t="s">
        <v>478</v>
      </c>
      <c r="U1742" s="21"/>
      <c r="V1742" s="21" t="s">
        <v>3012</v>
      </c>
      <c r="Y1742" t="s">
        <v>158</v>
      </c>
      <c r="Z1742" t="s">
        <v>70</v>
      </c>
    </row>
    <row r="1743" spans="1:27" ht="15" hidden="1" customHeight="1">
      <c r="A1743" s="60">
        <f>ROW() - ROW(Table1[[#Headers],[s]])</f>
        <v>1742</v>
      </c>
      <c r="B1743" s="230" t="s">
        <v>7038</v>
      </c>
      <c r="C1743" s="272">
        <v>46235</v>
      </c>
      <c r="D1743" s="19" t="s">
        <v>7039</v>
      </c>
      <c r="E1743" t="s">
        <v>5233</v>
      </c>
      <c r="F1743" s="18" t="e" vm="10">
        <v>#VALUE!</v>
      </c>
      <c r="G1743" s="5" t="s">
        <v>174</v>
      </c>
      <c r="H1743" s="18" t="s">
        <v>152</v>
      </c>
      <c r="I1743" s="18"/>
      <c r="J1743" s="18" t="s">
        <v>153</v>
      </c>
      <c r="K1743" s="20" t="s">
        <v>154</v>
      </c>
      <c r="L1743" s="20">
        <v>46261.411805555559</v>
      </c>
      <c r="M1743" s="18" t="s">
        <v>78</v>
      </c>
      <c r="N1743" s="55" t="s">
        <v>78</v>
      </c>
      <c r="O1743" s="20">
        <v>46261.482638888891</v>
      </c>
      <c r="P1743" s="20">
        <v>46261.524305555555</v>
      </c>
      <c r="Q1743" s="20">
        <v>46261.5625</v>
      </c>
      <c r="S1743" s="21" t="s">
        <v>7040</v>
      </c>
      <c r="T1743" s="18" t="s">
        <v>478</v>
      </c>
      <c r="U1743" s="21"/>
      <c r="V1743" s="21" t="s">
        <v>4396</v>
      </c>
      <c r="Y1743" t="s">
        <v>158</v>
      </c>
      <c r="Z1743" t="s">
        <v>70</v>
      </c>
    </row>
    <row r="1744" spans="1:27" s="29" customFormat="1" ht="15" hidden="1" customHeight="1">
      <c r="A1744" s="60">
        <f>ROW() - ROW(Table1[[#Headers],[s]])</f>
        <v>1743</v>
      </c>
      <c r="B1744" s="29" t="s">
        <v>7041</v>
      </c>
      <c r="C1744" s="409" t="s">
        <v>60</v>
      </c>
      <c r="D1744" s="234" t="s">
        <v>7042</v>
      </c>
      <c r="E1744" s="29" t="s">
        <v>5449</v>
      </c>
      <c r="F1744" s="235" t="e" vm="7">
        <v>#VALUE!</v>
      </c>
      <c r="G1744" s="410" t="s">
        <v>200</v>
      </c>
      <c r="H1744" s="235" t="s">
        <v>747</v>
      </c>
      <c r="I1744" s="235" t="s">
        <v>3101</v>
      </c>
      <c r="J1744" s="235" t="s">
        <v>253</v>
      </c>
      <c r="K1744" s="235" t="s">
        <v>3101</v>
      </c>
      <c r="L1744" s="251"/>
      <c r="M1744" s="235" t="s">
        <v>179</v>
      </c>
      <c r="N1744" s="235" t="s">
        <v>179</v>
      </c>
      <c r="O1744" s="235" t="s">
        <v>179</v>
      </c>
      <c r="P1744" s="235" t="s">
        <v>179</v>
      </c>
      <c r="Q1744" s="235" t="s">
        <v>179</v>
      </c>
      <c r="R1744" s="235" t="s">
        <v>179</v>
      </c>
      <c r="S1744" s="235" t="s">
        <v>179</v>
      </c>
      <c r="T1744" s="235" t="s">
        <v>179</v>
      </c>
      <c r="U1744" s="235" t="s">
        <v>179</v>
      </c>
      <c r="V1744" s="235" t="s">
        <v>179</v>
      </c>
      <c r="W1744" s="235" t="s">
        <v>179</v>
      </c>
      <c r="X1744" s="235" t="s">
        <v>179</v>
      </c>
      <c r="Y1744" s="235" t="s">
        <v>179</v>
      </c>
      <c r="Z1744" s="235" t="s">
        <v>179</v>
      </c>
    </row>
    <row r="1745" spans="1:26" ht="15" hidden="1" customHeight="1">
      <c r="A1745" s="60">
        <f>ROW() - ROW(Table1[[#Headers],[s]])</f>
        <v>1744</v>
      </c>
      <c r="B1745" t="s">
        <v>7043</v>
      </c>
      <c r="C1745" s="272">
        <v>46235</v>
      </c>
      <c r="D1745" s="52" t="s">
        <v>7044</v>
      </c>
      <c r="E1745" t="s">
        <v>6094</v>
      </c>
      <c r="F1745" s="18" t="e" vm="49">
        <v>#VALUE!</v>
      </c>
      <c r="G1745" s="5" t="s">
        <v>200</v>
      </c>
      <c r="H1745" s="18" t="s">
        <v>152</v>
      </c>
      <c r="I1745" s="18"/>
      <c r="J1745" s="18" t="s">
        <v>153</v>
      </c>
      <c r="K1745" s="44" t="s">
        <v>154</v>
      </c>
      <c r="L1745" s="44">
        <v>46262.415277777778</v>
      </c>
      <c r="M1745" s="55" t="s">
        <v>227</v>
      </c>
      <c r="N1745" s="55" t="s">
        <v>227</v>
      </c>
      <c r="O1745" s="56">
        <v>46262.416666666664</v>
      </c>
      <c r="P1745" s="22">
        <v>46262.458333333336</v>
      </c>
      <c r="Q1745" s="58">
        <v>46262.479166666664</v>
      </c>
      <c r="S1745" s="21" t="s">
        <v>7045</v>
      </c>
      <c r="T1745" s="55" t="s">
        <v>179</v>
      </c>
      <c r="U1745" s="21"/>
      <c r="V1745" s="53" t="s">
        <v>7045</v>
      </c>
      <c r="Y1745" t="s">
        <v>158</v>
      </c>
      <c r="Z1745" t="s">
        <v>70</v>
      </c>
    </row>
    <row r="1746" spans="1:26" ht="15" hidden="1" customHeight="1">
      <c r="A1746" s="60">
        <f>ROW() - ROW(Table1[[#Headers],[s]])</f>
        <v>1745</v>
      </c>
      <c r="B1746" t="s">
        <v>7046</v>
      </c>
      <c r="C1746" s="272">
        <v>46235</v>
      </c>
      <c r="D1746" s="52" t="s">
        <v>7047</v>
      </c>
      <c r="E1746" t="s">
        <v>7048</v>
      </c>
      <c r="F1746" s="18" t="e" vm="10">
        <v>#VALUE!</v>
      </c>
      <c r="G1746" s="5" t="s">
        <v>200</v>
      </c>
      <c r="H1746" s="18" t="s">
        <v>152</v>
      </c>
      <c r="I1746" s="18"/>
      <c r="J1746" s="18" t="s">
        <v>153</v>
      </c>
      <c r="K1746" s="20" t="s">
        <v>371</v>
      </c>
      <c r="L1746" s="20">
        <v>46262.416666666664</v>
      </c>
      <c r="M1746" s="18" t="s">
        <v>78</v>
      </c>
      <c r="N1746" s="55" t="s">
        <v>78</v>
      </c>
      <c r="O1746" s="3">
        <v>46262.708333333336</v>
      </c>
      <c r="P1746" s="22">
        <v>46262.729166666664</v>
      </c>
      <c r="Q1746" s="22">
        <v>46262.75</v>
      </c>
      <c r="S1746" s="21" t="s">
        <v>7049</v>
      </c>
      <c r="T1746" s="18" t="s">
        <v>478</v>
      </c>
      <c r="U1746" s="21"/>
      <c r="V1746" s="21" t="s">
        <v>374</v>
      </c>
      <c r="Y1746" t="s">
        <v>158</v>
      </c>
      <c r="Z1746" t="s">
        <v>70</v>
      </c>
    </row>
    <row r="1747" spans="1:26" ht="15" hidden="1" customHeight="1">
      <c r="A1747" s="60">
        <f>ROW() - ROW(Table1[[#Headers],[s]])</f>
        <v>1746</v>
      </c>
      <c r="B1747" t="s">
        <v>7050</v>
      </c>
      <c r="C1747" s="272">
        <v>46235</v>
      </c>
      <c r="D1747" s="52" t="s">
        <v>7051</v>
      </c>
      <c r="E1747" t="s">
        <v>7048</v>
      </c>
      <c r="F1747" s="18" t="e" vm="10">
        <v>#VALUE!</v>
      </c>
      <c r="G1747" s="5" t="s">
        <v>200</v>
      </c>
      <c r="H1747" s="18" t="s">
        <v>152</v>
      </c>
      <c r="I1747" s="18"/>
      <c r="J1747" s="18" t="s">
        <v>153</v>
      </c>
      <c r="K1747" s="20" t="s">
        <v>371</v>
      </c>
      <c r="L1747" s="20">
        <v>46262.416666666664</v>
      </c>
      <c r="M1747" s="18" t="s">
        <v>78</v>
      </c>
      <c r="N1747" s="55" t="s">
        <v>78</v>
      </c>
      <c r="O1747" s="3">
        <v>46262.708333333336</v>
      </c>
      <c r="P1747" s="22">
        <v>46262.71875</v>
      </c>
      <c r="Q1747" s="22">
        <v>46262.729166666664</v>
      </c>
      <c r="S1747" s="21" t="s">
        <v>512</v>
      </c>
      <c r="T1747" s="18" t="s">
        <v>50</v>
      </c>
      <c r="U1747" s="21"/>
      <c r="V1747" s="21" t="s">
        <v>513</v>
      </c>
      <c r="Y1747" t="s">
        <v>158</v>
      </c>
      <c r="Z1747" t="s">
        <v>70</v>
      </c>
    </row>
    <row r="1748" spans="1:26" s="29" customFormat="1" ht="15" hidden="1" customHeight="1">
      <c r="A1748" s="60">
        <f>ROW() - ROW(Table1[[#Headers],[s]])</f>
        <v>1747</v>
      </c>
      <c r="B1748" s="29" t="s">
        <v>7052</v>
      </c>
      <c r="C1748" s="276">
        <v>46235</v>
      </c>
      <c r="D1748" s="234" t="s">
        <v>7053</v>
      </c>
      <c r="E1748" s="29" t="s">
        <v>5920</v>
      </c>
      <c r="F1748" s="235" t="e" vm="25">
        <v>#VALUE!</v>
      </c>
      <c r="G1748" s="410" t="s">
        <v>200</v>
      </c>
      <c r="H1748" s="235" t="s">
        <v>152</v>
      </c>
      <c r="I1748" s="235"/>
      <c r="J1748" s="235" t="s">
        <v>153</v>
      </c>
      <c r="K1748" s="251" t="s">
        <v>154</v>
      </c>
      <c r="L1748" s="251">
        <v>46262.443055555559</v>
      </c>
      <c r="M1748" s="235" t="s">
        <v>1499</v>
      </c>
      <c r="N1748" s="235" t="s">
        <v>1499</v>
      </c>
      <c r="O1748" s="411">
        <v>46262.5</v>
      </c>
      <c r="P1748" s="412">
        <v>46262.541666666664</v>
      </c>
      <c r="Q1748" s="412">
        <v>46263.208333333336</v>
      </c>
      <c r="S1748" s="252" t="s">
        <v>7054</v>
      </c>
      <c r="T1748" s="235" t="s">
        <v>7055</v>
      </c>
      <c r="U1748" s="252"/>
      <c r="V1748" s="408" t="s">
        <v>7056</v>
      </c>
      <c r="W1748" s="439" t="s">
        <v>7056</v>
      </c>
      <c r="Y1748" s="29" t="s">
        <v>70</v>
      </c>
      <c r="Z1748" s="29" t="s">
        <v>70</v>
      </c>
    </row>
    <row r="1749" spans="1:26" s="29" customFormat="1" ht="15" hidden="1" customHeight="1">
      <c r="A1749" s="60">
        <f>ROW() - ROW(Table1[[#Headers],[s]])</f>
        <v>1748</v>
      </c>
      <c r="B1749" s="29" t="s">
        <v>7057</v>
      </c>
      <c r="C1749" s="438" t="s">
        <v>60</v>
      </c>
      <c r="D1749" s="150" t="s">
        <v>7058</v>
      </c>
      <c r="E1749" s="29" t="s">
        <v>5920</v>
      </c>
      <c r="F1749" s="235" t="e" vm="25">
        <v>#VALUE!</v>
      </c>
      <c r="G1749" s="410" t="s">
        <v>200</v>
      </c>
      <c r="H1749" s="235" t="s">
        <v>152</v>
      </c>
      <c r="I1749" s="235" t="s">
        <v>7059</v>
      </c>
      <c r="J1749" s="235" t="s">
        <v>153</v>
      </c>
      <c r="K1749" s="235" t="s">
        <v>7059</v>
      </c>
      <c r="L1749" s="151"/>
      <c r="M1749" s="153" t="s">
        <v>179</v>
      </c>
      <c r="N1749" s="153" t="s">
        <v>179</v>
      </c>
      <c r="O1749" s="153" t="s">
        <v>179</v>
      </c>
      <c r="P1749" s="153" t="s">
        <v>179</v>
      </c>
      <c r="Q1749" s="153" t="s">
        <v>179</v>
      </c>
      <c r="R1749" s="153" t="s">
        <v>179</v>
      </c>
      <c r="S1749" s="153" t="s">
        <v>179</v>
      </c>
      <c r="T1749" s="153" t="s">
        <v>179</v>
      </c>
      <c r="U1749" s="153" t="s">
        <v>179</v>
      </c>
      <c r="V1749" s="153" t="s">
        <v>179</v>
      </c>
      <c r="W1749" s="153" t="s">
        <v>179</v>
      </c>
      <c r="X1749" s="153" t="s">
        <v>179</v>
      </c>
      <c r="Y1749" s="153" t="s">
        <v>179</v>
      </c>
      <c r="Z1749" s="153" t="s">
        <v>179</v>
      </c>
    </row>
    <row r="1750" spans="1:26" ht="15" hidden="1" customHeight="1">
      <c r="A1750" s="60">
        <f>ROW() - ROW(Table1[[#Headers],[s]])</f>
        <v>1749</v>
      </c>
      <c r="B1750" t="s">
        <v>7060</v>
      </c>
      <c r="C1750" s="163">
        <v>46235</v>
      </c>
      <c r="D1750" s="19" t="s">
        <v>7061</v>
      </c>
      <c r="E1750" t="s">
        <v>7062</v>
      </c>
      <c r="F1750" s="18" t="e" vm="35">
        <v>#VALUE!</v>
      </c>
      <c r="G1750" s="5" t="s">
        <v>200</v>
      </c>
      <c r="H1750" s="18" t="s">
        <v>152</v>
      </c>
      <c r="I1750" s="18"/>
      <c r="J1750" s="18" t="s">
        <v>153</v>
      </c>
      <c r="K1750" s="20" t="s">
        <v>154</v>
      </c>
      <c r="L1750" s="20">
        <v>46262.611805555556</v>
      </c>
      <c r="M1750" s="18" t="s">
        <v>227</v>
      </c>
      <c r="N1750" s="18" t="s">
        <v>227</v>
      </c>
      <c r="O1750" s="3">
        <v>46262.708333333336</v>
      </c>
      <c r="P1750" s="22">
        <v>46262.708333333336</v>
      </c>
      <c r="Q1750" s="22">
        <v>46262.729166666664</v>
      </c>
      <c r="S1750" s="21" t="s">
        <v>7063</v>
      </c>
      <c r="T1750" s="18" t="s">
        <v>2926</v>
      </c>
      <c r="U1750" s="21"/>
      <c r="V1750" s="21" t="s">
        <v>7063</v>
      </c>
      <c r="Y1750" t="s">
        <v>158</v>
      </c>
      <c r="Z1750" t="s">
        <v>70</v>
      </c>
    </row>
    <row r="1751" spans="1:26" ht="15" hidden="1" customHeight="1">
      <c r="A1751" s="60">
        <f>ROW() - ROW(Table1[[#Headers],[s]])</f>
        <v>1750</v>
      </c>
      <c r="B1751" t="s">
        <v>7064</v>
      </c>
      <c r="C1751" s="163">
        <v>46235</v>
      </c>
      <c r="D1751" s="52" t="s">
        <v>7065</v>
      </c>
      <c r="E1751" t="s">
        <v>7066</v>
      </c>
      <c r="F1751" s="18" t="e" vm="35">
        <v>#VALUE!</v>
      </c>
      <c r="G1751" s="43" t="s">
        <v>200</v>
      </c>
      <c r="H1751" s="18" t="s">
        <v>747</v>
      </c>
      <c r="I1751" s="18"/>
      <c r="J1751" s="18" t="s">
        <v>253</v>
      </c>
      <c r="K1751" s="44" t="s">
        <v>371</v>
      </c>
      <c r="L1751" s="44">
        <v>46262.583333333336</v>
      </c>
      <c r="M1751" s="18" t="s">
        <v>227</v>
      </c>
      <c r="N1751" s="18" t="s">
        <v>227</v>
      </c>
      <c r="O1751" s="56"/>
      <c r="P1751" s="22"/>
      <c r="Q1751" s="58">
        <v>46262.815972222219</v>
      </c>
      <c r="S1751" s="21" t="s">
        <v>7067</v>
      </c>
      <c r="T1751" s="55" t="s">
        <v>478</v>
      </c>
      <c r="U1751" s="21"/>
      <c r="V1751" s="53" t="s">
        <v>7068</v>
      </c>
      <c r="Y1751" t="s">
        <v>158</v>
      </c>
      <c r="Z1751" t="s">
        <v>70</v>
      </c>
    </row>
    <row r="1752" spans="1:26" ht="15" hidden="1" customHeight="1">
      <c r="A1752" s="60">
        <f>ROW() - ROW(Table1[[#Headers],[s]])</f>
        <v>1751</v>
      </c>
      <c r="B1752" t="s">
        <v>7069</v>
      </c>
      <c r="C1752" s="163">
        <v>46235</v>
      </c>
      <c r="D1752" s="19" t="s">
        <v>7070</v>
      </c>
      <c r="E1752" t="s">
        <v>6682</v>
      </c>
      <c r="F1752" s="18" t="e" vm="16">
        <v>#VALUE!</v>
      </c>
      <c r="G1752" s="5" t="s">
        <v>200</v>
      </c>
      <c r="H1752" s="18" t="s">
        <v>152</v>
      </c>
      <c r="I1752" s="18"/>
      <c r="J1752" s="18" t="s">
        <v>153</v>
      </c>
      <c r="K1752" s="20" t="s">
        <v>154</v>
      </c>
      <c r="L1752" s="20">
        <v>46262.611111111109</v>
      </c>
      <c r="M1752" s="18" t="s">
        <v>58</v>
      </c>
      <c r="N1752" s="18" t="s">
        <v>58</v>
      </c>
      <c r="O1752" s="3">
        <v>46262.708333333336</v>
      </c>
      <c r="P1752" s="22">
        <v>46262.708333333336</v>
      </c>
      <c r="Q1752" s="22">
        <v>46262.729166666664</v>
      </c>
      <c r="S1752" s="21" t="s">
        <v>7071</v>
      </c>
      <c r="T1752" s="18" t="s">
        <v>179</v>
      </c>
      <c r="U1752" s="21"/>
      <c r="V1752" s="21" t="s">
        <v>7072</v>
      </c>
      <c r="Y1752" t="s">
        <v>158</v>
      </c>
      <c r="Z1752" t="s">
        <v>70</v>
      </c>
    </row>
    <row r="1753" spans="1:26" ht="15" hidden="1" customHeight="1">
      <c r="A1753" s="60">
        <f>ROW() - ROW(Table1[[#Headers],[s]])</f>
        <v>1752</v>
      </c>
      <c r="B1753" t="s">
        <v>7073</v>
      </c>
      <c r="C1753" s="163">
        <v>46235</v>
      </c>
      <c r="D1753" s="52" t="s">
        <v>7074</v>
      </c>
      <c r="E1753" t="s">
        <v>6486</v>
      </c>
      <c r="F1753" s="18" t="e" vm="25">
        <v>#VALUE!</v>
      </c>
      <c r="G1753" s="43" t="s">
        <v>200</v>
      </c>
      <c r="H1753" s="18" t="s">
        <v>245</v>
      </c>
      <c r="I1753" s="18"/>
      <c r="J1753" s="18" t="s">
        <v>253</v>
      </c>
      <c r="K1753" s="44"/>
      <c r="L1753" s="44">
        <v>46262.494444444441</v>
      </c>
      <c r="M1753" s="55" t="s">
        <v>72</v>
      </c>
      <c r="N1753" s="55" t="s">
        <v>72</v>
      </c>
      <c r="O1753" s="56">
        <v>46262.583333333336</v>
      </c>
      <c r="P1753" s="22">
        <v>46262.583333333336</v>
      </c>
      <c r="Q1753" s="58">
        <v>46262.658333333333</v>
      </c>
      <c r="S1753" s="21" t="s">
        <v>1442</v>
      </c>
      <c r="T1753" s="55" t="s">
        <v>478</v>
      </c>
      <c r="U1753" s="21"/>
      <c r="V1753" s="53" t="s">
        <v>239</v>
      </c>
      <c r="Y1753" t="s">
        <v>158</v>
      </c>
      <c r="Z1753" t="s">
        <v>158</v>
      </c>
    </row>
    <row r="1754" spans="1:26" ht="15" hidden="1" customHeight="1">
      <c r="A1754" s="60">
        <f>ROW() - ROW(Table1[[#Headers],[s]])</f>
        <v>1753</v>
      </c>
      <c r="B1754" t="s">
        <v>7025</v>
      </c>
      <c r="C1754" s="163">
        <v>46235</v>
      </c>
      <c r="D1754" s="19" t="s">
        <v>7075</v>
      </c>
      <c r="E1754" t="s">
        <v>7048</v>
      </c>
      <c r="F1754" s="18" t="e" vm="10">
        <v>#VALUE!</v>
      </c>
      <c r="G1754" s="5" t="s">
        <v>200</v>
      </c>
      <c r="H1754" s="18" t="s">
        <v>152</v>
      </c>
      <c r="I1754" s="18"/>
      <c r="J1754" s="18" t="s">
        <v>153</v>
      </c>
      <c r="K1754" s="20" t="s">
        <v>371</v>
      </c>
      <c r="L1754" s="20">
        <v>46262.67291666667</v>
      </c>
      <c r="M1754" s="18" t="s">
        <v>78</v>
      </c>
      <c r="N1754" s="55" t="s">
        <v>78</v>
      </c>
      <c r="O1754" s="3">
        <v>46262.791666666664</v>
      </c>
      <c r="P1754" s="22">
        <v>46262.8125</v>
      </c>
      <c r="Q1754" s="22">
        <v>46262.833333333336</v>
      </c>
      <c r="S1754" s="21" t="s">
        <v>1088</v>
      </c>
      <c r="T1754" s="18" t="s">
        <v>179</v>
      </c>
      <c r="U1754" s="21"/>
      <c r="V1754" s="21" t="s">
        <v>374</v>
      </c>
      <c r="Y1754" t="s">
        <v>158</v>
      </c>
      <c r="Z1754" t="s">
        <v>70</v>
      </c>
    </row>
    <row r="1755" spans="1:26" ht="15" hidden="1" customHeight="1">
      <c r="A1755" s="60">
        <f>ROW() - ROW(Table1[[#Headers],[s]])</f>
        <v>1754</v>
      </c>
      <c r="B1755" t="s">
        <v>7076</v>
      </c>
      <c r="C1755" s="163">
        <v>46235</v>
      </c>
      <c r="D1755" s="19" t="s">
        <v>7077</v>
      </c>
      <c r="E1755" t="s">
        <v>7048</v>
      </c>
      <c r="F1755" s="18" t="e" vm="10">
        <v>#VALUE!</v>
      </c>
      <c r="G1755" s="5" t="s">
        <v>200</v>
      </c>
      <c r="H1755" s="18" t="s">
        <v>152</v>
      </c>
      <c r="I1755" s="18"/>
      <c r="J1755" s="18" t="s">
        <v>153</v>
      </c>
      <c r="K1755" s="20" t="s">
        <v>371</v>
      </c>
      <c r="L1755" s="20">
        <v>46262.611805555556</v>
      </c>
      <c r="M1755" s="18" t="s">
        <v>78</v>
      </c>
      <c r="N1755" s="55" t="s">
        <v>78</v>
      </c>
      <c r="O1755" s="3">
        <v>46262.833333333336</v>
      </c>
      <c r="P1755" s="22">
        <v>46262.875</v>
      </c>
      <c r="Q1755" s="22">
        <v>46262.895833333336</v>
      </c>
      <c r="S1755" s="21" t="s">
        <v>7078</v>
      </c>
      <c r="T1755" s="18" t="s">
        <v>179</v>
      </c>
      <c r="U1755" s="21"/>
      <c r="V1755" s="21" t="s">
        <v>7079</v>
      </c>
      <c r="Y1755" t="s">
        <v>158</v>
      </c>
      <c r="Z1755" t="s">
        <v>70</v>
      </c>
    </row>
    <row r="1756" spans="1:26" ht="15" hidden="1" customHeight="1">
      <c r="A1756" s="60">
        <f>ROW() - ROW(Table1[[#Headers],[s]])</f>
        <v>1755</v>
      </c>
      <c r="B1756" t="s">
        <v>7080</v>
      </c>
      <c r="C1756" s="163">
        <v>46235</v>
      </c>
      <c r="D1756" s="19" t="s">
        <v>7081</v>
      </c>
      <c r="E1756" t="s">
        <v>7048</v>
      </c>
      <c r="F1756" s="18" t="e" vm="10">
        <v>#VALUE!</v>
      </c>
      <c r="G1756" s="5" t="s">
        <v>200</v>
      </c>
      <c r="H1756" s="18" t="s">
        <v>152</v>
      </c>
      <c r="I1756" s="18"/>
      <c r="J1756" s="18" t="s">
        <v>153</v>
      </c>
      <c r="K1756" s="20" t="s">
        <v>371</v>
      </c>
      <c r="L1756" s="20">
        <v>46262.70416666667</v>
      </c>
      <c r="M1756" s="18" t="s">
        <v>78</v>
      </c>
      <c r="N1756" s="55" t="s">
        <v>78</v>
      </c>
      <c r="O1756" s="3">
        <v>46262.791666666664</v>
      </c>
      <c r="P1756" s="22">
        <v>46262.8125</v>
      </c>
      <c r="Q1756" s="22">
        <v>46255.875</v>
      </c>
      <c r="S1756" s="21" t="s">
        <v>7082</v>
      </c>
      <c r="T1756" s="18" t="s">
        <v>516</v>
      </c>
      <c r="U1756" s="21"/>
      <c r="V1756" s="21" t="s">
        <v>2851</v>
      </c>
      <c r="Y1756" t="s">
        <v>158</v>
      </c>
      <c r="Z1756" t="s">
        <v>70</v>
      </c>
    </row>
    <row r="1757" spans="1:26" ht="15" customHeight="1">
      <c r="A1757" s="60">
        <f>ROW() - ROW(Table1[[#Headers],[s]])</f>
        <v>1756</v>
      </c>
      <c r="B1757" t="s">
        <v>7083</v>
      </c>
      <c r="C1757" s="272">
        <v>46235</v>
      </c>
      <c r="D1757" s="19" t="s">
        <v>7084</v>
      </c>
      <c r="E1757" t="s">
        <v>6041</v>
      </c>
      <c r="F1757" s="18" t="e" vm="25">
        <v>#VALUE!</v>
      </c>
      <c r="G1757" s="5" t="s">
        <v>186</v>
      </c>
      <c r="H1757" s="18" t="s">
        <v>152</v>
      </c>
      <c r="I1757" t="s">
        <v>43</v>
      </c>
      <c r="J1757" s="18" t="s">
        <v>153</v>
      </c>
      <c r="K1757" s="20" t="s">
        <v>371</v>
      </c>
      <c r="L1757" s="20">
        <v>46262.672222222223</v>
      </c>
      <c r="M1757" s="18" t="s">
        <v>566</v>
      </c>
      <c r="N1757" s="18" t="s">
        <v>72</v>
      </c>
      <c r="O1757" s="3">
        <v>46264.333333333336</v>
      </c>
      <c r="P1757" s="22">
        <v>46264.375</v>
      </c>
      <c r="Q1757" s="22">
        <v>46264.5</v>
      </c>
      <c r="S1757" s="21" t="s">
        <v>7085</v>
      </c>
      <c r="T1757" s="55" t="s">
        <v>164</v>
      </c>
      <c r="U1757" s="21"/>
      <c r="V1757" s="21" t="s">
        <v>7086</v>
      </c>
      <c r="Y1757" t="s">
        <v>70</v>
      </c>
      <c r="Z1757" t="s">
        <v>70</v>
      </c>
    </row>
    <row r="1758" spans="1:26" ht="15" customHeight="1">
      <c r="A1758" s="60">
        <f>ROW() - ROW(Table1[[#Headers],[s]])</f>
        <v>1757</v>
      </c>
      <c r="B1758" t="s">
        <v>7087</v>
      </c>
      <c r="C1758" s="272">
        <v>46235</v>
      </c>
      <c r="D1758" s="19" t="s">
        <v>7088</v>
      </c>
      <c r="E1758" t="s">
        <v>7089</v>
      </c>
      <c r="F1758" s="18" t="e" vm="35">
        <v>#VALUE!</v>
      </c>
      <c r="G1758" s="5" t="s">
        <v>186</v>
      </c>
      <c r="H1758" s="18" t="s">
        <v>152</v>
      </c>
      <c r="I1758" t="s">
        <v>43</v>
      </c>
      <c r="J1758" s="18" t="s">
        <v>153</v>
      </c>
      <c r="K1758" s="20" t="s">
        <v>371</v>
      </c>
      <c r="L1758" s="20">
        <v>46262.492361111108</v>
      </c>
      <c r="M1758" s="18" t="s">
        <v>44</v>
      </c>
      <c r="N1758" s="18" t="s">
        <v>44</v>
      </c>
      <c r="O1758" s="3">
        <v>46263.208333333336</v>
      </c>
      <c r="P1758" s="22">
        <v>46263.5</v>
      </c>
      <c r="Q1758" s="22">
        <v>46263.666666666664</v>
      </c>
      <c r="S1758" s="21" t="s">
        <v>7090</v>
      </c>
      <c r="T1758" s="18" t="s">
        <v>478</v>
      </c>
      <c r="U1758" s="21"/>
      <c r="V1758" s="21" t="s">
        <v>299</v>
      </c>
      <c r="Y1758" t="s">
        <v>70</v>
      </c>
      <c r="Z1758" t="s">
        <v>158</v>
      </c>
    </row>
    <row r="1759" spans="1:26" ht="15" customHeight="1">
      <c r="A1759" s="60">
        <f>ROW() - ROW(Table1[[#Headers],[s]])</f>
        <v>1758</v>
      </c>
      <c r="B1759" t="s">
        <v>7091</v>
      </c>
      <c r="C1759" s="272">
        <v>46235</v>
      </c>
      <c r="D1759" s="19" t="s">
        <v>7092</v>
      </c>
      <c r="E1759" t="s">
        <v>7093</v>
      </c>
      <c r="F1759" s="18" t="e" vm="49">
        <v>#VALUE!</v>
      </c>
      <c r="G1759" s="5" t="s">
        <v>186</v>
      </c>
      <c r="H1759" s="18" t="s">
        <v>152</v>
      </c>
      <c r="I1759" t="s">
        <v>43</v>
      </c>
      <c r="J1759" s="18" t="s">
        <v>153</v>
      </c>
      <c r="K1759" s="20" t="s">
        <v>371</v>
      </c>
      <c r="L1759" s="20">
        <v>46263.552083333336</v>
      </c>
      <c r="M1759" s="18" t="s">
        <v>7094</v>
      </c>
      <c r="N1759" s="18" t="s">
        <v>7094</v>
      </c>
      <c r="O1759" s="3">
        <v>46263.666666666664</v>
      </c>
      <c r="P1759" s="22">
        <v>46263.673611111109</v>
      </c>
      <c r="Q1759" s="22">
        <v>46263.708333333336</v>
      </c>
      <c r="S1759" s="21" t="s">
        <v>7095</v>
      </c>
      <c r="T1759" s="55" t="s">
        <v>478</v>
      </c>
      <c r="U1759" s="21"/>
      <c r="V1759" s="21" t="s">
        <v>7096</v>
      </c>
      <c r="Y1759" t="s">
        <v>158</v>
      </c>
      <c r="Z1759" t="s">
        <v>70</v>
      </c>
    </row>
    <row r="1760" spans="1:26" ht="15" customHeight="1">
      <c r="A1760" s="60">
        <f>ROW() - ROW(Table1[[#Headers],[s]])</f>
        <v>1759</v>
      </c>
      <c r="B1760" t="s">
        <v>7097</v>
      </c>
      <c r="C1760" s="272">
        <v>46235</v>
      </c>
      <c r="D1760" s="19" t="s">
        <v>7098</v>
      </c>
      <c r="E1760" t="s">
        <v>5637</v>
      </c>
      <c r="F1760" s="18" t="e" vm="49">
        <v>#VALUE!</v>
      </c>
      <c r="G1760" s="5" t="s">
        <v>186</v>
      </c>
      <c r="H1760" s="18" t="s">
        <v>152</v>
      </c>
      <c r="I1760" t="s">
        <v>43</v>
      </c>
      <c r="J1760" s="18" t="s">
        <v>153</v>
      </c>
      <c r="K1760" s="20" t="s">
        <v>371</v>
      </c>
      <c r="L1760" s="20">
        <v>46263.556250000001</v>
      </c>
      <c r="M1760" s="18" t="s">
        <v>7094</v>
      </c>
      <c r="N1760" s="18" t="s">
        <v>7094</v>
      </c>
      <c r="O1760" s="3">
        <v>46263.59375</v>
      </c>
      <c r="P1760" s="22">
        <v>46263.600694444445</v>
      </c>
      <c r="Q1760" s="22">
        <v>46263.620138888888</v>
      </c>
      <c r="S1760" s="21" t="s">
        <v>7099</v>
      </c>
      <c r="T1760" s="55" t="s">
        <v>478</v>
      </c>
      <c r="U1760" s="21"/>
      <c r="V1760" s="21" t="s">
        <v>7096</v>
      </c>
      <c r="Y1760" t="s">
        <v>158</v>
      </c>
      <c r="Z1760" t="s">
        <v>70</v>
      </c>
    </row>
    <row r="1761" spans="1:26" ht="15" customHeight="1">
      <c r="A1761" s="60">
        <f>ROW() - ROW(Table1[[#Headers],[s]])</f>
        <v>1760</v>
      </c>
      <c r="B1761" t="s">
        <v>7100</v>
      </c>
      <c r="C1761" s="163">
        <v>46235</v>
      </c>
      <c r="D1761" s="52" t="s">
        <v>7101</v>
      </c>
      <c r="E1761" t="s">
        <v>7102</v>
      </c>
      <c r="F1761" s="18" t="e" vm="26">
        <v>#VALUE!</v>
      </c>
      <c r="G1761" s="5" t="s">
        <v>186</v>
      </c>
      <c r="H1761" s="18" t="s">
        <v>245</v>
      </c>
      <c r="I1761" t="s">
        <v>43</v>
      </c>
      <c r="J1761" s="18" t="s">
        <v>253</v>
      </c>
      <c r="K1761" s="20" t="s">
        <v>371</v>
      </c>
      <c r="L1761" s="44">
        <v>46263.206250000003</v>
      </c>
      <c r="M1761" s="55" t="s">
        <v>800</v>
      </c>
      <c r="N1761" s="55" t="s">
        <v>800</v>
      </c>
      <c r="O1761" s="56">
        <v>46263.333333333336</v>
      </c>
      <c r="P1761" s="22">
        <v>46263.375</v>
      </c>
      <c r="Q1761" s="58">
        <v>46263.595138888886</v>
      </c>
      <c r="S1761" s="21" t="s">
        <v>7103</v>
      </c>
      <c r="T1761" s="55" t="s">
        <v>478</v>
      </c>
      <c r="U1761" s="21"/>
      <c r="V1761" s="53" t="s">
        <v>299</v>
      </c>
      <c r="Y1761" t="s">
        <v>158</v>
      </c>
      <c r="Z1761" t="s">
        <v>158</v>
      </c>
    </row>
    <row r="1762" spans="1:26" ht="15" customHeight="1">
      <c r="A1762" s="60">
        <f>ROW() - ROW(Table1[[#Headers],[s]])</f>
        <v>1761</v>
      </c>
      <c r="B1762" t="s">
        <v>6786</v>
      </c>
      <c r="C1762" s="163">
        <v>46235</v>
      </c>
      <c r="D1762" s="52" t="s">
        <v>7104</v>
      </c>
      <c r="E1762" t="s">
        <v>6788</v>
      </c>
      <c r="F1762" s="18" t="e" vm="39">
        <v>#VALUE!</v>
      </c>
      <c r="G1762" s="5" t="s">
        <v>186</v>
      </c>
      <c r="H1762" s="18" t="s">
        <v>747</v>
      </c>
      <c r="I1762" t="s">
        <v>43</v>
      </c>
      <c r="J1762" s="18" t="s">
        <v>253</v>
      </c>
      <c r="K1762" s="20" t="s">
        <v>371</v>
      </c>
      <c r="L1762" s="44">
        <v>46263.595833333333</v>
      </c>
      <c r="M1762" s="55" t="s">
        <v>5113</v>
      </c>
      <c r="N1762" s="55" t="s">
        <v>5113</v>
      </c>
      <c r="O1762" s="56">
        <v>46263.729166666664</v>
      </c>
      <c r="P1762" s="22">
        <v>46263.739583333336</v>
      </c>
      <c r="Q1762" s="58">
        <v>46263.772916666669</v>
      </c>
      <c r="S1762" s="21" t="s">
        <v>2986</v>
      </c>
      <c r="T1762" s="55" t="s">
        <v>478</v>
      </c>
      <c r="U1762" s="21"/>
      <c r="V1762" s="53" t="s">
        <v>802</v>
      </c>
      <c r="Y1762" t="s">
        <v>158</v>
      </c>
      <c r="Z1762" t="s">
        <v>70</v>
      </c>
    </row>
    <row r="1763" spans="1:26" ht="15" hidden="1" customHeight="1">
      <c r="A1763" s="60">
        <f>ROW() - ROW(Table1[[#Headers],[s]])</f>
        <v>1762</v>
      </c>
      <c r="B1763" t="s">
        <v>7105</v>
      </c>
      <c r="C1763" s="163">
        <v>46235</v>
      </c>
      <c r="D1763" s="52" t="s">
        <v>7106</v>
      </c>
      <c r="E1763" t="s">
        <v>6482</v>
      </c>
      <c r="F1763" s="18" t="e" vm="25">
        <v>#VALUE!</v>
      </c>
      <c r="G1763" s="43" t="s">
        <v>36</v>
      </c>
      <c r="H1763" s="18" t="s">
        <v>747</v>
      </c>
      <c r="I1763" t="s">
        <v>43</v>
      </c>
      <c r="J1763" s="18" t="s">
        <v>253</v>
      </c>
      <c r="K1763" s="20" t="s">
        <v>371</v>
      </c>
      <c r="L1763" s="44">
        <v>46264.572916666664</v>
      </c>
      <c r="M1763" s="55" t="s">
        <v>80</v>
      </c>
      <c r="N1763" s="18" t="s">
        <v>72</v>
      </c>
      <c r="O1763" s="56">
        <v>46265.5</v>
      </c>
      <c r="P1763" s="56">
        <v>46265.581250000003</v>
      </c>
      <c r="Q1763" s="56">
        <v>46265.619444444441</v>
      </c>
      <c r="R1763" t="s">
        <v>6880</v>
      </c>
      <c r="S1763" s="21" t="s">
        <v>7107</v>
      </c>
      <c r="T1763" s="18" t="s">
        <v>193</v>
      </c>
      <c r="U1763" s="21"/>
      <c r="V1763" s="53" t="s">
        <v>7108</v>
      </c>
      <c r="W1763" t="s">
        <v>7109</v>
      </c>
      <c r="Y1763" t="s">
        <v>70</v>
      </c>
      <c r="Z1763" t="s">
        <v>70</v>
      </c>
    </row>
    <row r="1764" spans="1:26" ht="15" hidden="1" customHeight="1">
      <c r="A1764" s="60">
        <f>ROW() - ROW(Table1[[#Headers],[s]])</f>
        <v>1763</v>
      </c>
      <c r="B1764" t="s">
        <v>7110</v>
      </c>
      <c r="C1764" s="163">
        <v>46235</v>
      </c>
      <c r="D1764" s="52" t="s">
        <v>7111</v>
      </c>
      <c r="E1764" t="s">
        <v>6056</v>
      </c>
      <c r="F1764" s="18" t="e" vm="21">
        <v>#VALUE!</v>
      </c>
      <c r="G1764" s="5" t="s">
        <v>1057</v>
      </c>
      <c r="H1764" s="18" t="s">
        <v>152</v>
      </c>
      <c r="I1764" t="s">
        <v>43</v>
      </c>
      <c r="J1764" s="18" t="s">
        <v>153</v>
      </c>
      <c r="K1764" s="20" t="s">
        <v>371</v>
      </c>
      <c r="L1764" s="44">
        <v>46264.415277777778</v>
      </c>
      <c r="M1764" s="55" t="s">
        <v>39</v>
      </c>
      <c r="N1764" s="55" t="s">
        <v>39</v>
      </c>
      <c r="O1764" s="56">
        <v>46264.75</v>
      </c>
      <c r="P1764" s="56">
        <v>46265.381944444445</v>
      </c>
      <c r="Q1764" s="56">
        <v>46265.409722222219</v>
      </c>
      <c r="R1764">
        <v>24</v>
      </c>
      <c r="S1764" s="21" t="s">
        <v>7112</v>
      </c>
      <c r="T1764" s="18" t="s">
        <v>193</v>
      </c>
      <c r="U1764" s="21"/>
      <c r="V1764" s="53" t="s">
        <v>7113</v>
      </c>
      <c r="Y1764" t="s">
        <v>158</v>
      </c>
      <c r="Z1764" t="s">
        <v>70</v>
      </c>
    </row>
    <row r="1765" spans="1:26" ht="15" customHeight="1">
      <c r="A1765" s="60">
        <f>ROW() - ROW(Table1[[#Headers],[s]])</f>
        <v>1764</v>
      </c>
      <c r="B1765" t="s">
        <v>7114</v>
      </c>
      <c r="C1765" s="163">
        <v>46235</v>
      </c>
      <c r="D1765" s="52" t="s">
        <v>7115</v>
      </c>
      <c r="E1765" t="s">
        <v>5627</v>
      </c>
      <c r="F1765" s="18" t="e" vm="10">
        <v>#VALUE!</v>
      </c>
      <c r="G1765" s="5" t="s">
        <v>186</v>
      </c>
      <c r="H1765" s="18" t="s">
        <v>152</v>
      </c>
      <c r="I1765" t="s">
        <v>43</v>
      </c>
      <c r="J1765" s="18" t="s">
        <v>153</v>
      </c>
      <c r="K1765" s="20" t="s">
        <v>371</v>
      </c>
      <c r="L1765" s="44">
        <v>46264.447916666664</v>
      </c>
      <c r="M1765" s="55" t="s">
        <v>78</v>
      </c>
      <c r="N1765" s="55" t="s">
        <v>78</v>
      </c>
      <c r="O1765" s="56">
        <v>46264.625</v>
      </c>
      <c r="P1765" s="22">
        <v>46264.631944444445</v>
      </c>
      <c r="Q1765" s="58">
        <v>46264.849305555559</v>
      </c>
      <c r="S1765" s="21" t="s">
        <v>7116</v>
      </c>
      <c r="T1765" s="55" t="s">
        <v>478</v>
      </c>
      <c r="U1765" s="21"/>
      <c r="V1765" s="53" t="s">
        <v>802</v>
      </c>
      <c r="Y1765" t="s">
        <v>158</v>
      </c>
      <c r="Z1765" t="s">
        <v>70</v>
      </c>
    </row>
    <row r="1766" spans="1:26" ht="15" customHeight="1">
      <c r="A1766" s="60">
        <f>ROW() - ROW(Table1[[#Headers],[s]])</f>
        <v>1765</v>
      </c>
      <c r="B1766" t="s">
        <v>7117</v>
      </c>
      <c r="C1766" s="163">
        <v>46235</v>
      </c>
      <c r="D1766" s="173" t="s">
        <v>7118</v>
      </c>
      <c r="E1766" s="36" t="s">
        <v>7119</v>
      </c>
      <c r="F1766" s="18" t="e" vm="35">
        <v>#VALUE!</v>
      </c>
      <c r="G1766" s="5" t="s">
        <v>186</v>
      </c>
      <c r="H1766" s="18" t="s">
        <v>747</v>
      </c>
      <c r="I1766" t="s">
        <v>43</v>
      </c>
      <c r="J1766" s="18" t="s">
        <v>253</v>
      </c>
      <c r="K1766" s="426" t="s">
        <v>7120</v>
      </c>
      <c r="L1766" s="44">
        <v>46264.65902777778</v>
      </c>
      <c r="M1766" s="18" t="s">
        <v>44</v>
      </c>
      <c r="N1766" s="18" t="s">
        <v>44</v>
      </c>
      <c r="O1766" s="56">
        <v>46264.791666666664</v>
      </c>
      <c r="P1766" s="22">
        <v>46264.8125</v>
      </c>
      <c r="Q1766" s="58">
        <v>46264.887499999997</v>
      </c>
      <c r="S1766" s="230" t="s">
        <v>7121</v>
      </c>
      <c r="T1766" s="55" t="s">
        <v>478</v>
      </c>
      <c r="U1766" s="21"/>
      <c r="V1766" s="230" t="s">
        <v>7122</v>
      </c>
      <c r="Y1766" t="s">
        <v>158</v>
      </c>
      <c r="Z1766" t="s">
        <v>70</v>
      </c>
    </row>
    <row r="1767" spans="1:26" ht="15" hidden="1" customHeight="1">
      <c r="A1767" s="60">
        <f>ROW() - ROW(Table1[[#Headers],[s]])</f>
        <v>1766</v>
      </c>
      <c r="B1767" t="s">
        <v>7123</v>
      </c>
      <c r="C1767" s="181"/>
      <c r="D1767" s="42" t="s">
        <v>7124</v>
      </c>
      <c r="E1767" s="42" t="s">
        <v>5204</v>
      </c>
      <c r="F1767" s="42" t="e" vm="17">
        <v>#VALUE!</v>
      </c>
      <c r="G1767" s="43" t="s">
        <v>1057</v>
      </c>
      <c r="H1767" s="18" t="s">
        <v>152</v>
      </c>
      <c r="I1767" s="5"/>
      <c r="J1767" s="18" t="s">
        <v>153</v>
      </c>
      <c r="K1767" s="20" t="s">
        <v>371</v>
      </c>
      <c r="L1767" s="44">
        <v>46265.359722222223</v>
      </c>
      <c r="M1767" s="18" t="s">
        <v>227</v>
      </c>
      <c r="N1767" s="18" t="s">
        <v>227</v>
      </c>
      <c r="O1767" s="44">
        <v>46265.5</v>
      </c>
      <c r="P1767" s="44">
        <v>46265.510416666664</v>
      </c>
      <c r="Q1767" s="44">
        <v>46265.635416666664</v>
      </c>
      <c r="R1767" t="s">
        <v>3232</v>
      </c>
      <c r="S1767" s="21" t="s">
        <v>7125</v>
      </c>
      <c r="T1767" s="18" t="s">
        <v>516</v>
      </c>
      <c r="U1767" s="21"/>
      <c r="V1767" s="53" t="s">
        <v>7126</v>
      </c>
      <c r="Y1767" t="s">
        <v>158</v>
      </c>
      <c r="Z1767" t="s">
        <v>158</v>
      </c>
    </row>
    <row r="1768" spans="1:26" ht="15" hidden="1" customHeight="1">
      <c r="A1768" s="60">
        <f>ROW() - ROW(Table1[[#Headers],[s]])</f>
        <v>1767</v>
      </c>
      <c r="B1768" t="s">
        <v>6405</v>
      </c>
      <c r="C1768" s="163">
        <v>46235</v>
      </c>
      <c r="D1768" s="52" t="s">
        <v>7127</v>
      </c>
      <c r="E1768" t="s">
        <v>6991</v>
      </c>
      <c r="F1768" s="18" t="e" vm="26">
        <v>#VALUE!</v>
      </c>
      <c r="G1768" s="43" t="s">
        <v>1057</v>
      </c>
      <c r="H1768" s="18" t="s">
        <v>747</v>
      </c>
      <c r="I1768" s="18"/>
      <c r="J1768" s="18" t="s">
        <v>253</v>
      </c>
      <c r="K1768" s="20" t="s">
        <v>371</v>
      </c>
      <c r="L1768" s="44">
        <v>46265.478472222225</v>
      </c>
      <c r="M1768" s="55" t="s">
        <v>7128</v>
      </c>
      <c r="N1768" s="55" t="s">
        <v>7128</v>
      </c>
      <c r="O1768" s="44">
        <v>46265.625</v>
      </c>
      <c r="P1768" s="44">
        <v>46265.625</v>
      </c>
      <c r="Q1768" s="44">
        <v>46265.739583333336</v>
      </c>
      <c r="S1768" s="21" t="s">
        <v>7129</v>
      </c>
      <c r="T1768" s="55" t="s">
        <v>7130</v>
      </c>
      <c r="U1768" s="21"/>
      <c r="V1768" s="53" t="s">
        <v>7131</v>
      </c>
      <c r="Y1768" t="s">
        <v>158</v>
      </c>
      <c r="Z1768" t="s">
        <v>158</v>
      </c>
    </row>
    <row r="1769" spans="1:26" ht="15" hidden="1" customHeight="1">
      <c r="A1769" s="60">
        <f>ROW() - ROW(Table1[[#Headers],[s]])</f>
        <v>1768</v>
      </c>
      <c r="B1769" t="s">
        <v>7132</v>
      </c>
      <c r="C1769" s="181" t="s">
        <v>60</v>
      </c>
      <c r="D1769" s="52" t="s">
        <v>7133</v>
      </c>
      <c r="E1769" s="18" t="s">
        <v>6613</v>
      </c>
      <c r="F1769" s="18" t="e" vm="49">
        <v>#VALUE!</v>
      </c>
      <c r="G1769" s="43" t="s">
        <v>36</v>
      </c>
      <c r="H1769" s="18" t="s">
        <v>152</v>
      </c>
      <c r="I1769" s="181" t="s">
        <v>60</v>
      </c>
      <c r="J1769" s="18" t="s">
        <v>153</v>
      </c>
      <c r="K1769" s="44" t="s">
        <v>7134</v>
      </c>
      <c r="L1769" s="44">
        <v>46265.486111111109</v>
      </c>
      <c r="M1769" s="18" t="s">
        <v>55</v>
      </c>
      <c r="N1769" s="55" t="s">
        <v>227</v>
      </c>
      <c r="O1769" s="44">
        <v>46265.645833333336</v>
      </c>
      <c r="P1769" s="44"/>
      <c r="Q1769" s="58">
        <v>46266.625</v>
      </c>
      <c r="S1769" s="44" t="s">
        <v>7134</v>
      </c>
      <c r="T1769" s="55" t="s">
        <v>50</v>
      </c>
      <c r="U1769" s="21"/>
      <c r="V1769" s="44" t="s">
        <v>7134</v>
      </c>
      <c r="Y1769" t="s">
        <v>179</v>
      </c>
      <c r="Z1769" t="s">
        <v>52</v>
      </c>
    </row>
    <row r="1770" spans="1:26" ht="15" hidden="1" customHeight="1">
      <c r="A1770" s="60">
        <f>ROW() - ROW(Table1[[#Headers],[s]])</f>
        <v>1769</v>
      </c>
      <c r="B1770" t="s">
        <v>7135</v>
      </c>
      <c r="D1770" s="19" t="s">
        <v>7136</v>
      </c>
      <c r="E1770" s="18" t="s">
        <v>7137</v>
      </c>
      <c r="F1770" s="18" t="e" vm="49">
        <v>#VALUE!</v>
      </c>
      <c r="G1770" s="43" t="s">
        <v>1057</v>
      </c>
      <c r="H1770" s="18" t="s">
        <v>152</v>
      </c>
      <c r="I1770" s="18"/>
      <c r="J1770" s="18" t="s">
        <v>153</v>
      </c>
      <c r="K1770" s="20" t="s">
        <v>371</v>
      </c>
      <c r="L1770" s="44">
        <v>46265.513194444444</v>
      </c>
      <c r="M1770" s="18" t="s">
        <v>55</v>
      </c>
      <c r="N1770" s="18" t="s">
        <v>55</v>
      </c>
      <c r="O1770" s="44">
        <v>46265.833333333336</v>
      </c>
      <c r="P1770" s="44">
        <v>46265.845833333333</v>
      </c>
      <c r="Q1770" s="44">
        <v>46265.95</v>
      </c>
      <c r="S1770" s="21" t="s">
        <v>7138</v>
      </c>
      <c r="T1770" s="18" t="s">
        <v>516</v>
      </c>
      <c r="U1770" s="21"/>
      <c r="V1770" s="21" t="s">
        <v>7139</v>
      </c>
      <c r="W1770" t="s">
        <v>7140</v>
      </c>
      <c r="Y1770" t="s">
        <v>158</v>
      </c>
      <c r="Z1770" t="s">
        <v>158</v>
      </c>
    </row>
    <row r="1771" spans="1:26" ht="15" hidden="1" customHeight="1">
      <c r="A1771" s="87">
        <f>ROW() - ROW(Table1[[#Headers],[s]])</f>
        <v>1770</v>
      </c>
      <c r="B1771" s="24" t="s">
        <v>7141</v>
      </c>
      <c r="C1771" s="343"/>
      <c r="D1771" s="242" t="s">
        <v>7142</v>
      </c>
      <c r="E1771" s="24" t="s">
        <v>6482</v>
      </c>
      <c r="F1771" s="259" t="e" vm="25">
        <v>#VALUE!</v>
      </c>
      <c r="G1771" s="90" t="s">
        <v>1057</v>
      </c>
      <c r="H1771" s="259" t="s">
        <v>152</v>
      </c>
      <c r="I1771" s="259"/>
      <c r="J1771" s="259" t="s">
        <v>153</v>
      </c>
      <c r="K1771" s="258" t="s">
        <v>371</v>
      </c>
      <c r="L1771" s="142">
        <v>46265.575694444444</v>
      </c>
      <c r="M1771" s="134" t="s">
        <v>80</v>
      </c>
      <c r="N1771" s="134" t="s">
        <v>80</v>
      </c>
      <c r="O1771" s="142">
        <v>46265.666666666664</v>
      </c>
      <c r="P1771" s="142">
        <v>46265.770833333336</v>
      </c>
      <c r="Q1771" s="142">
        <v>46265.770833333336</v>
      </c>
      <c r="S1771" s="21" t="s">
        <v>7143</v>
      </c>
      <c r="T1771" s="55" t="s">
        <v>478</v>
      </c>
      <c r="U1771" s="21"/>
      <c r="V1771" s="21" t="s">
        <v>7144</v>
      </c>
      <c r="W1771" t="s">
        <v>7145</v>
      </c>
      <c r="Y1771" t="s">
        <v>158</v>
      </c>
      <c r="Z1771" t="s">
        <v>70</v>
      </c>
    </row>
    <row r="1772" spans="1:26" ht="15" hidden="1" customHeight="1">
      <c r="A1772" s="60">
        <f>ROW() - ROW(Table1[[#Headers],[s]])</f>
        <v>1771</v>
      </c>
      <c r="B1772" t="s">
        <v>7146</v>
      </c>
      <c r="C1772" s="181"/>
      <c r="D1772" s="52" t="s">
        <v>7147</v>
      </c>
      <c r="E1772" t="s">
        <v>6253</v>
      </c>
      <c r="F1772" s="18" t="e" vm="37">
        <v>#VALUE!</v>
      </c>
      <c r="G1772" s="5" t="s">
        <v>36</v>
      </c>
      <c r="H1772" s="18" t="s">
        <v>152</v>
      </c>
      <c r="I1772" t="s">
        <v>43</v>
      </c>
      <c r="J1772" s="18" t="s">
        <v>153</v>
      </c>
      <c r="K1772" s="20" t="s">
        <v>154</v>
      </c>
      <c r="L1772" s="44">
        <v>46265.602083333331</v>
      </c>
      <c r="M1772" s="55" t="s">
        <v>59</v>
      </c>
      <c r="N1772" s="55" t="s">
        <v>1023</v>
      </c>
      <c r="O1772" s="44">
        <v>46266.416666666664</v>
      </c>
      <c r="P1772" s="22"/>
      <c r="Q1772" s="58">
        <v>46267.489583333336</v>
      </c>
      <c r="S1772" s="21" t="s">
        <v>7148</v>
      </c>
      <c r="T1772" s="55" t="s">
        <v>478</v>
      </c>
      <c r="U1772" s="21"/>
      <c r="V1772" s="53" t="s">
        <v>7148</v>
      </c>
      <c r="Y1772" t="s">
        <v>179</v>
      </c>
      <c r="Z1772" t="s">
        <v>179</v>
      </c>
    </row>
    <row r="1773" spans="1:26" ht="15" hidden="1" customHeight="1">
      <c r="A1773" s="60">
        <f>ROW() - ROW(Table1[[#Headers],[s]])</f>
        <v>1772</v>
      </c>
      <c r="B1773" t="s">
        <v>7149</v>
      </c>
      <c r="D1773" s="19" t="s">
        <v>7150</v>
      </c>
      <c r="E1773" s="18" t="s">
        <v>6613</v>
      </c>
      <c r="F1773" s="18" t="e" vm="49">
        <v>#VALUE!</v>
      </c>
      <c r="G1773" s="5" t="s">
        <v>36</v>
      </c>
      <c r="H1773" s="18" t="s">
        <v>152</v>
      </c>
      <c r="I1773" t="s">
        <v>154</v>
      </c>
      <c r="J1773" s="18" t="s">
        <v>153</v>
      </c>
      <c r="K1773" s="20" t="s">
        <v>7151</v>
      </c>
      <c r="L1773" s="44">
        <v>46265.636805555558</v>
      </c>
      <c r="M1773" s="18" t="s">
        <v>55</v>
      </c>
      <c r="N1773" s="18" t="s">
        <v>227</v>
      </c>
      <c r="O1773" s="44">
        <v>46265.645833333336</v>
      </c>
      <c r="P1773" s="22"/>
      <c r="Q1773" s="22">
        <v>46266.625</v>
      </c>
      <c r="S1773" s="21" t="s">
        <v>7152</v>
      </c>
      <c r="T1773" s="55" t="s">
        <v>478</v>
      </c>
      <c r="U1773" s="21"/>
      <c r="V1773" s="21" t="s">
        <v>7153</v>
      </c>
      <c r="Y1773" t="s">
        <v>158</v>
      </c>
      <c r="Z1773" t="s">
        <v>70</v>
      </c>
    </row>
    <row r="1774" spans="1:26" ht="15" hidden="1" customHeight="1">
      <c r="A1774" s="60">
        <f>ROW() - ROW(Table1[[#Headers],[s]])</f>
        <v>1773</v>
      </c>
      <c r="B1774" t="s">
        <v>7154</v>
      </c>
      <c r="D1774" s="19" t="s">
        <v>7155</v>
      </c>
      <c r="E1774" s="18" t="s">
        <v>7156</v>
      </c>
      <c r="F1774" s="18" t="e" vm="23">
        <v>#VALUE!</v>
      </c>
      <c r="G1774" s="43" t="s">
        <v>1057</v>
      </c>
      <c r="H1774" s="18" t="s">
        <v>152</v>
      </c>
      <c r="I1774" s="5"/>
      <c r="J1774" s="18" t="s">
        <v>153</v>
      </c>
      <c r="K1774" s="20" t="s">
        <v>371</v>
      </c>
      <c r="L1774" s="44">
        <v>46265.647916666669</v>
      </c>
      <c r="M1774" s="18" t="s">
        <v>7157</v>
      </c>
      <c r="N1774" s="18" t="s">
        <v>7157</v>
      </c>
      <c r="O1774" s="44">
        <v>46266.333333333336</v>
      </c>
      <c r="P1774" s="44">
        <v>46266.354166666664</v>
      </c>
      <c r="Q1774" s="44">
        <v>46266.40902777778</v>
      </c>
      <c r="S1774" s="21" t="s">
        <v>7158</v>
      </c>
      <c r="T1774" s="18" t="s">
        <v>516</v>
      </c>
      <c r="U1774" s="21"/>
      <c r="V1774" s="21" t="s">
        <v>7159</v>
      </c>
      <c r="W1774" t="s">
        <v>7160</v>
      </c>
      <c r="Y1774" t="s">
        <v>158</v>
      </c>
      <c r="Z1774" t="s">
        <v>158</v>
      </c>
    </row>
    <row r="1775" spans="1:26" ht="15" hidden="1" customHeight="1">
      <c r="A1775" s="60">
        <f>ROW() - ROW(Table1[[#Headers],[s]])</f>
        <v>1774</v>
      </c>
      <c r="B1775" t="s">
        <v>7161</v>
      </c>
      <c r="D1775" s="19" t="s">
        <v>7162</v>
      </c>
      <c r="E1775" t="s">
        <v>6482</v>
      </c>
      <c r="F1775" s="18" t="e" vm="25">
        <v>#VALUE!</v>
      </c>
      <c r="G1775" s="43" t="s">
        <v>36</v>
      </c>
      <c r="H1775" s="18" t="s">
        <v>747</v>
      </c>
      <c r="I1775" t="s">
        <v>43</v>
      </c>
      <c r="J1775" s="18" t="s">
        <v>253</v>
      </c>
      <c r="K1775" s="427" t="s">
        <v>154</v>
      </c>
      <c r="L1775" s="44">
        <v>46265.67291666667</v>
      </c>
      <c r="M1775" s="55" t="s">
        <v>80</v>
      </c>
      <c r="N1775" s="55" t="s">
        <v>72</v>
      </c>
      <c r="O1775" s="44">
        <v>46265.819444444445</v>
      </c>
      <c r="P1775" s="44">
        <v>46265.849305555559</v>
      </c>
      <c r="Q1775" s="22">
        <v>46266.530555555553</v>
      </c>
      <c r="S1775" s="21" t="s">
        <v>7163</v>
      </c>
      <c r="U1775" s="21"/>
      <c r="V1775" s="21" t="s">
        <v>7164</v>
      </c>
      <c r="Y1775" t="s">
        <v>158</v>
      </c>
      <c r="Z1775" t="s">
        <v>52</v>
      </c>
    </row>
    <row r="1776" spans="1:26" ht="15" hidden="1" customHeight="1">
      <c r="A1776" s="60">
        <f>ROW() - ROW(Table1[[#Headers],[s]])</f>
        <v>1775</v>
      </c>
      <c r="B1776" t="s">
        <v>7165</v>
      </c>
      <c r="C1776" s="272">
        <v>46235</v>
      </c>
      <c r="D1776" s="19" t="s">
        <v>7166</v>
      </c>
      <c r="E1776" s="18" t="s">
        <v>5690</v>
      </c>
      <c r="F1776" s="18" t="e" vm="5">
        <v>#VALUE!</v>
      </c>
      <c r="G1776" s="43" t="s">
        <v>1057</v>
      </c>
      <c r="H1776" s="18" t="s">
        <v>747</v>
      </c>
      <c r="I1776" s="18"/>
      <c r="J1776" s="18" t="s">
        <v>253</v>
      </c>
      <c r="K1776" s="20" t="s">
        <v>371</v>
      </c>
      <c r="L1776" s="44">
        <v>46265.673611111109</v>
      </c>
      <c r="M1776" s="18" t="s">
        <v>55</v>
      </c>
      <c r="N1776" s="18" t="s">
        <v>55</v>
      </c>
      <c r="O1776" s="44">
        <v>46265.732638888891</v>
      </c>
      <c r="P1776" s="44">
        <v>46265.75</v>
      </c>
      <c r="Q1776" s="44">
        <v>46265.899305555555</v>
      </c>
      <c r="S1776" s="21" t="s">
        <v>7167</v>
      </c>
      <c r="T1776" s="18" t="s">
        <v>7168</v>
      </c>
      <c r="U1776" s="21"/>
      <c r="V1776" s="21" t="s">
        <v>7169</v>
      </c>
      <c r="W1776" t="s">
        <v>7170</v>
      </c>
      <c r="Y1776" t="s">
        <v>158</v>
      </c>
      <c r="Z1776" t="s">
        <v>70</v>
      </c>
    </row>
    <row r="1777" spans="1:27" ht="15" hidden="1" customHeight="1">
      <c r="A1777" s="60">
        <f>ROW() - ROW(Table1[[#Headers],[s]])</f>
        <v>1776</v>
      </c>
      <c r="B1777" t="s">
        <v>7171</v>
      </c>
      <c r="D1777" s="19" t="s">
        <v>7172</v>
      </c>
      <c r="E1777" s="18" t="s">
        <v>304</v>
      </c>
      <c r="F1777" s="42" t="e" vm="1">
        <v>#VALUE!</v>
      </c>
      <c r="G1777" s="5" t="s">
        <v>174</v>
      </c>
      <c r="H1777" s="18" t="s">
        <v>747</v>
      </c>
      <c r="I1777" s="18"/>
      <c r="J1777" s="18" t="s">
        <v>280</v>
      </c>
      <c r="K1777" s="20" t="s">
        <v>371</v>
      </c>
      <c r="L1777" s="44">
        <v>46265.688888888886</v>
      </c>
      <c r="M1777" s="18" t="s">
        <v>73</v>
      </c>
      <c r="N1777" s="18" t="s">
        <v>44</v>
      </c>
      <c r="O1777" s="44">
        <v>46265.75</v>
      </c>
      <c r="P1777" s="44">
        <v>46265.761805555558</v>
      </c>
      <c r="Q1777" s="22">
        <v>46266.961805555555</v>
      </c>
      <c r="S1777" s="21" t="s">
        <v>7173</v>
      </c>
      <c r="T1777" s="18" t="s">
        <v>478</v>
      </c>
      <c r="U1777" s="21"/>
      <c r="V1777" s="21" t="s">
        <v>7174</v>
      </c>
      <c r="Y1777" t="s">
        <v>70</v>
      </c>
      <c r="Z1777" t="s">
        <v>203</v>
      </c>
    </row>
    <row r="1778" spans="1:27" ht="15" hidden="1" customHeight="1">
      <c r="A1778" s="60">
        <f>ROW() - ROW(Table1[[#Headers],[s]])</f>
        <v>1777</v>
      </c>
      <c r="B1778" t="s">
        <v>7175</v>
      </c>
      <c r="D1778" s="19" t="s">
        <v>7176</v>
      </c>
      <c r="E1778" s="18" t="s">
        <v>7177</v>
      </c>
      <c r="F1778" s="18" t="e" vm="22">
        <v>#VALUE!</v>
      </c>
      <c r="G1778" s="43" t="s">
        <v>1057</v>
      </c>
      <c r="H1778" s="18" t="s">
        <v>747</v>
      </c>
      <c r="I1778" s="18"/>
      <c r="J1778" s="18" t="s">
        <v>253</v>
      </c>
      <c r="K1778" s="20" t="s">
        <v>371</v>
      </c>
      <c r="L1778" s="44">
        <v>46265.789583333331</v>
      </c>
      <c r="M1778" s="18" t="s">
        <v>78</v>
      </c>
      <c r="N1778" s="55" t="s">
        <v>78</v>
      </c>
      <c r="O1778" s="44">
        <v>46265.958333333336</v>
      </c>
      <c r="P1778" s="44">
        <v>46265.965277777781</v>
      </c>
      <c r="Q1778" s="44">
        <v>46266.002083333333</v>
      </c>
      <c r="S1778" s="21" t="s">
        <v>7178</v>
      </c>
      <c r="T1778" s="18" t="s">
        <v>193</v>
      </c>
      <c r="U1778" s="21"/>
      <c r="V1778" s="21" t="s">
        <v>7179</v>
      </c>
      <c r="Y1778" t="s">
        <v>158</v>
      </c>
      <c r="Z1778" t="s">
        <v>70</v>
      </c>
    </row>
    <row r="1779" spans="1:27" ht="15" hidden="1" customHeight="1">
      <c r="A1779" s="60">
        <f>ROW() - ROW(Table1[[#Headers],[s]])</f>
        <v>1778</v>
      </c>
      <c r="B1779" t="s">
        <v>7180</v>
      </c>
      <c r="D1779" s="19" t="s">
        <v>7181</v>
      </c>
      <c r="E1779" s="18" t="s">
        <v>6998</v>
      </c>
      <c r="F1779" s="18" t="e" vm="5">
        <v>#VALUE!</v>
      </c>
      <c r="G1779" s="5" t="s">
        <v>1057</v>
      </c>
      <c r="H1779" s="18" t="s">
        <v>152</v>
      </c>
      <c r="I1779" s="5"/>
      <c r="J1779" s="18" t="s">
        <v>153</v>
      </c>
      <c r="K1779" s="20" t="s">
        <v>154</v>
      </c>
      <c r="L1779" s="44">
        <v>46265.857638888891</v>
      </c>
      <c r="M1779" s="18" t="s">
        <v>55</v>
      </c>
      <c r="N1779" s="18" t="s">
        <v>55</v>
      </c>
      <c r="O1779" s="44">
        <v>46266.34375</v>
      </c>
      <c r="P1779" s="44">
        <v>46266.361111111109</v>
      </c>
      <c r="Q1779" s="44">
        <v>46266.488888888889</v>
      </c>
      <c r="S1779" s="21" t="s">
        <v>7182</v>
      </c>
      <c r="T1779" s="55" t="s">
        <v>4701</v>
      </c>
      <c r="U1779" s="21"/>
      <c r="V1779" s="21" t="s">
        <v>7183</v>
      </c>
      <c r="Y1779" t="s">
        <v>158</v>
      </c>
      <c r="Z1779" t="s">
        <v>158</v>
      </c>
    </row>
    <row r="1780" spans="1:27" ht="15" hidden="1" customHeight="1">
      <c r="A1780" s="60">
        <f>ROW() - ROW(Table1[[#Headers],[s]])</f>
        <v>1779</v>
      </c>
      <c r="B1780" t="s">
        <v>7184</v>
      </c>
      <c r="D1780" s="19" t="s">
        <v>7185</v>
      </c>
      <c r="E1780" t="s">
        <v>6980</v>
      </c>
      <c r="F1780" s="18" t="e" vm="5">
        <v>#VALUE!</v>
      </c>
      <c r="G1780" s="43" t="s">
        <v>1057</v>
      </c>
      <c r="H1780" s="18" t="s">
        <v>747</v>
      </c>
      <c r="I1780" t="s">
        <v>43</v>
      </c>
      <c r="J1780" s="18" t="s">
        <v>253</v>
      </c>
      <c r="K1780" s="20" t="s">
        <v>371</v>
      </c>
      <c r="L1780" s="44">
        <v>46266.259722222225</v>
      </c>
      <c r="M1780" s="18" t="s">
        <v>55</v>
      </c>
      <c r="N1780" s="18" t="s">
        <v>55</v>
      </c>
      <c r="O1780" s="44">
        <v>46266.479166666664</v>
      </c>
      <c r="P1780" s="44">
        <v>46266.59375</v>
      </c>
      <c r="Q1780" s="44">
        <v>46266.759722222225</v>
      </c>
      <c r="S1780" s="21" t="s">
        <v>7186</v>
      </c>
      <c r="T1780" s="18" t="s">
        <v>179</v>
      </c>
      <c r="U1780" s="21"/>
      <c r="V1780" s="21" t="s">
        <v>7187</v>
      </c>
      <c r="W1780" t="s">
        <v>7188</v>
      </c>
      <c r="Y1780" t="s">
        <v>70</v>
      </c>
      <c r="Z1780" t="s">
        <v>158</v>
      </c>
    </row>
    <row r="1781" spans="1:27" ht="15" hidden="1" customHeight="1">
      <c r="A1781" s="60">
        <f>ROW() - ROW(Table1[[#Headers],[s]])</f>
        <v>1780</v>
      </c>
      <c r="B1781" t="s">
        <v>7189</v>
      </c>
      <c r="D1781" s="19" t="s">
        <v>7190</v>
      </c>
      <c r="E1781" s="18" t="s">
        <v>5233</v>
      </c>
      <c r="F1781" s="18" t="e" vm="10">
        <v>#VALUE!</v>
      </c>
      <c r="G1781" s="5" t="s">
        <v>36</v>
      </c>
      <c r="H1781" s="18" t="s">
        <v>152</v>
      </c>
      <c r="I1781" t="s">
        <v>43</v>
      </c>
      <c r="J1781" s="18" t="s">
        <v>153</v>
      </c>
      <c r="K1781" s="20" t="s">
        <v>371</v>
      </c>
      <c r="L1781" s="44">
        <v>46266.466666666667</v>
      </c>
      <c r="M1781" s="18" t="s">
        <v>78</v>
      </c>
      <c r="N1781" s="55" t="s">
        <v>78</v>
      </c>
      <c r="O1781" s="3"/>
      <c r="P1781" s="22"/>
      <c r="Q1781" s="22">
        <v>46267.711805555555</v>
      </c>
      <c r="S1781" s="21" t="s">
        <v>7191</v>
      </c>
      <c r="T1781" s="55" t="s">
        <v>478</v>
      </c>
      <c r="U1781" s="21"/>
      <c r="V1781" s="21" t="s">
        <v>7191</v>
      </c>
      <c r="Y1781" t="s">
        <v>158</v>
      </c>
      <c r="Z1781" t="s">
        <v>70</v>
      </c>
    </row>
    <row r="1782" spans="1:27" ht="15" hidden="1" customHeight="1">
      <c r="A1782" s="60">
        <f>ROW() - ROW(Table1[[#Headers],[s]])</f>
        <v>1781</v>
      </c>
      <c r="B1782" t="s">
        <v>6243</v>
      </c>
      <c r="D1782" s="19" t="s">
        <v>7192</v>
      </c>
      <c r="E1782" s="18" t="s">
        <v>6121</v>
      </c>
      <c r="F1782" s="18" t="e" vm="21">
        <v>#VALUE!</v>
      </c>
      <c r="G1782" s="5" t="s">
        <v>7193</v>
      </c>
      <c r="H1782" s="18" t="s">
        <v>747</v>
      </c>
      <c r="I1782" s="18"/>
      <c r="J1782" s="18" t="s">
        <v>253</v>
      </c>
      <c r="K1782" s="20" t="s">
        <v>371</v>
      </c>
      <c r="L1782" s="44">
        <v>46266.397222222222</v>
      </c>
      <c r="M1782" s="18" t="s">
        <v>39</v>
      </c>
      <c r="N1782" s="18" t="s">
        <v>39</v>
      </c>
      <c r="O1782" s="3"/>
      <c r="P1782" s="22"/>
      <c r="Q1782" s="22">
        <v>46266.495138888888</v>
      </c>
      <c r="S1782" s="21" t="s">
        <v>7194</v>
      </c>
      <c r="T1782" s="18" t="s">
        <v>516</v>
      </c>
      <c r="U1782" s="21"/>
      <c r="V1782" s="21" t="s">
        <v>7195</v>
      </c>
      <c r="Y1782" t="s">
        <v>158</v>
      </c>
      <c r="Z1782" t="s">
        <v>203</v>
      </c>
    </row>
    <row r="1783" spans="1:27" ht="15" hidden="1" customHeight="1">
      <c r="A1783" s="60">
        <f>ROW() - ROW(Table1[[#Headers],[s]])</f>
        <v>1782</v>
      </c>
      <c r="B1783" s="230" t="s">
        <v>7196</v>
      </c>
      <c r="D1783" s="19" t="s">
        <v>7197</v>
      </c>
      <c r="E1783" s="18" t="s">
        <v>6745</v>
      </c>
      <c r="F1783" s="18" t="e" vm="16">
        <v>#VALUE!</v>
      </c>
      <c r="G1783" s="5" t="s">
        <v>174</v>
      </c>
      <c r="H1783" s="18" t="s">
        <v>152</v>
      </c>
      <c r="I1783" s="5"/>
      <c r="J1783" s="18" t="s">
        <v>153</v>
      </c>
      <c r="K1783" s="20" t="s">
        <v>7198</v>
      </c>
      <c r="L1783" s="44">
        <v>46266.413888888892</v>
      </c>
      <c r="M1783" s="18" t="s">
        <v>58</v>
      </c>
      <c r="N1783" s="18" t="s">
        <v>58</v>
      </c>
      <c r="O1783" s="3"/>
      <c r="P1783" s="22"/>
      <c r="Q1783" s="44">
        <v>46266.413888888892</v>
      </c>
      <c r="S1783" s="21" t="s">
        <v>7199</v>
      </c>
      <c r="T1783" s="18" t="s">
        <v>50</v>
      </c>
      <c r="U1783" s="21"/>
      <c r="V1783" s="441" t="s">
        <v>7199</v>
      </c>
      <c r="Y1783" t="s">
        <v>179</v>
      </c>
      <c r="Z1783" t="s">
        <v>179</v>
      </c>
    </row>
    <row r="1784" spans="1:27" ht="15" hidden="1" customHeight="1">
      <c r="A1784" s="60">
        <f>ROW() - ROW(Table1[[#Headers],[s]])</f>
        <v>1783</v>
      </c>
      <c r="B1784" t="s">
        <v>7200</v>
      </c>
      <c r="C1784" s="181"/>
      <c r="D1784" s="52" t="s">
        <v>7201</v>
      </c>
      <c r="E1784" s="19" t="s">
        <v>5905</v>
      </c>
      <c r="F1784" t="e" vm="16">
        <v>#VALUE!</v>
      </c>
      <c r="G1784" s="43" t="s">
        <v>174</v>
      </c>
      <c r="H1784" s="18" t="s">
        <v>747</v>
      </c>
      <c r="I1784" s="18"/>
      <c r="J1784" s="18" t="s">
        <v>253</v>
      </c>
      <c r="K1784" s="42" t="s">
        <v>371</v>
      </c>
      <c r="L1784" s="44">
        <v>46266.473611111112</v>
      </c>
      <c r="M1784" s="55" t="s">
        <v>58</v>
      </c>
      <c r="N1784" s="55" t="s">
        <v>58</v>
      </c>
      <c r="O1784" s="56">
        <v>46266.5625</v>
      </c>
      <c r="P1784">
        <v>46266.572916666664</v>
      </c>
      <c r="Q1784" s="58">
        <v>46266.755555555559</v>
      </c>
      <c r="S1784" s="21" t="s">
        <v>1618</v>
      </c>
      <c r="T1784" s="55" t="s">
        <v>478</v>
      </c>
      <c r="V1784" s="53" t="s">
        <v>2501</v>
      </c>
      <c r="W1784" s="21"/>
      <c r="Y1784" t="s">
        <v>158</v>
      </c>
      <c r="Z1784" t="s">
        <v>70</v>
      </c>
    </row>
    <row r="1785" spans="1:27" ht="15" hidden="1" customHeight="1">
      <c r="A1785" s="60">
        <f>ROW() - ROW(Table1[[#Headers],[s]])</f>
        <v>1784</v>
      </c>
      <c r="B1785" t="s">
        <v>7202</v>
      </c>
      <c r="C1785" s="181"/>
      <c r="D1785" s="52" t="s">
        <v>7203</v>
      </c>
      <c r="E1785" t="s">
        <v>2534</v>
      </c>
      <c r="F1785" s="18" t="e" vm="37">
        <v>#VALUE!</v>
      </c>
      <c r="G1785" s="5" t="s">
        <v>36</v>
      </c>
      <c r="H1785" s="18" t="s">
        <v>747</v>
      </c>
      <c r="I1785" t="s">
        <v>43</v>
      </c>
      <c r="J1785" s="18" t="s">
        <v>253</v>
      </c>
      <c r="K1785" s="20" t="s">
        <v>371</v>
      </c>
      <c r="L1785" s="44">
        <v>46266.595833333333</v>
      </c>
      <c r="M1785" s="55" t="s">
        <v>59</v>
      </c>
      <c r="N1785" s="55" t="s">
        <v>59</v>
      </c>
      <c r="O1785" s="56"/>
      <c r="P1785" s="22"/>
      <c r="Q1785" s="58">
        <v>46267.552777777775</v>
      </c>
      <c r="S1785" s="21" t="s">
        <v>7204</v>
      </c>
      <c r="T1785" s="55" t="s">
        <v>478</v>
      </c>
      <c r="U1785" s="21"/>
      <c r="V1785" s="53" t="s">
        <v>7205</v>
      </c>
      <c r="Y1785" t="s">
        <v>70</v>
      </c>
      <c r="Z1785" t="s">
        <v>203</v>
      </c>
    </row>
    <row r="1786" spans="1:27" ht="15" hidden="1" customHeight="1">
      <c r="A1786" s="60">
        <f>ROW() - ROW(Table1[[#Headers],[s]])</f>
        <v>1785</v>
      </c>
      <c r="B1786" s="230" t="s">
        <v>7206</v>
      </c>
      <c r="C1786" s="181"/>
      <c r="D1786" s="52" t="s">
        <v>7207</v>
      </c>
      <c r="E1786" t="s">
        <v>5283</v>
      </c>
      <c r="F1786" s="18" t="e" vm="49">
        <v>#VALUE!</v>
      </c>
      <c r="G1786" s="43" t="s">
        <v>174</v>
      </c>
      <c r="H1786" s="18" t="s">
        <v>152</v>
      </c>
      <c r="I1786" s="5"/>
      <c r="J1786" s="18" t="s">
        <v>153</v>
      </c>
      <c r="K1786" s="20" t="s">
        <v>371</v>
      </c>
      <c r="L1786" s="44">
        <v>46266.598611111112</v>
      </c>
      <c r="M1786" s="55" t="s">
        <v>3168</v>
      </c>
      <c r="N1786" s="55" t="s">
        <v>3168</v>
      </c>
      <c r="O1786" s="44">
        <v>46266.666666666664</v>
      </c>
      <c r="P1786" s="44">
        <v>46266.690972222219</v>
      </c>
      <c r="Q1786" s="44">
        <v>46266.739583333336</v>
      </c>
      <c r="S1786" s="21" t="s">
        <v>6265</v>
      </c>
      <c r="T1786" s="55" t="s">
        <v>478</v>
      </c>
      <c r="U1786" s="21"/>
      <c r="V1786" s="53" t="s">
        <v>7208</v>
      </c>
      <c r="Y1786" t="s">
        <v>158</v>
      </c>
      <c r="Z1786" t="s">
        <v>70</v>
      </c>
    </row>
    <row r="1787" spans="1:27" ht="15" hidden="1" customHeight="1">
      <c r="A1787" s="60">
        <f>ROW() - ROW(Table1[[#Headers],[s]])</f>
        <v>1786</v>
      </c>
      <c r="B1787" t="s">
        <v>7209</v>
      </c>
      <c r="C1787" s="181"/>
      <c r="D1787" s="52" t="s">
        <v>7210</v>
      </c>
      <c r="E1787" t="s">
        <v>6003</v>
      </c>
      <c r="F1787" s="18" t="e" vm="26">
        <v>#VALUE!</v>
      </c>
      <c r="G1787" s="43" t="s">
        <v>174</v>
      </c>
      <c r="H1787" s="18" t="s">
        <v>747</v>
      </c>
      <c r="I1787" s="18"/>
      <c r="J1787" s="18" t="s">
        <v>253</v>
      </c>
      <c r="K1787" s="20" t="s">
        <v>371</v>
      </c>
      <c r="L1787" s="44">
        <v>46266.53402777778</v>
      </c>
      <c r="M1787" s="55" t="s">
        <v>59</v>
      </c>
      <c r="N1787" s="55" t="s">
        <v>59</v>
      </c>
      <c r="O1787" s="44">
        <v>46266.583333333336</v>
      </c>
      <c r="P1787" s="44">
        <v>46266.59375</v>
      </c>
      <c r="Q1787" s="44">
        <v>46266.645833333336</v>
      </c>
      <c r="S1787" s="21" t="s">
        <v>7211</v>
      </c>
      <c r="T1787" s="55" t="s">
        <v>478</v>
      </c>
      <c r="U1787" s="21"/>
      <c r="V1787" s="53" t="s">
        <v>7212</v>
      </c>
      <c r="Y1787" t="s">
        <v>158</v>
      </c>
      <c r="Z1787" t="s">
        <v>52</v>
      </c>
    </row>
    <row r="1788" spans="1:27" s="29" customFormat="1" ht="15" hidden="1" customHeight="1">
      <c r="A1788" s="111">
        <f>ROW() - ROW(Table1[[#Headers],[s]])</f>
        <v>1787</v>
      </c>
      <c r="B1788" s="29" t="s">
        <v>7213</v>
      </c>
      <c r="C1788" s="438"/>
      <c r="D1788" s="150" t="s">
        <v>7214</v>
      </c>
      <c r="E1788" s="234" t="s">
        <v>7215</v>
      </c>
      <c r="F1788" s="235" t="e" vm="30">
        <v>#VALUE!</v>
      </c>
      <c r="G1788" s="114" t="s">
        <v>174</v>
      </c>
      <c r="H1788" s="235" t="s">
        <v>747</v>
      </c>
      <c r="I1788" s="235"/>
      <c r="J1788" s="235" t="s">
        <v>253</v>
      </c>
      <c r="K1788" s="235" t="s">
        <v>7216</v>
      </c>
      <c r="L1788" s="151">
        <v>46266.670138888891</v>
      </c>
      <c r="M1788" s="153" t="s">
        <v>3675</v>
      </c>
      <c r="N1788" s="153" t="s">
        <v>3675</v>
      </c>
      <c r="O1788" s="151">
        <v>46266.711805555555</v>
      </c>
      <c r="P1788" s="151">
        <v>46266.753472222219</v>
      </c>
      <c r="Q1788" s="151">
        <v>46266.823611111111</v>
      </c>
      <c r="S1788" s="252" t="s">
        <v>1618</v>
      </c>
      <c r="T1788" s="153" t="s">
        <v>478</v>
      </c>
      <c r="V1788" s="154" t="s">
        <v>404</v>
      </c>
      <c r="W1788" s="252"/>
      <c r="Y1788" s="29" t="s">
        <v>158</v>
      </c>
      <c r="Z1788" s="29" t="s">
        <v>158</v>
      </c>
      <c r="AA1788"/>
    </row>
    <row r="1789" spans="1:27" ht="15" hidden="1" customHeight="1">
      <c r="A1789" s="60">
        <f>ROW() - ROW(Table1[[#Headers],[s]])</f>
        <v>1788</v>
      </c>
      <c r="B1789" s="230" t="s">
        <v>7217</v>
      </c>
      <c r="C1789" s="181"/>
      <c r="D1789" s="52" t="s">
        <v>7218</v>
      </c>
      <c r="E1789" s="19" t="s">
        <v>6094</v>
      </c>
      <c r="F1789" t="e" vm="49">
        <v>#VALUE!</v>
      </c>
      <c r="G1789" s="43" t="s">
        <v>174</v>
      </c>
      <c r="H1789" s="18" t="s">
        <v>152</v>
      </c>
      <c r="I1789" s="5"/>
      <c r="J1789" s="18" t="s">
        <v>153</v>
      </c>
      <c r="K1789" s="20" t="s">
        <v>371</v>
      </c>
      <c r="L1789" s="44">
        <v>46266.679861111108</v>
      </c>
      <c r="M1789" s="55" t="s">
        <v>227</v>
      </c>
      <c r="N1789" s="55" t="s">
        <v>227</v>
      </c>
      <c r="O1789" s="44">
        <v>46266.75</v>
      </c>
      <c r="P1789" s="44">
        <v>46266.770833333336</v>
      </c>
      <c r="Q1789" s="44">
        <v>46266.8125</v>
      </c>
      <c r="S1789" s="21" t="s">
        <v>3718</v>
      </c>
      <c r="T1789" s="55" t="s">
        <v>478</v>
      </c>
      <c r="V1789" s="53" t="s">
        <v>7219</v>
      </c>
      <c r="W1789" s="21"/>
      <c r="Y1789" t="s">
        <v>158</v>
      </c>
      <c r="Z1789" t="s">
        <v>70</v>
      </c>
    </row>
    <row r="1790" spans="1:27" ht="15" hidden="1" customHeight="1">
      <c r="A1790" s="60">
        <f>ROW() - ROW(Table1[[#Headers],[s]])</f>
        <v>1789</v>
      </c>
      <c r="B1790" t="s">
        <v>7220</v>
      </c>
      <c r="C1790" s="181"/>
      <c r="D1790" s="52" t="s">
        <v>7221</v>
      </c>
      <c r="E1790" s="19" t="s">
        <v>7222</v>
      </c>
      <c r="F1790" t="e" vm="22">
        <v>#VALUE!</v>
      </c>
      <c r="G1790" s="5" t="s">
        <v>36</v>
      </c>
      <c r="H1790" s="18" t="s">
        <v>747</v>
      </c>
      <c r="I1790" t="s">
        <v>43</v>
      </c>
      <c r="J1790" s="18" t="s">
        <v>253</v>
      </c>
      <c r="K1790" s="20" t="s">
        <v>371</v>
      </c>
      <c r="L1790" s="44">
        <v>46266.726388888892</v>
      </c>
      <c r="M1790" s="55" t="s">
        <v>80</v>
      </c>
      <c r="N1790" s="55" t="s">
        <v>823</v>
      </c>
      <c r="O1790" s="56"/>
      <c r="Q1790" s="58"/>
      <c r="S1790" s="21" t="s">
        <v>7223</v>
      </c>
      <c r="T1790" s="55" t="s">
        <v>7224</v>
      </c>
      <c r="V1790" s="53" t="s">
        <v>7225</v>
      </c>
      <c r="W1790" s="21"/>
      <c r="Y1790" t="s">
        <v>179</v>
      </c>
      <c r="Z1790" t="s">
        <v>158</v>
      </c>
    </row>
    <row r="1791" spans="1:27" ht="15" hidden="1" customHeight="1">
      <c r="A1791" s="60">
        <f>ROW() - ROW(Table1[[#Headers],[s]])</f>
        <v>1790</v>
      </c>
      <c r="B1791" t="s">
        <v>7226</v>
      </c>
      <c r="C1791" s="181"/>
      <c r="D1791" s="52" t="s">
        <v>7227</v>
      </c>
      <c r="E1791" s="19" t="s">
        <v>7228</v>
      </c>
      <c r="F1791" t="e" vm="110">
        <v>#VALUE!</v>
      </c>
      <c r="G1791" s="43" t="s">
        <v>36</v>
      </c>
      <c r="H1791" s="18" t="s">
        <v>747</v>
      </c>
      <c r="I1791" t="s">
        <v>43</v>
      </c>
      <c r="J1791" s="18" t="s">
        <v>253</v>
      </c>
      <c r="K1791" s="20" t="s">
        <v>371</v>
      </c>
      <c r="L1791" s="44">
        <v>46266.802777777775</v>
      </c>
      <c r="M1791" s="55" t="s">
        <v>227</v>
      </c>
      <c r="N1791" s="55" t="s">
        <v>227</v>
      </c>
      <c r="O1791" s="56"/>
      <c r="Q1791" s="58">
        <v>46267.540277777778</v>
      </c>
      <c r="S1791" s="21" t="s">
        <v>424</v>
      </c>
      <c r="T1791" s="55" t="s">
        <v>478</v>
      </c>
      <c r="V1791" s="53" t="s">
        <v>6627</v>
      </c>
      <c r="W1791" s="21"/>
      <c r="Y1791" t="s">
        <v>70</v>
      </c>
      <c r="Z1791" t="s">
        <v>158</v>
      </c>
    </row>
    <row r="1792" spans="1:27" ht="15" hidden="1" customHeight="1">
      <c r="A1792" s="60">
        <f>ROW() - ROW(Table1[[#Headers],[s]])</f>
        <v>1791</v>
      </c>
      <c r="B1792" t="s">
        <v>7229</v>
      </c>
      <c r="C1792" s="181"/>
      <c r="D1792" s="52" t="s">
        <v>7230</v>
      </c>
      <c r="E1792" s="19" t="s">
        <v>6331</v>
      </c>
      <c r="F1792" t="e" vm="37">
        <v>#VALUE!</v>
      </c>
      <c r="G1792" s="43" t="s">
        <v>36</v>
      </c>
      <c r="H1792" s="18" t="s">
        <v>152</v>
      </c>
      <c r="I1792" t="s">
        <v>43</v>
      </c>
      <c r="J1792" s="18" t="s">
        <v>153</v>
      </c>
      <c r="K1792" s="20" t="s">
        <v>371</v>
      </c>
      <c r="L1792" s="44">
        <v>46267.429166666669</v>
      </c>
      <c r="M1792" s="55" t="s">
        <v>1023</v>
      </c>
      <c r="N1792" s="55" t="s">
        <v>1023</v>
      </c>
      <c r="O1792" s="56"/>
      <c r="Q1792" s="58">
        <v>46267.5625</v>
      </c>
      <c r="S1792" s="21" t="s">
        <v>7231</v>
      </c>
      <c r="T1792" s="55" t="s">
        <v>478</v>
      </c>
      <c r="V1792" s="403" t="s">
        <v>7232</v>
      </c>
      <c r="W1792" s="21"/>
      <c r="Y1792" t="s">
        <v>203</v>
      </c>
      <c r="Z1792" t="s">
        <v>70</v>
      </c>
    </row>
    <row r="1793" spans="1:27" ht="15" hidden="1" customHeight="1">
      <c r="A1793" s="60">
        <f>ROW() - ROW(Table1[[#Headers],[s]])</f>
        <v>1792</v>
      </c>
      <c r="B1793" t="s">
        <v>7233</v>
      </c>
      <c r="C1793" s="181"/>
      <c r="D1793" s="52" t="s">
        <v>7234</v>
      </c>
      <c r="E1793" s="19" t="s">
        <v>7235</v>
      </c>
      <c r="F1793" s="18" t="e" vm="49">
        <v>#VALUE!</v>
      </c>
      <c r="G1793" s="43" t="s">
        <v>36</v>
      </c>
      <c r="H1793" s="18" t="s">
        <v>152</v>
      </c>
      <c r="I1793" t="s">
        <v>43</v>
      </c>
      <c r="J1793" s="18" t="s">
        <v>153</v>
      </c>
      <c r="K1793" s="20" t="s">
        <v>371</v>
      </c>
      <c r="L1793" s="44">
        <v>46267.439583333333</v>
      </c>
      <c r="M1793" s="55" t="s">
        <v>84</v>
      </c>
      <c r="N1793" s="55" t="s">
        <v>84</v>
      </c>
      <c r="O1793" s="56"/>
      <c r="Q1793" s="58">
        <v>46267.8125</v>
      </c>
      <c r="S1793" s="21" t="s">
        <v>7236</v>
      </c>
      <c r="T1793" s="55" t="s">
        <v>478</v>
      </c>
      <c r="V1793" s="403" t="s">
        <v>7237</v>
      </c>
      <c r="W1793" s="21"/>
      <c r="Y1793" t="s">
        <v>203</v>
      </c>
      <c r="Z1793" t="s">
        <v>70</v>
      </c>
    </row>
    <row r="1794" spans="1:27" ht="15" hidden="1" customHeight="1">
      <c r="A1794" s="60">
        <f>ROW() - ROW(Table1[[#Headers],[s]])</f>
        <v>1793</v>
      </c>
      <c r="B1794" t="s">
        <v>7238</v>
      </c>
      <c r="C1794" s="181"/>
      <c r="D1794" s="52" t="s">
        <v>7239</v>
      </c>
      <c r="E1794" s="19" t="s">
        <v>5690</v>
      </c>
      <c r="F1794" s="18" t="e" vm="5">
        <v>#VALUE!</v>
      </c>
      <c r="G1794" s="43" t="s">
        <v>36</v>
      </c>
      <c r="H1794" s="18" t="s">
        <v>747</v>
      </c>
      <c r="I1794" t="s">
        <v>43</v>
      </c>
      <c r="J1794" s="18" t="s">
        <v>253</v>
      </c>
      <c r="K1794" s="20" t="s">
        <v>371</v>
      </c>
      <c r="L1794" s="44">
        <v>46267.529861111114</v>
      </c>
      <c r="M1794" s="55" t="s">
        <v>55</v>
      </c>
      <c r="N1794" s="55" t="s">
        <v>55</v>
      </c>
      <c r="O1794" s="56"/>
      <c r="Q1794" s="58">
        <v>46267.62777777778</v>
      </c>
      <c r="S1794" s="21" t="s">
        <v>7240</v>
      </c>
      <c r="T1794" s="55" t="s">
        <v>478</v>
      </c>
      <c r="V1794" s="53" t="s">
        <v>7241</v>
      </c>
      <c r="W1794" s="21"/>
      <c r="Y1794" t="s">
        <v>158</v>
      </c>
      <c r="Z1794" t="s">
        <v>70</v>
      </c>
    </row>
    <row r="1795" spans="1:27" ht="15" hidden="1" customHeight="1">
      <c r="A1795" s="60">
        <f>ROW() - ROW(Table1[[#Headers],[s]])</f>
        <v>1794</v>
      </c>
      <c r="B1795" t="s">
        <v>7242</v>
      </c>
      <c r="D1795" s="52" t="s">
        <v>7243</v>
      </c>
      <c r="E1795" s="19" t="s">
        <v>5940</v>
      </c>
      <c r="F1795" s="18" t="e" vm="7">
        <v>#VALUE!</v>
      </c>
      <c r="G1795" s="5" t="s">
        <v>36</v>
      </c>
      <c r="H1795" s="18" t="s">
        <v>747</v>
      </c>
      <c r="I1795" t="s">
        <v>43</v>
      </c>
      <c r="J1795" s="18" t="s">
        <v>253</v>
      </c>
      <c r="K1795" s="20" t="s">
        <v>371</v>
      </c>
      <c r="L1795" s="20">
        <v>46267.716666666667</v>
      </c>
      <c r="M1795" s="18" t="s">
        <v>4359</v>
      </c>
      <c r="N1795" s="18" t="s">
        <v>4359</v>
      </c>
      <c r="O1795" s="3"/>
      <c r="Q1795" s="22">
        <v>46268.034722222219</v>
      </c>
      <c r="S1795" s="21" t="s">
        <v>598</v>
      </c>
      <c r="T1795" s="18" t="s">
        <v>478</v>
      </c>
      <c r="V1795" s="21" t="s">
        <v>1102</v>
      </c>
      <c r="W1795" s="21"/>
      <c r="Y1795" t="s">
        <v>158</v>
      </c>
      <c r="Z1795" t="s">
        <v>158</v>
      </c>
    </row>
    <row r="1796" spans="1:27" ht="15" hidden="1" customHeight="1">
      <c r="A1796" s="60">
        <f>ROW() - ROW(Table1[[#Headers],[s]])</f>
        <v>1795</v>
      </c>
      <c r="B1796" t="s">
        <v>7244</v>
      </c>
      <c r="D1796" s="19" t="s">
        <v>7245</v>
      </c>
      <c r="E1796" s="19" t="s">
        <v>7246</v>
      </c>
      <c r="F1796" s="18" t="e" vm="35">
        <v>#VALUE!</v>
      </c>
      <c r="G1796" s="5" t="s">
        <v>151</v>
      </c>
      <c r="H1796" s="18" t="s">
        <v>747</v>
      </c>
      <c r="I1796" s="18"/>
      <c r="J1796" s="18" t="s">
        <v>253</v>
      </c>
      <c r="K1796" s="20" t="s">
        <v>154</v>
      </c>
      <c r="L1796" s="20">
        <v>46267.880555555559</v>
      </c>
      <c r="M1796" s="18" t="s">
        <v>227</v>
      </c>
      <c r="N1796" s="18" t="s">
        <v>227</v>
      </c>
      <c r="O1796" s="3">
        <v>46267.49722222222</v>
      </c>
      <c r="P1796" s="2">
        <v>46268.01666666667</v>
      </c>
      <c r="Q1796" s="22">
        <v>46268.494444444441</v>
      </c>
      <c r="S1796" s="21" t="s">
        <v>1037</v>
      </c>
      <c r="T1796" s="18" t="s">
        <v>478</v>
      </c>
      <c r="V1796" s="21" t="s">
        <v>7247</v>
      </c>
      <c r="W1796" s="21"/>
      <c r="Y1796" t="s">
        <v>158</v>
      </c>
      <c r="Z1796" t="s">
        <v>158</v>
      </c>
      <c r="AA1796" t="s">
        <v>7248</v>
      </c>
    </row>
    <row r="1797" spans="1:27" ht="15" hidden="1" customHeight="1">
      <c r="A1797" s="60">
        <f>ROW() - ROW(Table1[[#Headers],[s]])</f>
        <v>1796</v>
      </c>
      <c r="B1797" t="s">
        <v>7249</v>
      </c>
      <c r="D1797" s="19" t="s">
        <v>7250</v>
      </c>
      <c r="E1797" s="19" t="s">
        <v>5169</v>
      </c>
      <c r="F1797" s="18" t="e" vm="25">
        <v>#VALUE!</v>
      </c>
      <c r="G1797" s="5" t="s">
        <v>151</v>
      </c>
      <c r="H1797" s="18" t="s">
        <v>747</v>
      </c>
      <c r="I1797" s="18"/>
      <c r="J1797" s="18" t="s">
        <v>253</v>
      </c>
      <c r="K1797" s="20" t="s">
        <v>154</v>
      </c>
      <c r="L1797" s="20">
        <v>46268.161805555559</v>
      </c>
      <c r="M1797" s="18" t="s">
        <v>566</v>
      </c>
      <c r="N1797" s="18" t="s">
        <v>566</v>
      </c>
      <c r="O1797" s="3">
        <v>46268.395833333336</v>
      </c>
      <c r="P1797" s="2">
        <v>46268.42291666667</v>
      </c>
      <c r="Q1797" s="22">
        <v>46268.479166666664</v>
      </c>
      <c r="S1797" s="21" t="s">
        <v>7251</v>
      </c>
      <c r="T1797" s="18" t="s">
        <v>478</v>
      </c>
      <c r="V1797" s="21" t="s">
        <v>7252</v>
      </c>
      <c r="W1797" s="21"/>
      <c r="Y1797" t="s">
        <v>158</v>
      </c>
      <c r="Z1797" t="s">
        <v>158</v>
      </c>
    </row>
    <row r="1798" spans="1:27" ht="15" hidden="1" customHeight="1">
      <c r="A1798" s="60">
        <f>ROW() - ROW(Table1[[#Headers],[s]])</f>
        <v>1797</v>
      </c>
      <c r="B1798" t="s">
        <v>7253</v>
      </c>
      <c r="C1798" s="181"/>
      <c r="D1798" s="52" t="s">
        <v>7254</v>
      </c>
      <c r="E1798" s="19" t="s">
        <v>7255</v>
      </c>
      <c r="F1798" s="18" t="e" vm="7">
        <v>#VALUE!</v>
      </c>
      <c r="G1798" s="43" t="s">
        <v>151</v>
      </c>
      <c r="H1798" s="18" t="s">
        <v>747</v>
      </c>
      <c r="I1798" s="18"/>
      <c r="J1798" s="18" t="s">
        <v>253</v>
      </c>
      <c r="K1798" s="20" t="s">
        <v>3101</v>
      </c>
      <c r="L1798" s="44">
        <v>46268.359722222223</v>
      </c>
      <c r="M1798" s="55" t="s">
        <v>7256</v>
      </c>
      <c r="N1798" s="55" t="s">
        <v>7256</v>
      </c>
      <c r="O1798" s="56"/>
      <c r="Q1798" s="58"/>
      <c r="S1798" s="21" t="s">
        <v>7256</v>
      </c>
      <c r="T1798" s="55" t="s">
        <v>179</v>
      </c>
      <c r="V1798" s="53" t="s">
        <v>7256</v>
      </c>
      <c r="W1798" s="21"/>
      <c r="Y1798" t="s">
        <v>179</v>
      </c>
      <c r="Z1798" t="s">
        <v>179</v>
      </c>
    </row>
    <row r="1799" spans="1:27" ht="15" hidden="1" customHeight="1">
      <c r="A1799" s="60">
        <f>ROW() - ROW(Table1[[#Headers],[s]])</f>
        <v>1798</v>
      </c>
      <c r="B1799" t="s">
        <v>7257</v>
      </c>
      <c r="C1799" s="181"/>
      <c r="D1799" s="52" t="s">
        <v>7258</v>
      </c>
      <c r="E1799" s="19" t="s">
        <v>7259</v>
      </c>
      <c r="F1799" s="18" t="e" vm="12">
        <v>#VALUE!</v>
      </c>
      <c r="G1799" s="43" t="s">
        <v>151</v>
      </c>
      <c r="H1799" s="18" t="s">
        <v>152</v>
      </c>
      <c r="I1799" s="18"/>
      <c r="J1799" s="18" t="s">
        <v>153</v>
      </c>
      <c r="K1799" s="20" t="s">
        <v>154</v>
      </c>
      <c r="L1799" s="44">
        <v>46268.392361111109</v>
      </c>
      <c r="M1799" s="55" t="s">
        <v>882</v>
      </c>
      <c r="N1799" s="55" t="s">
        <v>882</v>
      </c>
      <c r="O1799" s="56">
        <v>46268.416666666664</v>
      </c>
      <c r="P1799" s="2">
        <v>46268.430555555555</v>
      </c>
      <c r="Q1799" s="58">
        <v>46268.456250000003</v>
      </c>
      <c r="S1799" t="s">
        <v>7260</v>
      </c>
      <c r="T1799" s="55" t="s">
        <v>478</v>
      </c>
      <c r="V1799" t="s">
        <v>7260</v>
      </c>
      <c r="W1799" s="21"/>
      <c r="Y1799" t="s">
        <v>158</v>
      </c>
      <c r="Z1799" t="s">
        <v>70</v>
      </c>
    </row>
    <row r="1800" spans="1:27" s="29" customFormat="1" ht="15" hidden="1" customHeight="1">
      <c r="A1800" s="111">
        <f>ROW() - ROW(Table1[[#Headers],[s]])</f>
        <v>1799</v>
      </c>
      <c r="B1800" s="29" t="s">
        <v>7261</v>
      </c>
      <c r="C1800" s="438"/>
      <c r="D1800" s="150" t="s">
        <v>7262</v>
      </c>
      <c r="E1800" s="234" t="s">
        <v>6613</v>
      </c>
      <c r="F1800" s="235" t="e" vm="49">
        <v>#VALUE!</v>
      </c>
      <c r="G1800" s="114" t="s">
        <v>151</v>
      </c>
      <c r="H1800" s="235" t="s">
        <v>245</v>
      </c>
      <c r="I1800" s="235"/>
      <c r="J1800" s="235" t="s">
        <v>253</v>
      </c>
      <c r="K1800" s="151" t="s">
        <v>7263</v>
      </c>
      <c r="L1800" s="151">
        <v>46268.402083333334</v>
      </c>
      <c r="M1800" s="153" t="s">
        <v>55</v>
      </c>
      <c r="N1800" s="153" t="s">
        <v>55</v>
      </c>
      <c r="O1800" s="360">
        <v>46268.593055555553</v>
      </c>
      <c r="P1800" s="361">
        <v>46268.593055555553</v>
      </c>
      <c r="Q1800" s="152">
        <v>46268.761111111111</v>
      </c>
      <c r="S1800" s="252" t="s">
        <v>7264</v>
      </c>
      <c r="T1800" s="153" t="s">
        <v>7265</v>
      </c>
      <c r="V1800" s="154" t="s">
        <v>7266</v>
      </c>
      <c r="W1800" s="252"/>
      <c r="Y1800" s="29" t="s">
        <v>158</v>
      </c>
      <c r="Z1800" s="29" t="s">
        <v>158</v>
      </c>
      <c r="AA1800"/>
    </row>
    <row r="1801" spans="1:27" ht="15" hidden="1" customHeight="1">
      <c r="A1801" s="60">
        <f>ROW() - ROW(Table1[[#Headers],[s]])</f>
        <v>1800</v>
      </c>
      <c r="B1801" t="s">
        <v>7267</v>
      </c>
      <c r="C1801" s="181"/>
      <c r="D1801" s="52" t="s">
        <v>7268</v>
      </c>
      <c r="E1801" t="s">
        <v>6010</v>
      </c>
      <c r="F1801" s="18" t="e" vm="2">
        <v>#VALUE!</v>
      </c>
      <c r="G1801" s="43" t="s">
        <v>151</v>
      </c>
      <c r="H1801" s="18" t="s">
        <v>152</v>
      </c>
      <c r="I1801" s="18"/>
      <c r="J1801" s="18" t="s">
        <v>153</v>
      </c>
      <c r="K1801" s="44" t="s">
        <v>154</v>
      </c>
      <c r="L1801" s="44">
        <v>46268.457638888889</v>
      </c>
      <c r="M1801" s="55" t="s">
        <v>162</v>
      </c>
      <c r="N1801" s="55" t="s">
        <v>162</v>
      </c>
      <c r="O1801" s="56">
        <v>46268.722222222219</v>
      </c>
      <c r="P1801" s="22">
        <v>46268.722222222219</v>
      </c>
      <c r="Q1801" s="58">
        <v>46268.729861111111</v>
      </c>
      <c r="S1801" s="21" t="s">
        <v>7269</v>
      </c>
      <c r="T1801" s="55" t="s">
        <v>50</v>
      </c>
      <c r="U1801" s="21"/>
      <c r="V1801" s="21" t="s">
        <v>7269</v>
      </c>
      <c r="Y1801" t="s">
        <v>158</v>
      </c>
      <c r="Z1801" t="s">
        <v>70</v>
      </c>
    </row>
    <row r="1802" spans="1:27" ht="15" hidden="1" customHeight="1">
      <c r="A1802" s="60">
        <f>ROW() - ROW(Table1[[#Headers],[s]])</f>
        <v>1801</v>
      </c>
      <c r="B1802" t="s">
        <v>7249</v>
      </c>
      <c r="C1802" s="181"/>
      <c r="D1802" s="52" t="s">
        <v>7270</v>
      </c>
      <c r="E1802" t="s">
        <v>5169</v>
      </c>
      <c r="F1802" s="18" t="e" vm="25">
        <v>#VALUE!</v>
      </c>
      <c r="G1802" s="43" t="s">
        <v>151</v>
      </c>
      <c r="H1802" s="18" t="s">
        <v>747</v>
      </c>
      <c r="I1802" s="18"/>
      <c r="J1802" s="18" t="s">
        <v>253</v>
      </c>
      <c r="K1802" s="44" t="s">
        <v>154</v>
      </c>
      <c r="L1802" s="44">
        <v>46268.541666666664</v>
      </c>
      <c r="M1802" s="55" t="s">
        <v>566</v>
      </c>
      <c r="N1802" s="55" t="s">
        <v>566</v>
      </c>
      <c r="O1802" s="56">
        <v>46268.555555555555</v>
      </c>
      <c r="P1802" s="2">
        <v>46268.555555555555</v>
      </c>
      <c r="Q1802" s="58">
        <v>46268.656944444447</v>
      </c>
      <c r="S1802" s="21" t="s">
        <v>7271</v>
      </c>
      <c r="T1802" s="55" t="s">
        <v>478</v>
      </c>
      <c r="U1802" s="21"/>
      <c r="V1802" s="21" t="s">
        <v>7271</v>
      </c>
      <c r="Y1802" t="s">
        <v>158</v>
      </c>
      <c r="Z1802" t="s">
        <v>70</v>
      </c>
    </row>
    <row r="1803" spans="1:27" ht="15" customHeight="1">
      <c r="A1803" s="60">
        <f>ROW() - ROW(Table1[[#Headers],[s]])</f>
        <v>1802</v>
      </c>
      <c r="B1803" t="s">
        <v>7272</v>
      </c>
      <c r="C1803" s="181"/>
      <c r="D1803" s="182" t="s">
        <v>7273</v>
      </c>
      <c r="E1803" s="232" t="s">
        <v>7274</v>
      </c>
      <c r="F1803" s="18" t="e" vm="22">
        <v>#VALUE!</v>
      </c>
      <c r="G1803" s="43" t="s">
        <v>186</v>
      </c>
      <c r="H1803" s="18" t="s">
        <v>152</v>
      </c>
      <c r="I1803" t="s">
        <v>43</v>
      </c>
      <c r="J1803" s="18" t="s">
        <v>153</v>
      </c>
      <c r="K1803" s="20" t="s">
        <v>371</v>
      </c>
      <c r="L1803" s="44">
        <v>46268.61041666667</v>
      </c>
      <c r="M1803" s="55" t="s">
        <v>72</v>
      </c>
      <c r="N1803" s="55" t="s">
        <v>72</v>
      </c>
      <c r="O1803" s="56">
        <v>46268.833333333336</v>
      </c>
      <c r="P1803" s="22">
        <v>46268.840277777781</v>
      </c>
      <c r="Q1803" s="58">
        <v>46269.513194444444</v>
      </c>
      <c r="S1803" s="21" t="s">
        <v>7275</v>
      </c>
      <c r="T1803" s="55" t="s">
        <v>478</v>
      </c>
      <c r="U1803" s="21"/>
      <c r="V1803" s="53" t="s">
        <v>7276</v>
      </c>
      <c r="Y1803" s="24" t="s">
        <v>158</v>
      </c>
      <c r="Z1803" t="s">
        <v>70</v>
      </c>
    </row>
    <row r="1804" spans="1:27" ht="15" hidden="1" customHeight="1">
      <c r="A1804" s="60">
        <f>ROW() - ROW(Table1[[#Headers],[s]])</f>
        <v>1803</v>
      </c>
      <c r="B1804" t="s">
        <v>7277</v>
      </c>
      <c r="C1804" s="181"/>
      <c r="D1804" s="52" t="s">
        <v>7278</v>
      </c>
      <c r="E1804" t="s">
        <v>6010</v>
      </c>
      <c r="F1804" s="18" t="e" vm="2">
        <v>#VALUE!</v>
      </c>
      <c r="G1804" s="43" t="s">
        <v>151</v>
      </c>
      <c r="H1804" s="18" t="s">
        <v>152</v>
      </c>
      <c r="I1804" s="18"/>
      <c r="J1804" s="18" t="s">
        <v>153</v>
      </c>
      <c r="K1804" s="44" t="s">
        <v>154</v>
      </c>
      <c r="L1804" s="44">
        <v>46268.611805555556</v>
      </c>
      <c r="M1804" s="55" t="s">
        <v>162</v>
      </c>
      <c r="N1804" s="55" t="s">
        <v>7279</v>
      </c>
      <c r="O1804" s="56">
        <v>46268.631944444445</v>
      </c>
      <c r="P1804" s="22">
        <v>46268.631944444445</v>
      </c>
      <c r="Q1804" s="58">
        <v>46268.663888888892</v>
      </c>
      <c r="S1804" s="21" t="s">
        <v>7280</v>
      </c>
      <c r="T1804" s="55" t="s">
        <v>516</v>
      </c>
      <c r="U1804" s="21"/>
      <c r="V1804" s="53" t="s">
        <v>7281</v>
      </c>
      <c r="Y1804" t="s">
        <v>158</v>
      </c>
      <c r="Z1804" t="s">
        <v>70</v>
      </c>
    </row>
    <row r="1805" spans="1:27" ht="15" hidden="1" customHeight="1">
      <c r="A1805" s="60">
        <f>ROW() - ROW(Table1[[#Headers],[s]])</f>
        <v>1804</v>
      </c>
      <c r="B1805" t="s">
        <v>7282</v>
      </c>
      <c r="C1805" s="181"/>
      <c r="D1805" s="52" t="s">
        <v>7283</v>
      </c>
      <c r="E1805" t="s">
        <v>7284</v>
      </c>
      <c r="F1805" s="18" t="e" vm="25">
        <v>#VALUE!</v>
      </c>
      <c r="G1805" s="43" t="s">
        <v>151</v>
      </c>
      <c r="H1805" s="18" t="s">
        <v>152</v>
      </c>
      <c r="I1805" s="18"/>
      <c r="J1805" s="18" t="s">
        <v>153</v>
      </c>
      <c r="K1805" s="44" t="s">
        <v>154</v>
      </c>
      <c r="L1805" s="44">
        <v>46268.611805555556</v>
      </c>
      <c r="M1805" s="55" t="s">
        <v>72</v>
      </c>
      <c r="N1805" s="55" t="s">
        <v>72</v>
      </c>
      <c r="O1805" s="56">
        <v>46268.663194444445</v>
      </c>
      <c r="P1805" s="22">
        <v>46268.663194444445</v>
      </c>
      <c r="Q1805" s="58">
        <v>46268.736111111109</v>
      </c>
      <c r="S1805" s="21" t="s">
        <v>1037</v>
      </c>
      <c r="T1805" s="55" t="s">
        <v>478</v>
      </c>
      <c r="U1805" s="21"/>
      <c r="V1805" s="53" t="s">
        <v>7285</v>
      </c>
      <c r="Y1805" t="s">
        <v>158</v>
      </c>
      <c r="Z1805" t="s">
        <v>158</v>
      </c>
    </row>
    <row r="1806" spans="1:27" ht="15" hidden="1" customHeight="1">
      <c r="A1806" s="60">
        <f>ROW() - ROW(Table1[[#Headers],[s]])</f>
        <v>1805</v>
      </c>
      <c r="B1806" t="s">
        <v>7286</v>
      </c>
      <c r="C1806" s="181"/>
      <c r="D1806" s="52" t="s">
        <v>7287</v>
      </c>
      <c r="E1806" t="s">
        <v>7284</v>
      </c>
      <c r="F1806" s="18" t="e" vm="25">
        <v>#VALUE!</v>
      </c>
      <c r="G1806" s="43" t="s">
        <v>151</v>
      </c>
      <c r="H1806" s="18" t="s">
        <v>152</v>
      </c>
      <c r="I1806" s="18"/>
      <c r="J1806" s="18" t="s">
        <v>153</v>
      </c>
      <c r="K1806" s="363" t="s">
        <v>7288</v>
      </c>
      <c r="L1806" s="44">
        <v>46268.612500000003</v>
      </c>
      <c r="M1806" s="55" t="s">
        <v>72</v>
      </c>
      <c r="N1806" s="55" t="s">
        <v>72</v>
      </c>
      <c r="O1806" s="56"/>
      <c r="P1806" s="22"/>
      <c r="Q1806" s="58"/>
      <c r="S1806" t="s">
        <v>7288</v>
      </c>
      <c r="T1806" s="55" t="s">
        <v>179</v>
      </c>
      <c r="U1806" s="21"/>
      <c r="V1806" t="s">
        <v>7288</v>
      </c>
      <c r="Y1806" t="s">
        <v>179</v>
      </c>
      <c r="Z1806" t="s">
        <v>179</v>
      </c>
    </row>
    <row r="1807" spans="1:27" ht="15" customHeight="1">
      <c r="A1807" s="60">
        <f>ROW() - ROW(Table1[[#Headers],[s]])</f>
        <v>1806</v>
      </c>
      <c r="B1807" t="s">
        <v>7289</v>
      </c>
      <c r="C1807" s="181"/>
      <c r="D1807" s="182" t="s">
        <v>7290</v>
      </c>
      <c r="E1807" s="232" t="s">
        <v>5700</v>
      </c>
      <c r="F1807" s="18" t="e" vm="25">
        <v>#VALUE!</v>
      </c>
      <c r="G1807" s="43" t="s">
        <v>186</v>
      </c>
      <c r="H1807" s="18" t="s">
        <v>152</v>
      </c>
      <c r="I1807" s="18"/>
      <c r="J1807" s="18" t="s">
        <v>153</v>
      </c>
      <c r="K1807" s="20" t="s">
        <v>371</v>
      </c>
      <c r="L1807" s="44">
        <v>46269.409722222219</v>
      </c>
      <c r="M1807" s="55" t="s">
        <v>72</v>
      </c>
      <c r="N1807" s="55" t="s">
        <v>72</v>
      </c>
      <c r="O1807" s="56">
        <v>46269.5</v>
      </c>
      <c r="P1807" s="22">
        <v>46269.506944444445</v>
      </c>
      <c r="Q1807" s="58">
        <v>46269.661111111112</v>
      </c>
      <c r="S1807" s="21" t="s">
        <v>7291</v>
      </c>
      <c r="T1807" s="55" t="s">
        <v>478</v>
      </c>
      <c r="U1807" s="21"/>
      <c r="V1807" s="53" t="s">
        <v>7292</v>
      </c>
      <c r="Y1807" t="s">
        <v>158</v>
      </c>
      <c r="Z1807" t="s">
        <v>70</v>
      </c>
    </row>
    <row r="1808" spans="1:27" ht="15" customHeight="1">
      <c r="A1808" s="60">
        <f>ROW() - ROW(Table1[[#Headers],[s]])</f>
        <v>1807</v>
      </c>
      <c r="B1808" t="s">
        <v>7293</v>
      </c>
      <c r="C1808" s="181"/>
      <c r="D1808" s="182" t="s">
        <v>7294</v>
      </c>
      <c r="E1808" t="s">
        <v>5700</v>
      </c>
      <c r="F1808" s="18" t="e" vm="25">
        <v>#VALUE!</v>
      </c>
      <c r="G1808" s="43" t="s">
        <v>186</v>
      </c>
      <c r="H1808" s="18" t="s">
        <v>152</v>
      </c>
      <c r="I1808" s="18" t="s">
        <v>179</v>
      </c>
      <c r="J1808" s="18" t="s">
        <v>153</v>
      </c>
      <c r="K1808" s="52" t="s">
        <v>7295</v>
      </c>
      <c r="L1808" s="44">
        <v>46269.410416666666</v>
      </c>
      <c r="M1808" s="55" t="s">
        <v>72</v>
      </c>
      <c r="N1808" s="55" t="s">
        <v>72</v>
      </c>
      <c r="O1808" s="56">
        <v>46269.625</v>
      </c>
      <c r="P1808" s="22">
        <v>46269.631944444445</v>
      </c>
      <c r="Q1808" s="58">
        <v>46269.669444444444</v>
      </c>
      <c r="S1808" s="21" t="s">
        <v>7296</v>
      </c>
      <c r="T1808" s="55" t="s">
        <v>478</v>
      </c>
      <c r="U1808" s="21"/>
      <c r="V1808" s="53" t="s">
        <v>7297</v>
      </c>
      <c r="Y1808" t="s">
        <v>158</v>
      </c>
      <c r="Z1808" t="s">
        <v>70</v>
      </c>
    </row>
    <row r="1809" spans="1:29" ht="15" customHeight="1">
      <c r="A1809" s="60">
        <f>ROW() - ROW(Table1[[#Headers],[s]])</f>
        <v>1808</v>
      </c>
      <c r="B1809" t="s">
        <v>7298</v>
      </c>
      <c r="D1809" s="308" t="s">
        <v>7299</v>
      </c>
      <c r="E1809" t="s">
        <v>7274</v>
      </c>
      <c r="F1809" s="18" t="e" vm="22">
        <v>#VALUE!</v>
      </c>
      <c r="G1809" s="43" t="s">
        <v>186</v>
      </c>
      <c r="H1809" s="18" t="s">
        <v>152</v>
      </c>
      <c r="I1809" s="18"/>
      <c r="J1809" s="18" t="s">
        <v>153</v>
      </c>
      <c r="K1809" s="20" t="s">
        <v>371</v>
      </c>
      <c r="L1809" s="44">
        <v>46269.410416666666</v>
      </c>
      <c r="M1809" s="55" t="s">
        <v>72</v>
      </c>
      <c r="N1809" s="55" t="s">
        <v>72</v>
      </c>
      <c r="O1809" s="3">
        <v>46269.5</v>
      </c>
      <c r="P1809" s="22">
        <v>46269.506944444445</v>
      </c>
      <c r="Q1809" s="22">
        <v>46269.539583333331</v>
      </c>
      <c r="S1809" s="21" t="s">
        <v>7300</v>
      </c>
      <c r="T1809" s="55" t="s">
        <v>7301</v>
      </c>
      <c r="U1809" s="21"/>
      <c r="V1809" s="21" t="s">
        <v>7302</v>
      </c>
      <c r="Y1809" t="s">
        <v>158</v>
      </c>
      <c r="Z1809" t="s">
        <v>70</v>
      </c>
    </row>
    <row r="1810" spans="1:29" ht="15" customHeight="1">
      <c r="A1810" s="60">
        <f>ROW() - ROW(Table1[[#Headers],[s]])</f>
        <v>1809</v>
      </c>
      <c r="B1810" t="s">
        <v>7303</v>
      </c>
      <c r="D1810" s="308" t="s">
        <v>7304</v>
      </c>
      <c r="E1810" s="232" t="s">
        <v>7305</v>
      </c>
      <c r="F1810" s="18" t="e" vm="35">
        <v>#VALUE!</v>
      </c>
      <c r="G1810" s="43" t="s">
        <v>186</v>
      </c>
      <c r="H1810" s="18" t="s">
        <v>152</v>
      </c>
      <c r="I1810" s="18"/>
      <c r="J1810" s="18" t="s">
        <v>153</v>
      </c>
      <c r="K1810" s="307" t="s">
        <v>7306</v>
      </c>
      <c r="L1810" s="20">
        <v>46269.463888888888</v>
      </c>
      <c r="M1810" s="18" t="s">
        <v>454</v>
      </c>
      <c r="N1810" s="18" t="s">
        <v>454</v>
      </c>
      <c r="O1810" s="3">
        <v>46269.541666666664</v>
      </c>
      <c r="P1810" s="22">
        <v>46269.548611111109</v>
      </c>
      <c r="Q1810" s="22">
        <v>46269.74722222222</v>
      </c>
      <c r="S1810" s="21" t="s">
        <v>7307</v>
      </c>
      <c r="T1810" s="18" t="s">
        <v>7308</v>
      </c>
      <c r="U1810" s="21"/>
      <c r="V1810" s="21" t="s">
        <v>7309</v>
      </c>
      <c r="Y1810" t="s">
        <v>158</v>
      </c>
      <c r="Z1810" t="s">
        <v>158</v>
      </c>
    </row>
    <row r="1811" spans="1:29" s="36" customFormat="1" ht="15" customHeight="1">
      <c r="A1811" s="189">
        <f>ROW() - ROW(Table1[[#Headers],[s]])</f>
        <v>1810</v>
      </c>
      <c r="B1811" s="36" t="s">
        <v>7310</v>
      </c>
      <c r="C1811" s="442"/>
      <c r="D1811" s="243" t="s">
        <v>7311</v>
      </c>
      <c r="E1811" s="232" t="s">
        <v>7312</v>
      </c>
      <c r="F1811" s="372" t="e" vm="30">
        <v>#VALUE!</v>
      </c>
      <c r="G1811" s="443" t="s">
        <v>83</v>
      </c>
      <c r="H1811" s="372" t="s">
        <v>245</v>
      </c>
      <c r="I1811" s="372"/>
      <c r="J1811" s="372" t="s">
        <v>253</v>
      </c>
      <c r="K1811" s="446" t="s">
        <v>7313</v>
      </c>
      <c r="L1811" s="444">
        <v>46269.491666666669</v>
      </c>
      <c r="M1811" s="372" t="s">
        <v>7314</v>
      </c>
      <c r="N1811" s="372" t="s">
        <v>7314</v>
      </c>
      <c r="O1811" s="445">
        <v>46269.658333333333</v>
      </c>
      <c r="P1811" s="373">
        <v>46269.673611111109</v>
      </c>
      <c r="Q1811" s="373">
        <v>46269.882638888892</v>
      </c>
      <c r="S1811" s="374" t="s">
        <v>7315</v>
      </c>
      <c r="T1811" s="372" t="s">
        <v>7316</v>
      </c>
      <c r="U1811" s="374"/>
      <c r="V1811" s="374" t="s">
        <v>7317</v>
      </c>
      <c r="Y1811" s="36" t="s">
        <v>70</v>
      </c>
      <c r="Z1811" s="36" t="s">
        <v>158</v>
      </c>
      <c r="AA1811" s="444"/>
      <c r="AC1811" s="444">
        <v>46269.711111111108</v>
      </c>
    </row>
    <row r="1812" spans="1:29" ht="15" customHeight="1">
      <c r="A1812" s="60">
        <f>ROW() - ROW(Table1[[#Headers],[s]])</f>
        <v>1811</v>
      </c>
      <c r="B1812" t="s">
        <v>7318</v>
      </c>
      <c r="D1812" s="440" t="s">
        <v>7319</v>
      </c>
      <c r="E1812" t="s">
        <v>7320</v>
      </c>
      <c r="F1812" s="18" t="e" vm="40">
        <v>#VALUE!</v>
      </c>
      <c r="G1812" s="5" t="s">
        <v>83</v>
      </c>
      <c r="H1812" s="18" t="s">
        <v>245</v>
      </c>
      <c r="I1812" t="s">
        <v>43</v>
      </c>
      <c r="J1812" s="18" t="s">
        <v>253</v>
      </c>
      <c r="K1812" s="20" t="s">
        <v>371</v>
      </c>
      <c r="L1812" s="20">
        <v>46269.645833333336</v>
      </c>
      <c r="M1812" s="18" t="s">
        <v>39</v>
      </c>
      <c r="N1812" s="18" t="s">
        <v>39</v>
      </c>
      <c r="O1812" s="3">
        <v>46269.6875</v>
      </c>
      <c r="P1812" s="22">
        <v>46269.694444444445</v>
      </c>
      <c r="Q1812" s="22">
        <v>46269.765277777777</v>
      </c>
      <c r="S1812" s="21" t="s">
        <v>7321</v>
      </c>
      <c r="T1812" s="18" t="s">
        <v>7322</v>
      </c>
      <c r="U1812" s="21"/>
      <c r="V1812" s="21" t="s">
        <v>7323</v>
      </c>
      <c r="Y1812" t="s">
        <v>158</v>
      </c>
      <c r="Z1812" t="s">
        <v>158</v>
      </c>
      <c r="AA1812" s="258"/>
      <c r="AC1812" s="258">
        <v>46269.734722222223</v>
      </c>
    </row>
    <row r="1813" spans="1:29" ht="15" customHeight="1">
      <c r="A1813" s="60">
        <f>ROW() - ROW(Table1[[#Headers],[s]])</f>
        <v>1812</v>
      </c>
      <c r="B1813" t="s">
        <v>7324</v>
      </c>
      <c r="D1813" s="308" t="s">
        <v>7325</v>
      </c>
      <c r="E1813" t="s">
        <v>7326</v>
      </c>
      <c r="F1813" s="18" t="e" vm="12">
        <v>#VALUE!</v>
      </c>
      <c r="G1813" s="5" t="s">
        <v>83</v>
      </c>
      <c r="H1813" s="18" t="s">
        <v>245</v>
      </c>
      <c r="I1813" s="18"/>
      <c r="J1813" s="18" t="s">
        <v>253</v>
      </c>
      <c r="K1813" s="20" t="s">
        <v>371</v>
      </c>
      <c r="L1813" s="20">
        <v>46269.572916666664</v>
      </c>
      <c r="M1813" s="18" t="s">
        <v>72</v>
      </c>
      <c r="N1813" s="18" t="s">
        <v>72</v>
      </c>
      <c r="O1813" s="3">
        <v>46269.75</v>
      </c>
      <c r="P1813" s="22">
        <v>46269.756944444445</v>
      </c>
      <c r="Q1813" s="22">
        <v>46269.856944444444</v>
      </c>
      <c r="S1813" s="21" t="s">
        <v>7327</v>
      </c>
      <c r="T1813" s="55" t="s">
        <v>478</v>
      </c>
      <c r="U1813" s="21"/>
      <c r="V1813" s="21" t="s">
        <v>2987</v>
      </c>
      <c r="Y1813" t="s">
        <v>158</v>
      </c>
      <c r="Z1813" t="s">
        <v>70</v>
      </c>
      <c r="AA1813" s="258"/>
      <c r="AC1813" s="258">
        <v>46269.743055555555</v>
      </c>
    </row>
    <row r="1814" spans="1:29" ht="15" customHeight="1">
      <c r="A1814" s="60">
        <f>ROW() - ROW(Table1[[#Headers],[s]])</f>
        <v>1813</v>
      </c>
      <c r="B1814" t="s">
        <v>7328</v>
      </c>
      <c r="D1814" s="243" t="s">
        <v>7329</v>
      </c>
      <c r="E1814" t="s">
        <v>7330</v>
      </c>
      <c r="F1814" s="18" t="e" vm="49">
        <v>#VALUE!</v>
      </c>
      <c r="G1814" s="5" t="s">
        <v>83</v>
      </c>
      <c r="H1814" s="18" t="s">
        <v>747</v>
      </c>
      <c r="I1814" s="18"/>
      <c r="J1814" s="18" t="s">
        <v>253</v>
      </c>
      <c r="K1814" t="s">
        <v>3768</v>
      </c>
      <c r="L1814" s="20">
        <v>46269.658333333333</v>
      </c>
      <c r="M1814" s="18" t="s">
        <v>7331</v>
      </c>
      <c r="N1814" s="18" t="s">
        <v>7331</v>
      </c>
      <c r="O1814" s="3"/>
      <c r="P1814" s="22"/>
      <c r="S1814" t="s">
        <v>7332</v>
      </c>
      <c r="T1814" s="55" t="s">
        <v>179</v>
      </c>
      <c r="U1814" s="21"/>
      <c r="Y1814" t="s">
        <v>179</v>
      </c>
      <c r="Z1814" t="s">
        <v>179</v>
      </c>
      <c r="AA1814" s="258"/>
      <c r="AC1814" s="258">
        <v>46269.75</v>
      </c>
    </row>
    <row r="1815" spans="1:29" ht="15" customHeight="1">
      <c r="A1815" s="60">
        <f>ROW() - ROW(Table1[[#Headers],[s]])</f>
        <v>1814</v>
      </c>
      <c r="B1815" t="s">
        <v>7333</v>
      </c>
      <c r="C1815" s="181"/>
      <c r="D1815" s="173" t="s">
        <v>7334</v>
      </c>
      <c r="E1815" t="s">
        <v>5242</v>
      </c>
      <c r="F1815" s="18" t="e" vm="25">
        <v>#VALUE!</v>
      </c>
      <c r="G1815" s="5" t="s">
        <v>83</v>
      </c>
      <c r="H1815" s="18" t="s">
        <v>747</v>
      </c>
      <c r="I1815" s="18"/>
      <c r="J1815" s="18" t="s">
        <v>253</v>
      </c>
      <c r="K1815" t="s">
        <v>3768</v>
      </c>
      <c r="L1815" s="44">
        <v>46269.988194444442</v>
      </c>
      <c r="M1815" s="18" t="s">
        <v>72</v>
      </c>
      <c r="N1815" s="18" t="s">
        <v>72</v>
      </c>
      <c r="O1815" s="56"/>
      <c r="P1815" s="22"/>
      <c r="Q1815" s="58"/>
      <c r="S1815" t="s">
        <v>7332</v>
      </c>
      <c r="T1815" s="55" t="s">
        <v>179</v>
      </c>
      <c r="U1815" s="21"/>
      <c r="V1815" s="53"/>
      <c r="Y1815" t="s">
        <v>179</v>
      </c>
      <c r="Z1815" t="s">
        <v>179</v>
      </c>
      <c r="AA1815" s="44"/>
      <c r="AC1815" s="44">
        <v>46269.988194444442</v>
      </c>
    </row>
    <row r="1816" spans="1:29" ht="15" hidden="1" customHeight="1">
      <c r="A1816" s="60">
        <f>ROW() - ROW(Table1[[#Headers],[s]])</f>
        <v>1815</v>
      </c>
      <c r="B1816" s="230" t="s">
        <v>7335</v>
      </c>
      <c r="D1816" s="19" t="s">
        <v>7336</v>
      </c>
      <c r="E1816" t="s">
        <v>7337</v>
      </c>
      <c r="F1816" s="18" t="e" vm="12">
        <v>#VALUE!</v>
      </c>
      <c r="G1816" s="43" t="s">
        <v>174</v>
      </c>
      <c r="H1816" s="18" t="s">
        <v>152</v>
      </c>
      <c r="I1816" s="18"/>
      <c r="J1816" s="18" t="s">
        <v>153</v>
      </c>
      <c r="K1816" s="20" t="s">
        <v>371</v>
      </c>
      <c r="L1816" s="44">
        <v>46270.512499999997</v>
      </c>
      <c r="M1816" s="18" t="s">
        <v>72</v>
      </c>
      <c r="N1816" s="18" t="s">
        <v>72</v>
      </c>
      <c r="O1816" s="44">
        <v>46270.291666666664</v>
      </c>
      <c r="P1816" s="44">
        <v>46270.322916666664</v>
      </c>
      <c r="Q1816" s="44">
        <v>46270.375</v>
      </c>
      <c r="S1816" s="21" t="s">
        <v>473</v>
      </c>
      <c r="T1816" s="18" t="s">
        <v>516</v>
      </c>
      <c r="U1816" s="21"/>
      <c r="V1816" s="53" t="s">
        <v>404</v>
      </c>
      <c r="Y1816" t="s">
        <v>158</v>
      </c>
      <c r="Z1816" t="s">
        <v>158</v>
      </c>
    </row>
    <row r="1817" spans="1:29" ht="15" hidden="1" customHeight="1">
      <c r="A1817" s="60">
        <f>ROW() - ROW(Table1[[#Headers],[s]])</f>
        <v>1816</v>
      </c>
      <c r="B1817" t="s">
        <v>7338</v>
      </c>
      <c r="C1817" s="181"/>
      <c r="D1817" s="52" t="s">
        <v>7339</v>
      </c>
      <c r="E1817" t="s">
        <v>5627</v>
      </c>
      <c r="F1817" s="18" t="e" vm="10">
        <v>#VALUE!</v>
      </c>
      <c r="G1817" s="43" t="s">
        <v>174</v>
      </c>
      <c r="H1817" s="18" t="s">
        <v>152</v>
      </c>
      <c r="I1817" s="18"/>
      <c r="J1817" s="18" t="s">
        <v>153</v>
      </c>
      <c r="K1817" s="20" t="s">
        <v>371</v>
      </c>
      <c r="L1817" s="44">
        <v>46269.6875</v>
      </c>
      <c r="M1817" s="18" t="s">
        <v>78</v>
      </c>
      <c r="N1817" s="55" t="s">
        <v>78</v>
      </c>
      <c r="O1817" s="44">
        <v>46270.291666666664</v>
      </c>
      <c r="P1817" s="44">
        <v>46270.322916666664</v>
      </c>
      <c r="Q1817" s="44">
        <v>46270.375</v>
      </c>
      <c r="S1817" s="21" t="s">
        <v>7340</v>
      </c>
      <c r="T1817" s="55" t="s">
        <v>478</v>
      </c>
      <c r="U1817" s="21"/>
      <c r="V1817" s="53" t="s">
        <v>930</v>
      </c>
      <c r="Y1817" t="s">
        <v>158</v>
      </c>
      <c r="Z1817" t="s">
        <v>158</v>
      </c>
    </row>
    <row r="1818" spans="1:29" s="29" customFormat="1" ht="15" hidden="1" customHeight="1">
      <c r="A1818" s="111">
        <f>ROW() - ROW(Table1[[#Headers],[s]])</f>
        <v>1817</v>
      </c>
      <c r="B1818" s="29" t="s">
        <v>7341</v>
      </c>
      <c r="C1818" s="438"/>
      <c r="D1818" s="150" t="s">
        <v>7342</v>
      </c>
      <c r="E1818" s="29" t="s">
        <v>6417</v>
      </c>
      <c r="F1818" s="410" t="e" vm="35">
        <v>#VALUE!</v>
      </c>
      <c r="G1818" s="114" t="s">
        <v>174</v>
      </c>
      <c r="H1818" s="235" t="s">
        <v>747</v>
      </c>
      <c r="I1818" s="235"/>
      <c r="J1818" s="235" t="s">
        <v>253</v>
      </c>
      <c r="K1818" s="251" t="s">
        <v>371</v>
      </c>
      <c r="L1818" s="151">
        <v>46270.466666666667</v>
      </c>
      <c r="M1818" s="153" t="s">
        <v>227</v>
      </c>
      <c r="N1818" s="153" t="s">
        <v>227</v>
      </c>
      <c r="O1818" s="151">
        <v>46270.524305555555</v>
      </c>
      <c r="P1818" s="151">
        <v>46270.534722222219</v>
      </c>
      <c r="Q1818" s="151">
        <v>46270.743750000001</v>
      </c>
      <c r="S1818" s="252" t="s">
        <v>7343</v>
      </c>
      <c r="T1818" s="235" t="s">
        <v>516</v>
      </c>
      <c r="U1818" s="252"/>
      <c r="V1818" s="154" t="s">
        <v>2538</v>
      </c>
      <c r="Y1818" s="29" t="s">
        <v>158</v>
      </c>
      <c r="Z1818" s="29" t="s">
        <v>70</v>
      </c>
    </row>
    <row r="1819" spans="1:29" ht="15" hidden="1" customHeight="1">
      <c r="A1819" s="60">
        <f>ROW() - ROW(Table1[[#Headers],[s]])</f>
        <v>1818</v>
      </c>
      <c r="B1819" s="230" t="s">
        <v>7344</v>
      </c>
      <c r="C1819" s="181"/>
      <c r="D1819" s="52" t="s">
        <v>7345</v>
      </c>
      <c r="E1819" t="s">
        <v>7346</v>
      </c>
      <c r="F1819" s="18" t="e" vm="7">
        <v>#VALUE!</v>
      </c>
      <c r="G1819" s="43" t="s">
        <v>174</v>
      </c>
      <c r="H1819" s="18" t="s">
        <v>152</v>
      </c>
      <c r="I1819" s="18"/>
      <c r="J1819" s="18" t="s">
        <v>153</v>
      </c>
      <c r="K1819" s="20" t="s">
        <v>371</v>
      </c>
      <c r="L1819" s="44">
        <v>46270.554861111108</v>
      </c>
      <c r="M1819" s="55" t="s">
        <v>227</v>
      </c>
      <c r="N1819" s="55" t="s">
        <v>227</v>
      </c>
      <c r="O1819" s="44">
        <v>46270.635416666664</v>
      </c>
      <c r="P1819" s="44">
        <v>46270.65625</v>
      </c>
      <c r="Q1819" s="44">
        <v>46270.739583333336</v>
      </c>
      <c r="S1819" s="21" t="s">
        <v>473</v>
      </c>
      <c r="T1819" s="18" t="s">
        <v>516</v>
      </c>
      <c r="U1819" s="21"/>
      <c r="V1819" s="53" t="s">
        <v>404</v>
      </c>
      <c r="Y1819" t="s">
        <v>158</v>
      </c>
      <c r="Z1819" t="s">
        <v>158</v>
      </c>
    </row>
    <row r="1820" spans="1:29" ht="15" hidden="1" customHeight="1">
      <c r="A1820" s="60">
        <f>ROW() - ROW(Table1[[#Headers],[s]])</f>
        <v>1819</v>
      </c>
      <c r="B1820" s="230" t="s">
        <v>7347</v>
      </c>
      <c r="C1820" s="181"/>
      <c r="D1820" s="52" t="s">
        <v>7348</v>
      </c>
      <c r="E1820" t="s">
        <v>6094</v>
      </c>
      <c r="F1820" t="e" vm="49">
        <v>#VALUE!</v>
      </c>
      <c r="G1820" s="43" t="s">
        <v>174</v>
      </c>
      <c r="H1820" s="18" t="s">
        <v>152</v>
      </c>
      <c r="I1820" s="18"/>
      <c r="J1820" s="18" t="s">
        <v>153</v>
      </c>
      <c r="K1820" s="20" t="s">
        <v>371</v>
      </c>
      <c r="L1820" s="44">
        <v>46270.875694444447</v>
      </c>
      <c r="M1820" s="55" t="s">
        <v>227</v>
      </c>
      <c r="N1820" s="55" t="s">
        <v>227</v>
      </c>
      <c r="O1820" s="44">
        <v>46270.90625</v>
      </c>
      <c r="P1820" s="44">
        <v>46270.927083333336</v>
      </c>
      <c r="Q1820" s="44">
        <v>46270.96875</v>
      </c>
      <c r="S1820" s="21" t="s">
        <v>7349</v>
      </c>
      <c r="T1820" s="55" t="s">
        <v>193</v>
      </c>
      <c r="U1820" s="21"/>
      <c r="V1820" s="53" t="s">
        <v>3926</v>
      </c>
      <c r="Y1820" t="s">
        <v>158</v>
      </c>
      <c r="Z1820" t="s">
        <v>70</v>
      </c>
    </row>
    <row r="1821" spans="1:29" ht="15" hidden="1" customHeight="1">
      <c r="A1821" s="60">
        <f>ROW() - ROW(Table1[[#Headers],[s]])</f>
        <v>1820</v>
      </c>
      <c r="B1821" s="230" t="s">
        <v>7350</v>
      </c>
      <c r="C1821" s="181"/>
      <c r="D1821" s="52" t="s">
        <v>7351</v>
      </c>
      <c r="E1821" t="s">
        <v>6094</v>
      </c>
      <c r="F1821" t="e" vm="49">
        <v>#VALUE!</v>
      </c>
      <c r="G1821" s="43" t="s">
        <v>174</v>
      </c>
      <c r="H1821" s="18" t="s">
        <v>152</v>
      </c>
      <c r="I1821" s="18"/>
      <c r="J1821" s="18" t="s">
        <v>153</v>
      </c>
      <c r="K1821" s="20" t="s">
        <v>371</v>
      </c>
      <c r="L1821" s="44">
        <v>46271.450694444444</v>
      </c>
      <c r="M1821" s="55" t="s">
        <v>227</v>
      </c>
      <c r="N1821" s="55" t="s">
        <v>227</v>
      </c>
      <c r="O1821" s="56"/>
      <c r="P1821" s="22"/>
      <c r="Q1821" s="58"/>
      <c r="S1821" s="44" t="s">
        <v>7352</v>
      </c>
      <c r="T1821" s="55" t="s">
        <v>179</v>
      </c>
      <c r="U1821" s="21"/>
      <c r="V1821" s="53"/>
      <c r="Y1821" t="s">
        <v>179</v>
      </c>
      <c r="Z1821" t="s">
        <v>179</v>
      </c>
    </row>
    <row r="1822" spans="1:29" s="29" customFormat="1" ht="15" hidden="1" customHeight="1">
      <c r="A1822" s="111">
        <f>ROW() - ROW(Table1[[#Headers],[s]])</f>
        <v>1821</v>
      </c>
      <c r="B1822" s="29" t="s">
        <v>7353</v>
      </c>
      <c r="C1822" s="438"/>
      <c r="D1822" s="150" t="s">
        <v>7354</v>
      </c>
      <c r="E1822" s="29" t="s">
        <v>7355</v>
      </c>
      <c r="F1822" s="410" t="e" vm="35">
        <v>#VALUE!</v>
      </c>
      <c r="G1822" s="114" t="s">
        <v>174</v>
      </c>
      <c r="H1822" s="235" t="s">
        <v>747</v>
      </c>
      <c r="I1822" s="235"/>
      <c r="J1822" s="235" t="s">
        <v>253</v>
      </c>
      <c r="K1822" s="151" t="s">
        <v>7356</v>
      </c>
      <c r="L1822" s="151">
        <v>46271.617361111108</v>
      </c>
      <c r="M1822" s="153" t="s">
        <v>227</v>
      </c>
      <c r="N1822" s="153" t="s">
        <v>227</v>
      </c>
      <c r="O1822" s="151">
        <v>46271.673611111109</v>
      </c>
      <c r="P1822" s="151">
        <v>46271.697916666664</v>
      </c>
      <c r="Q1822" s="152">
        <v>46271.890277777777</v>
      </c>
      <c r="S1822" s="252" t="s">
        <v>7357</v>
      </c>
      <c r="T1822" s="55" t="s">
        <v>179</v>
      </c>
      <c r="U1822" s="252"/>
      <c r="V1822" s="154" t="s">
        <v>7358</v>
      </c>
      <c r="Y1822" s="29" t="s">
        <v>158</v>
      </c>
      <c r="Z1822" s="29" t="s">
        <v>158</v>
      </c>
    </row>
    <row r="1823" spans="1:29" ht="15" hidden="1" customHeight="1">
      <c r="A1823" s="60">
        <f>ROW() - ROW(Table1[[#Headers],[s]])</f>
        <v>1822</v>
      </c>
      <c r="B1823" s="230" t="s">
        <v>7359</v>
      </c>
      <c r="C1823" s="181"/>
      <c r="D1823" s="52" t="s">
        <v>7360</v>
      </c>
      <c r="E1823" t="s">
        <v>6094</v>
      </c>
      <c r="F1823" t="e" vm="49">
        <v>#VALUE!</v>
      </c>
      <c r="G1823" s="43" t="s">
        <v>174</v>
      </c>
      <c r="H1823" s="18" t="s">
        <v>152</v>
      </c>
      <c r="I1823" s="18"/>
      <c r="J1823" s="18" t="s">
        <v>153</v>
      </c>
      <c r="K1823" s="44" t="s">
        <v>7352</v>
      </c>
      <c r="L1823" s="44">
        <v>46271.73541666667</v>
      </c>
      <c r="M1823" s="55" t="s">
        <v>227</v>
      </c>
      <c r="N1823" s="55" t="s">
        <v>227</v>
      </c>
      <c r="O1823" s="56"/>
      <c r="P1823" s="22"/>
      <c r="Q1823" s="58">
        <v>46272.375</v>
      </c>
      <c r="S1823" s="169" t="s">
        <v>7352</v>
      </c>
      <c r="T1823" s="55" t="s">
        <v>179</v>
      </c>
      <c r="U1823" s="21"/>
      <c r="V1823" s="169" t="s">
        <v>7352</v>
      </c>
      <c r="Y1823" t="s">
        <v>179</v>
      </c>
      <c r="Z1823" t="s">
        <v>179</v>
      </c>
    </row>
    <row r="1824" spans="1:29" ht="15" hidden="1" customHeight="1">
      <c r="A1824" s="60">
        <f>ROW() - ROW(Table1[[#Headers],[s]])</f>
        <v>1823</v>
      </c>
      <c r="B1824" s="230" t="s">
        <v>7361</v>
      </c>
      <c r="C1824" s="181"/>
      <c r="D1824" s="52" t="s">
        <v>7362</v>
      </c>
      <c r="E1824" t="s">
        <v>6094</v>
      </c>
      <c r="F1824" t="e" vm="49">
        <v>#VALUE!</v>
      </c>
      <c r="G1824" s="43" t="s">
        <v>36</v>
      </c>
      <c r="H1824" s="18" t="s">
        <v>152</v>
      </c>
      <c r="I1824" t="s">
        <v>43</v>
      </c>
      <c r="J1824" s="18" t="s">
        <v>153</v>
      </c>
      <c r="K1824" s="44" t="s">
        <v>154</v>
      </c>
      <c r="L1824" s="44">
        <v>46271.754861111112</v>
      </c>
      <c r="M1824" s="55" t="s">
        <v>227</v>
      </c>
      <c r="N1824" s="55" t="s">
        <v>227</v>
      </c>
      <c r="O1824" s="56"/>
      <c r="P1824" s="22"/>
      <c r="Q1824" s="58">
        <v>46272.423611111109</v>
      </c>
      <c r="S1824" s="21" t="s">
        <v>684</v>
      </c>
      <c r="T1824" s="55" t="s">
        <v>478</v>
      </c>
      <c r="U1824" s="21"/>
      <c r="V1824" s="53" t="s">
        <v>7363</v>
      </c>
      <c r="Y1824" t="s">
        <v>158</v>
      </c>
      <c r="Z1824" t="s">
        <v>52</v>
      </c>
    </row>
    <row r="1825" spans="1:27" ht="15" hidden="1" customHeight="1">
      <c r="A1825" s="60">
        <f>ROW() - ROW(Table1[[#Headers],[s]])</f>
        <v>1824</v>
      </c>
      <c r="B1825" s="230" t="s">
        <v>7364</v>
      </c>
      <c r="C1825" s="181"/>
      <c r="D1825" s="52" t="s">
        <v>7365</v>
      </c>
      <c r="E1825" t="s">
        <v>7366</v>
      </c>
      <c r="F1825" s="5" t="e" vm="25">
        <v>#VALUE!</v>
      </c>
      <c r="G1825" s="43" t="s">
        <v>36</v>
      </c>
      <c r="H1825" s="18" t="s">
        <v>152</v>
      </c>
      <c r="I1825" t="s">
        <v>43</v>
      </c>
      <c r="J1825" s="18" t="s">
        <v>153</v>
      </c>
      <c r="K1825" s="44" t="s">
        <v>154</v>
      </c>
      <c r="L1825" s="44">
        <v>46271.756249999999</v>
      </c>
      <c r="M1825" s="55" t="s">
        <v>352</v>
      </c>
      <c r="N1825" s="55" t="s">
        <v>352</v>
      </c>
      <c r="O1825" s="56"/>
      <c r="P1825" s="22"/>
      <c r="Q1825" s="58">
        <v>46272.444444444445</v>
      </c>
      <c r="S1825" s="21" t="s">
        <v>7367</v>
      </c>
      <c r="T1825" s="55" t="s">
        <v>164</v>
      </c>
      <c r="U1825" s="21"/>
      <c r="V1825" s="53" t="s">
        <v>7368</v>
      </c>
      <c r="Y1825" t="s">
        <v>158</v>
      </c>
      <c r="Z1825" t="s">
        <v>52</v>
      </c>
    </row>
    <row r="1826" spans="1:27" ht="15" hidden="1" customHeight="1">
      <c r="A1826" s="60">
        <f>ROW() - ROW(Table1[[#Headers],[s]])</f>
        <v>1825</v>
      </c>
      <c r="B1826" s="240" t="s">
        <v>7369</v>
      </c>
      <c r="C1826" s="181"/>
      <c r="D1826" s="52" t="s">
        <v>7370</v>
      </c>
      <c r="E1826" t="s">
        <v>5632</v>
      </c>
      <c r="F1826" s="5" t="e" vm="10">
        <v>#VALUE!</v>
      </c>
      <c r="G1826" s="43" t="s">
        <v>174</v>
      </c>
      <c r="H1826" s="18" t="s">
        <v>152</v>
      </c>
      <c r="I1826" s="18"/>
      <c r="J1826" s="18" t="s">
        <v>153</v>
      </c>
      <c r="K1826" s="44" t="s">
        <v>371</v>
      </c>
      <c r="L1826" s="44">
        <v>46272.564583333333</v>
      </c>
      <c r="M1826" s="55" t="s">
        <v>78</v>
      </c>
      <c r="N1826" s="55" t="s">
        <v>78</v>
      </c>
      <c r="O1826" s="56">
        <v>46273.333333333336</v>
      </c>
      <c r="P1826" s="56">
        <v>46273.354166666664</v>
      </c>
      <c r="Q1826" s="56">
        <v>46273.4375</v>
      </c>
      <c r="S1826" s="21" t="s">
        <v>7371</v>
      </c>
      <c r="T1826" s="55" t="s">
        <v>7372</v>
      </c>
      <c r="U1826" s="21"/>
      <c r="V1826" s="53" t="s">
        <v>7373</v>
      </c>
    </row>
    <row r="1827" spans="1:27" ht="15" hidden="1" customHeight="1">
      <c r="A1827" s="60">
        <f>ROW() - ROW(Table1[[#Headers],[s]])</f>
        <v>1826</v>
      </c>
      <c r="B1827" t="s">
        <v>7374</v>
      </c>
      <c r="C1827" s="181"/>
      <c r="D1827" s="52" t="s">
        <v>7375</v>
      </c>
      <c r="E1827" t="s">
        <v>5233</v>
      </c>
      <c r="F1827" s="5" t="e" vm="10">
        <v>#VALUE!</v>
      </c>
      <c r="G1827" s="43" t="s">
        <v>36</v>
      </c>
      <c r="H1827" s="18" t="s">
        <v>152</v>
      </c>
      <c r="I1827" t="s">
        <v>43</v>
      </c>
      <c r="J1827" s="18" t="s">
        <v>153</v>
      </c>
      <c r="K1827" s="44" t="s">
        <v>154</v>
      </c>
      <c r="L1827" s="44">
        <v>46272.592361111114</v>
      </c>
      <c r="M1827" s="55" t="s">
        <v>78</v>
      </c>
      <c r="N1827" s="55" t="s">
        <v>78</v>
      </c>
      <c r="O1827" s="56"/>
      <c r="P1827" s="22"/>
      <c r="Q1827" s="58">
        <v>46272.784722222219</v>
      </c>
      <c r="S1827" s="21" t="s">
        <v>3599</v>
      </c>
      <c r="T1827" s="55" t="s">
        <v>164</v>
      </c>
      <c r="U1827" s="21"/>
      <c r="V1827" s="53" t="s">
        <v>7376</v>
      </c>
      <c r="Y1827" t="s">
        <v>158</v>
      </c>
      <c r="Z1827" t="s">
        <v>52</v>
      </c>
    </row>
    <row r="1828" spans="1:27" ht="15" hidden="1" customHeight="1">
      <c r="A1828" s="60">
        <f>ROW() - ROW(Table1[[#Headers],[s]])</f>
        <v>1827</v>
      </c>
      <c r="B1828" t="s">
        <v>7377</v>
      </c>
      <c r="C1828" s="181"/>
      <c r="D1828" s="52" t="s">
        <v>7378</v>
      </c>
      <c r="E1828" t="s">
        <v>5210</v>
      </c>
      <c r="F1828" s="18" t="e" vm="17">
        <v>#VALUE!</v>
      </c>
      <c r="G1828" s="43" t="s">
        <v>36</v>
      </c>
      <c r="H1828" s="18" t="s">
        <v>152</v>
      </c>
      <c r="I1828" t="s">
        <v>43</v>
      </c>
      <c r="J1828" s="18" t="s">
        <v>153</v>
      </c>
      <c r="K1828" s="44" t="s">
        <v>154</v>
      </c>
      <c r="L1828" s="44">
        <v>46272.593055555553</v>
      </c>
      <c r="M1828" s="55" t="s">
        <v>227</v>
      </c>
      <c r="N1828" s="55" t="s">
        <v>227</v>
      </c>
      <c r="O1828" s="56"/>
      <c r="P1828" s="22"/>
      <c r="Q1828" s="58">
        <v>46272.75</v>
      </c>
      <c r="S1828" s="21" t="s">
        <v>7379</v>
      </c>
      <c r="T1828" s="55" t="s">
        <v>164</v>
      </c>
      <c r="U1828" s="21"/>
      <c r="V1828" s="21" t="s">
        <v>7380</v>
      </c>
      <c r="Y1828" t="s">
        <v>158</v>
      </c>
      <c r="Z1828" t="s">
        <v>52</v>
      </c>
    </row>
    <row r="1829" spans="1:27" s="29" customFormat="1" ht="15" hidden="1" customHeight="1">
      <c r="A1829" s="111">
        <f>ROW() - ROW(Table1[[#Headers],[s]])</f>
        <v>1828</v>
      </c>
      <c r="B1829" s="29" t="s">
        <v>7303</v>
      </c>
      <c r="C1829" s="438"/>
      <c r="D1829" s="150" t="s">
        <v>7381</v>
      </c>
      <c r="E1829" s="29" t="s">
        <v>5543</v>
      </c>
      <c r="F1829" s="410" t="e" vm="35">
        <v>#VALUE!</v>
      </c>
      <c r="G1829" s="114" t="s">
        <v>36</v>
      </c>
      <c r="H1829" s="235" t="s">
        <v>152</v>
      </c>
      <c r="I1829" s="235"/>
      <c r="J1829" s="235" t="s">
        <v>153</v>
      </c>
      <c r="K1829" s="151" t="s">
        <v>7382</v>
      </c>
      <c r="L1829" s="151">
        <v>46272.786111111112</v>
      </c>
      <c r="M1829" s="153" t="s">
        <v>85</v>
      </c>
      <c r="N1829" s="153" t="s">
        <v>85</v>
      </c>
      <c r="O1829" s="360"/>
      <c r="P1829" s="412"/>
      <c r="Q1829" s="152">
        <v>46272.963194444441</v>
      </c>
      <c r="S1829" s="252" t="s">
        <v>7383</v>
      </c>
      <c r="T1829" s="153" t="s">
        <v>164</v>
      </c>
      <c r="U1829" s="252"/>
      <c r="V1829" s="447" t="s">
        <v>7384</v>
      </c>
      <c r="Y1829" s="29" t="s">
        <v>158</v>
      </c>
      <c r="Z1829" s="29" t="s">
        <v>179</v>
      </c>
      <c r="AA1829" t="s">
        <v>7385</v>
      </c>
    </row>
    <row r="1830" spans="1:27" ht="15" hidden="1" customHeight="1">
      <c r="A1830" s="60">
        <f>ROW() - ROW(Table1[[#Headers],[s]])</f>
        <v>1829</v>
      </c>
      <c r="B1830" t="s">
        <v>7386</v>
      </c>
      <c r="C1830" s="181" t="s">
        <v>60</v>
      </c>
      <c r="D1830" s="52" t="s">
        <v>7387</v>
      </c>
      <c r="E1830" t="s">
        <v>6003</v>
      </c>
      <c r="F1830" s="5" t="e" vm="26">
        <v>#VALUE!</v>
      </c>
      <c r="G1830" s="43" t="s">
        <v>36</v>
      </c>
      <c r="H1830" s="18" t="s">
        <v>747</v>
      </c>
      <c r="I1830" s="181" t="s">
        <v>60</v>
      </c>
      <c r="J1830" s="18" t="s">
        <v>253</v>
      </c>
      <c r="K1830" s="363" t="s">
        <v>7388</v>
      </c>
      <c r="L1830" s="44">
        <v>46272.777777777781</v>
      </c>
      <c r="M1830" s="55" t="s">
        <v>50</v>
      </c>
      <c r="N1830" s="55" t="s">
        <v>50</v>
      </c>
      <c r="O1830" s="56"/>
      <c r="P1830" s="22"/>
      <c r="Q1830" s="58" t="s">
        <v>50</v>
      </c>
      <c r="S1830" s="44" t="s">
        <v>7388</v>
      </c>
      <c r="T1830" s="55" t="s">
        <v>179</v>
      </c>
      <c r="U1830" s="21"/>
      <c r="V1830" s="44" t="s">
        <v>7388</v>
      </c>
      <c r="Y1830" t="s">
        <v>179</v>
      </c>
      <c r="Z1830" t="s">
        <v>179</v>
      </c>
    </row>
    <row r="1831" spans="1:27" s="29" customFormat="1" ht="15" hidden="1" customHeight="1">
      <c r="A1831" s="111">
        <f>ROW() - ROW(Table1[[#Headers],[s]])</f>
        <v>1830</v>
      </c>
      <c r="B1831" s="29" t="s">
        <v>7341</v>
      </c>
      <c r="C1831" s="438"/>
      <c r="D1831" s="150" t="s">
        <v>7389</v>
      </c>
      <c r="E1831" s="29" t="s">
        <v>6417</v>
      </c>
      <c r="F1831" s="410" t="e" vm="35">
        <v>#VALUE!</v>
      </c>
      <c r="G1831" s="114" t="s">
        <v>200</v>
      </c>
      <c r="H1831" s="235" t="s">
        <v>747</v>
      </c>
      <c r="I1831" s="235"/>
      <c r="J1831" s="235" t="s">
        <v>253</v>
      </c>
      <c r="K1831" s="448" t="s">
        <v>7390</v>
      </c>
      <c r="L1831" s="151">
        <v>46273.865972222222</v>
      </c>
      <c r="M1831" s="153" t="s">
        <v>85</v>
      </c>
      <c r="N1831" s="153" t="s">
        <v>85</v>
      </c>
      <c r="O1831" s="360">
        <v>46274.333333333336</v>
      </c>
      <c r="P1831" s="412">
        <v>46274.354166666664</v>
      </c>
      <c r="Q1831" s="152">
        <v>46274.441666666666</v>
      </c>
      <c r="S1831" s="449" t="s">
        <v>7391</v>
      </c>
      <c r="T1831" s="153" t="s">
        <v>164</v>
      </c>
      <c r="U1831" s="252"/>
      <c r="V1831" s="448" t="s">
        <v>239</v>
      </c>
      <c r="Y1831" s="29" t="s">
        <v>70</v>
      </c>
      <c r="Z1831" s="29" t="s">
        <v>158</v>
      </c>
    </row>
    <row r="1832" spans="1:27" ht="15" hidden="1" customHeight="1">
      <c r="A1832" s="60">
        <f>ROW() - ROW(Table1[[#Headers],[s]])</f>
        <v>1831</v>
      </c>
      <c r="B1832" t="s">
        <v>3386</v>
      </c>
      <c r="D1832" s="19" t="s">
        <v>7392</v>
      </c>
      <c r="E1832" t="s">
        <v>7119</v>
      </c>
      <c r="F1832" s="5" t="e" vm="35">
        <v>#VALUE!</v>
      </c>
      <c r="G1832" s="43" t="s">
        <v>174</v>
      </c>
      <c r="H1832" s="18" t="s">
        <v>747</v>
      </c>
      <c r="I1832" s="18"/>
      <c r="J1832" s="18" t="s">
        <v>253</v>
      </c>
      <c r="K1832" s="44" t="s">
        <v>5302</v>
      </c>
      <c r="L1832" s="44">
        <v>46273.43472222222</v>
      </c>
      <c r="M1832" s="18" t="s">
        <v>44</v>
      </c>
      <c r="N1832" s="18" t="s">
        <v>44</v>
      </c>
      <c r="O1832" s="3"/>
      <c r="P1832" s="22"/>
      <c r="S1832" s="44" t="s">
        <v>5302</v>
      </c>
      <c r="T1832" s="55" t="s">
        <v>179</v>
      </c>
      <c r="U1832" s="21"/>
      <c r="V1832" s="44" t="s">
        <v>5302</v>
      </c>
      <c r="Y1832" t="s">
        <v>179</v>
      </c>
      <c r="Z1832" t="s">
        <v>179</v>
      </c>
    </row>
    <row r="1833" spans="1:27" ht="15" hidden="1" customHeight="1">
      <c r="A1833" s="60">
        <f>ROW() - ROW(Table1[[#Headers],[s]])</f>
        <v>1832</v>
      </c>
      <c r="B1833" s="230" t="s">
        <v>7393</v>
      </c>
      <c r="D1833" s="19" t="s">
        <v>7394</v>
      </c>
      <c r="E1833" t="s">
        <v>6758</v>
      </c>
      <c r="F1833" s="5" t="e" vm="25">
        <v>#VALUE!</v>
      </c>
      <c r="G1833" s="43" t="s">
        <v>174</v>
      </c>
      <c r="H1833" s="18" t="s">
        <v>152</v>
      </c>
      <c r="I1833" s="18"/>
      <c r="J1833" s="18" t="s">
        <v>153</v>
      </c>
      <c r="K1833" s="44" t="s">
        <v>154</v>
      </c>
      <c r="L1833" s="44">
        <v>46273.454861111109</v>
      </c>
      <c r="M1833" s="18" t="s">
        <v>72</v>
      </c>
      <c r="N1833" s="18" t="s">
        <v>72</v>
      </c>
      <c r="O1833" s="44">
        <v>46273.510416666664</v>
      </c>
      <c r="P1833" s="44">
        <v>46273.524305555555</v>
      </c>
      <c r="Q1833" s="44">
        <v>46273.5625</v>
      </c>
      <c r="S1833" s="364" t="s">
        <v>7040</v>
      </c>
      <c r="T1833" s="18" t="s">
        <v>7395</v>
      </c>
      <c r="U1833" s="21"/>
      <c r="V1833" s="364" t="s">
        <v>7396</v>
      </c>
      <c r="Y1833" t="s">
        <v>158</v>
      </c>
      <c r="Z1833" t="s">
        <v>70</v>
      </c>
    </row>
    <row r="1834" spans="1:27" ht="15" hidden="1" customHeight="1">
      <c r="A1834" s="60">
        <f>ROW() - ROW(Table1[[#Headers],[s]])</f>
        <v>1833</v>
      </c>
      <c r="B1834" t="s">
        <v>7397</v>
      </c>
      <c r="D1834" s="19" t="s">
        <v>7398</v>
      </c>
      <c r="E1834" t="s">
        <v>7312</v>
      </c>
      <c r="F1834" t="e" vm="30">
        <v>#VALUE!</v>
      </c>
      <c r="G1834" s="43" t="s">
        <v>174</v>
      </c>
      <c r="H1834" s="18" t="s">
        <v>245</v>
      </c>
      <c r="I1834" s="18"/>
      <c r="J1834" s="18" t="s">
        <v>253</v>
      </c>
      <c r="K1834" s="364" t="s">
        <v>6722</v>
      </c>
      <c r="L1834" s="44">
        <v>46273.490277777775</v>
      </c>
      <c r="M1834" s="18" t="s">
        <v>7399</v>
      </c>
      <c r="N1834" s="18" t="s">
        <v>7399</v>
      </c>
      <c r="O1834" s="44">
        <v>46273.548611111109</v>
      </c>
      <c r="P1834" s="44">
        <v>46273.572916666664</v>
      </c>
      <c r="Q1834" s="44">
        <v>46273.636111111111</v>
      </c>
      <c r="S1834" s="364" t="s">
        <v>7400</v>
      </c>
      <c r="T1834" s="55" t="s">
        <v>164</v>
      </c>
      <c r="U1834" s="21"/>
      <c r="V1834" s="364" t="s">
        <v>7401</v>
      </c>
      <c r="Y1834" t="s">
        <v>158</v>
      </c>
      <c r="Z1834" t="s">
        <v>158</v>
      </c>
    </row>
    <row r="1835" spans="1:27" ht="15" hidden="1" customHeight="1">
      <c r="A1835" s="60">
        <f>ROW() - ROW(Table1[[#Headers],[s]])</f>
        <v>1834</v>
      </c>
      <c r="B1835" s="230" t="s">
        <v>7402</v>
      </c>
      <c r="D1835" s="19" t="s">
        <v>7403</v>
      </c>
      <c r="E1835" t="s">
        <v>1116</v>
      </c>
      <c r="F1835" s="5" t="e" vm="35">
        <v>#VALUE!</v>
      </c>
      <c r="G1835" s="43" t="s">
        <v>174</v>
      </c>
      <c r="H1835" s="18" t="s">
        <v>152</v>
      </c>
      <c r="I1835" s="18"/>
      <c r="J1835" s="18" t="s">
        <v>153</v>
      </c>
      <c r="K1835" s="44" t="s">
        <v>154</v>
      </c>
      <c r="L1835" s="44">
        <v>46273.669444444444</v>
      </c>
      <c r="M1835" s="55" t="s">
        <v>85</v>
      </c>
      <c r="N1835" s="55" t="s">
        <v>85</v>
      </c>
      <c r="O1835" s="44">
        <v>46273.729166666664</v>
      </c>
      <c r="P1835" s="44">
        <v>46273.75</v>
      </c>
      <c r="Q1835" s="44">
        <v>46273.78125</v>
      </c>
      <c r="S1835" s="364" t="s">
        <v>3084</v>
      </c>
      <c r="T1835" s="18" t="s">
        <v>2765</v>
      </c>
      <c r="U1835" s="21"/>
      <c r="V1835" s="364" t="s">
        <v>4225</v>
      </c>
      <c r="Y1835" t="s">
        <v>158</v>
      </c>
      <c r="Z1835" t="s">
        <v>70</v>
      </c>
    </row>
    <row r="1836" spans="1:27" ht="15" hidden="1" customHeight="1">
      <c r="A1836" s="60">
        <f>ROW() - ROW(Table1[[#Headers],[s]])</f>
        <v>1835</v>
      </c>
      <c r="B1836" t="s">
        <v>7404</v>
      </c>
      <c r="C1836" s="181"/>
      <c r="D1836" s="52" t="s">
        <v>7405</v>
      </c>
      <c r="E1836" t="s">
        <v>5690</v>
      </c>
      <c r="F1836" s="5" t="e" vm="5">
        <v>#VALUE!</v>
      </c>
      <c r="G1836" s="43" t="s">
        <v>200</v>
      </c>
      <c r="H1836" s="18" t="s">
        <v>747</v>
      </c>
      <c r="I1836" s="18"/>
      <c r="J1836" s="18" t="s">
        <v>253</v>
      </c>
      <c r="K1836" s="44" t="s">
        <v>371</v>
      </c>
      <c r="L1836" s="44">
        <v>46273.918749999997</v>
      </c>
      <c r="M1836" s="55" t="s">
        <v>55</v>
      </c>
      <c r="N1836" s="55" t="s">
        <v>55</v>
      </c>
      <c r="O1836" s="3">
        <v>46273.918055555558</v>
      </c>
      <c r="P1836" s="22">
        <v>46274.333333333336</v>
      </c>
      <c r="Q1836" s="22">
        <v>46274.333333333336</v>
      </c>
      <c r="S1836" s="364" t="s">
        <v>7406</v>
      </c>
      <c r="T1836" s="55" t="s">
        <v>164</v>
      </c>
      <c r="U1836" s="21"/>
      <c r="V1836" s="364" t="s">
        <v>223</v>
      </c>
      <c r="Y1836" t="s">
        <v>158</v>
      </c>
      <c r="Z1836" t="s">
        <v>70</v>
      </c>
    </row>
    <row r="1837" spans="1:27" ht="15" hidden="1" customHeight="1">
      <c r="A1837" s="60">
        <f>ROW() - ROW(Table1[[#Headers],[s]])</f>
        <v>1836</v>
      </c>
      <c r="B1837" t="s">
        <v>7407</v>
      </c>
      <c r="C1837" s="181"/>
      <c r="D1837" s="52" t="s">
        <v>7408</v>
      </c>
      <c r="E1837" t="s">
        <v>7409</v>
      </c>
      <c r="F1837" s="5" t="e" vm="37">
        <v>#VALUE!</v>
      </c>
      <c r="G1837" s="43" t="s">
        <v>200</v>
      </c>
      <c r="H1837" s="18" t="s">
        <v>747</v>
      </c>
      <c r="I1837" s="18"/>
      <c r="J1837" s="18" t="s">
        <v>253</v>
      </c>
      <c r="K1837" s="44" t="s">
        <v>371</v>
      </c>
      <c r="L1837" s="44">
        <v>46274.387499999997</v>
      </c>
      <c r="M1837" s="55" t="s">
        <v>1023</v>
      </c>
      <c r="N1837" s="55" t="s">
        <v>1023</v>
      </c>
      <c r="O1837" s="56">
        <v>46274.4375</v>
      </c>
      <c r="P1837" s="22">
        <v>46274.458333333336</v>
      </c>
      <c r="Q1837" s="58">
        <v>46274.78402777778</v>
      </c>
      <c r="S1837" s="21" t="s">
        <v>7410</v>
      </c>
      <c r="T1837" s="55" t="s">
        <v>164</v>
      </c>
      <c r="U1837" s="21"/>
      <c r="V1837" s="53" t="s">
        <v>7411</v>
      </c>
      <c r="Y1837" t="s">
        <v>158</v>
      </c>
      <c r="Z1837" t="s">
        <v>158</v>
      </c>
    </row>
    <row r="1838" spans="1:27" ht="15" hidden="1" customHeight="1">
      <c r="A1838" s="60">
        <f>ROW() - ROW(Table1[[#Headers],[s]])</f>
        <v>1837</v>
      </c>
      <c r="B1838" t="s">
        <v>7412</v>
      </c>
      <c r="C1838" s="181"/>
      <c r="D1838" s="52" t="s">
        <v>7413</v>
      </c>
      <c r="E1838" t="s">
        <v>7409</v>
      </c>
      <c r="F1838" s="5" t="e" vm="37">
        <v>#VALUE!</v>
      </c>
      <c r="G1838" s="43" t="s">
        <v>200</v>
      </c>
      <c r="H1838" s="18" t="s">
        <v>152</v>
      </c>
      <c r="I1838" s="18"/>
      <c r="J1838" s="18" t="s">
        <v>153</v>
      </c>
      <c r="K1838" s="44" t="s">
        <v>7414</v>
      </c>
      <c r="L1838" s="44">
        <v>46274.169444444444</v>
      </c>
      <c r="M1838" s="55" t="s">
        <v>1023</v>
      </c>
      <c r="N1838" s="55" t="s">
        <v>1023</v>
      </c>
      <c r="O1838" s="56" t="s">
        <v>178</v>
      </c>
      <c r="P1838" s="56" t="s">
        <v>178</v>
      </c>
      <c r="Q1838" s="56" t="s">
        <v>178</v>
      </c>
      <c r="R1838" s="56" t="s">
        <v>178</v>
      </c>
      <c r="S1838" s="44" t="s">
        <v>7414</v>
      </c>
      <c r="T1838" s="56" t="s">
        <v>178</v>
      </c>
      <c r="U1838" s="56" t="s">
        <v>178</v>
      </c>
      <c r="V1838" s="56" t="s">
        <v>178</v>
      </c>
      <c r="W1838" s="56" t="s">
        <v>178</v>
      </c>
      <c r="X1838" s="56" t="s">
        <v>178</v>
      </c>
      <c r="Y1838" s="56" t="s">
        <v>178</v>
      </c>
      <c r="Z1838" s="56" t="s">
        <v>178</v>
      </c>
    </row>
    <row r="1839" spans="1:27" ht="15" customHeight="1">
      <c r="A1839" s="60">
        <f>ROW() - ROW(Table1[[#Headers],[s]])</f>
        <v>1838</v>
      </c>
      <c r="B1839" t="s">
        <v>7415</v>
      </c>
      <c r="D1839" s="19" t="s">
        <v>7416</v>
      </c>
      <c r="E1839" t="s">
        <v>5278</v>
      </c>
      <c r="F1839" s="5" t="e" vm="21">
        <v>#VALUE!</v>
      </c>
      <c r="G1839" s="43" t="s">
        <v>186</v>
      </c>
      <c r="H1839" s="18" t="s">
        <v>152</v>
      </c>
      <c r="I1839" s="18"/>
      <c r="J1839" s="18" t="s">
        <v>153</v>
      </c>
      <c r="K1839" s="44" t="s">
        <v>154</v>
      </c>
      <c r="L1839" s="20">
        <v>46274.294444444444</v>
      </c>
      <c r="M1839" s="18" t="s">
        <v>1643</v>
      </c>
      <c r="N1839" s="18" t="s">
        <v>1643</v>
      </c>
      <c r="O1839" s="3">
        <v>46274.458333333336</v>
      </c>
      <c r="P1839" s="22">
        <v>46274.465277777781</v>
      </c>
      <c r="Q1839" s="22">
        <v>46274.583333333336</v>
      </c>
      <c r="S1839" s="21" t="s">
        <v>788</v>
      </c>
      <c r="T1839" s="55" t="s">
        <v>164</v>
      </c>
      <c r="U1839" s="21"/>
      <c r="V1839" s="53" t="s">
        <v>7417</v>
      </c>
      <c r="Y1839" t="s">
        <v>158</v>
      </c>
      <c r="Z1839" t="s">
        <v>158</v>
      </c>
    </row>
    <row r="1840" spans="1:27" ht="15" hidden="1" customHeight="1">
      <c r="A1840" s="60">
        <f>ROW() - ROW(Table1[[#Headers],[s]])</f>
        <v>1839</v>
      </c>
      <c r="B1840" t="s">
        <v>7418</v>
      </c>
      <c r="D1840" s="19" t="s">
        <v>7419</v>
      </c>
      <c r="E1840" t="s">
        <v>7420</v>
      </c>
      <c r="F1840" t="e" vm="49">
        <v>#VALUE!</v>
      </c>
      <c r="G1840" s="43" t="s">
        <v>200</v>
      </c>
      <c r="H1840" s="18" t="s">
        <v>152</v>
      </c>
      <c r="I1840" s="18"/>
      <c r="J1840" s="18" t="s">
        <v>153</v>
      </c>
      <c r="K1840" s="20"/>
      <c r="L1840" s="20">
        <v>46274.681250000001</v>
      </c>
      <c r="M1840" s="18" t="s">
        <v>1643</v>
      </c>
      <c r="N1840" s="18" t="s">
        <v>1643</v>
      </c>
      <c r="O1840" s="3"/>
      <c r="P1840" s="22"/>
      <c r="Q1840" s="22">
        <v>46274.75</v>
      </c>
      <c r="S1840" s="21" t="s">
        <v>7421</v>
      </c>
      <c r="T1840" s="18" t="s">
        <v>50</v>
      </c>
      <c r="U1840" s="21"/>
      <c r="V1840" s="21" t="s">
        <v>513</v>
      </c>
      <c r="Y1840" t="s">
        <v>158</v>
      </c>
      <c r="Z1840" t="s">
        <v>52</v>
      </c>
    </row>
    <row r="1841" spans="1:27" ht="15" hidden="1" customHeight="1">
      <c r="A1841" s="60">
        <f>ROW() - ROW(Table1[[#Headers],[s]])</f>
        <v>1840</v>
      </c>
      <c r="B1841" t="s">
        <v>7422</v>
      </c>
      <c r="D1841" s="19" t="s">
        <v>7423</v>
      </c>
      <c r="E1841" t="s">
        <v>5857</v>
      </c>
      <c r="F1841" s="5" t="e" vm="37">
        <v>#VALUE!</v>
      </c>
      <c r="G1841" s="43" t="s">
        <v>200</v>
      </c>
      <c r="H1841" s="18" t="s">
        <v>152</v>
      </c>
      <c r="I1841" s="18"/>
      <c r="J1841" s="18" t="s">
        <v>153</v>
      </c>
      <c r="K1841" s="20"/>
      <c r="L1841" s="20">
        <v>46274.432638888888</v>
      </c>
      <c r="M1841" s="18" t="s">
        <v>1023</v>
      </c>
      <c r="N1841" s="18" t="s">
        <v>1023</v>
      </c>
      <c r="O1841" s="3"/>
      <c r="P1841" s="22"/>
      <c r="Q1841" s="22">
        <v>46274.881944444445</v>
      </c>
      <c r="S1841" s="21" t="s">
        <v>495</v>
      </c>
      <c r="T1841" s="18" t="s">
        <v>50</v>
      </c>
      <c r="U1841" s="21"/>
      <c r="V1841" s="21" t="s">
        <v>7424</v>
      </c>
      <c r="Y1841" t="s">
        <v>158</v>
      </c>
      <c r="Z1841" t="s">
        <v>52</v>
      </c>
    </row>
    <row r="1842" spans="1:27" ht="15" hidden="1" customHeight="1">
      <c r="A1842" s="60">
        <f>ROW() - ROW(Table1[[#Headers],[s]])</f>
        <v>1841</v>
      </c>
      <c r="B1842" t="s">
        <v>7425</v>
      </c>
      <c r="D1842" s="19" t="s">
        <v>7426</v>
      </c>
      <c r="E1842" t="s">
        <v>5843</v>
      </c>
      <c r="F1842" t="e" vm="49">
        <v>#VALUE!</v>
      </c>
      <c r="G1842" s="43" t="s">
        <v>200</v>
      </c>
      <c r="H1842" s="18" t="s">
        <v>152</v>
      </c>
      <c r="I1842" s="18"/>
      <c r="J1842" s="18" t="s">
        <v>153</v>
      </c>
      <c r="K1842" s="20"/>
      <c r="L1842" s="20">
        <v>46274.666666666664</v>
      </c>
      <c r="M1842" s="18" t="s">
        <v>84</v>
      </c>
      <c r="N1842" s="18" t="s">
        <v>84</v>
      </c>
      <c r="O1842" s="3"/>
      <c r="P1842" s="22"/>
      <c r="Q1842" s="22">
        <v>46274.916666666664</v>
      </c>
      <c r="S1842" s="21" t="s">
        <v>646</v>
      </c>
      <c r="T1842" s="18" t="s">
        <v>478</v>
      </c>
      <c r="U1842" s="21"/>
      <c r="V1842" s="21" t="s">
        <v>7427</v>
      </c>
      <c r="Y1842" t="s">
        <v>158</v>
      </c>
      <c r="Z1842" t="s">
        <v>52</v>
      </c>
    </row>
    <row r="1843" spans="1:27" ht="15" hidden="1" customHeight="1">
      <c r="A1843" s="60">
        <f>ROW() - ROW(Table1[[#Headers],[s]])</f>
        <v>1842</v>
      </c>
      <c r="B1843" t="s">
        <v>7428</v>
      </c>
      <c r="D1843" s="19" t="s">
        <v>7429</v>
      </c>
      <c r="E1843" t="s">
        <v>7430</v>
      </c>
      <c r="F1843" s="5" t="e" vm="26">
        <v>#VALUE!</v>
      </c>
      <c r="G1843" s="43" t="s">
        <v>200</v>
      </c>
      <c r="H1843" s="18" t="s">
        <v>152</v>
      </c>
      <c r="I1843" s="18"/>
      <c r="J1843" s="18" t="s">
        <v>153</v>
      </c>
      <c r="K1843" s="20"/>
      <c r="L1843" s="20">
        <v>46274.517361111109</v>
      </c>
      <c r="M1843" s="18" t="s">
        <v>1023</v>
      </c>
      <c r="N1843" s="18" t="s">
        <v>1023</v>
      </c>
      <c r="O1843" s="3"/>
      <c r="P1843" s="22"/>
      <c r="Q1843" s="22">
        <v>46274.916666666664</v>
      </c>
      <c r="S1843" s="21" t="s">
        <v>7431</v>
      </c>
      <c r="T1843" s="18" t="s">
        <v>50</v>
      </c>
      <c r="U1843" s="21"/>
      <c r="V1843" s="21" t="s">
        <v>223</v>
      </c>
      <c r="Y1843" t="s">
        <v>158</v>
      </c>
      <c r="Z1843" t="s">
        <v>52</v>
      </c>
    </row>
    <row r="1844" spans="1:27" ht="15" hidden="1" customHeight="1">
      <c r="A1844" s="60">
        <f>ROW() - ROW(Table1[[#Headers],[s]])</f>
        <v>1843</v>
      </c>
      <c r="B1844" t="s">
        <v>7432</v>
      </c>
      <c r="D1844" s="19" t="s">
        <v>7433</v>
      </c>
      <c r="E1844" t="s">
        <v>7434</v>
      </c>
      <c r="F1844" t="e" vm="49">
        <v>#VALUE!</v>
      </c>
      <c r="G1844" s="43" t="s">
        <v>200</v>
      </c>
      <c r="H1844" s="18" t="s">
        <v>152</v>
      </c>
      <c r="I1844" s="18"/>
      <c r="J1844" s="18" t="s">
        <v>153</v>
      </c>
      <c r="K1844" s="20" t="s">
        <v>7435</v>
      </c>
      <c r="L1844" s="20">
        <v>46274.67291666667</v>
      </c>
      <c r="M1844" s="18" t="s">
        <v>179</v>
      </c>
      <c r="N1844" s="18" t="s">
        <v>179</v>
      </c>
      <c r="O1844" s="18" t="s">
        <v>179</v>
      </c>
      <c r="P1844" s="18" t="s">
        <v>179</v>
      </c>
      <c r="Q1844" s="18" t="s">
        <v>179</v>
      </c>
      <c r="R1844" s="18" t="s">
        <v>179</v>
      </c>
      <c r="S1844" s="18" t="s">
        <v>179</v>
      </c>
      <c r="T1844" s="18" t="s">
        <v>179</v>
      </c>
      <c r="U1844" s="18" t="s">
        <v>179</v>
      </c>
      <c r="V1844" s="18" t="s">
        <v>179</v>
      </c>
      <c r="W1844" s="18" t="s">
        <v>179</v>
      </c>
      <c r="X1844" s="18" t="s">
        <v>179</v>
      </c>
      <c r="Y1844" s="18" t="s">
        <v>179</v>
      </c>
      <c r="Z1844" s="18" t="s">
        <v>179</v>
      </c>
    </row>
    <row r="1845" spans="1:27" ht="15" hidden="1" customHeight="1">
      <c r="A1845" s="60">
        <f>ROW() - ROW(Table1[[#Headers],[s]])</f>
        <v>1844</v>
      </c>
      <c r="B1845" t="s">
        <v>7436</v>
      </c>
      <c r="D1845" s="19" t="s">
        <v>7437</v>
      </c>
      <c r="E1845" t="s">
        <v>7438</v>
      </c>
      <c r="F1845" t="e" vm="49">
        <v>#VALUE!</v>
      </c>
      <c r="G1845" s="43" t="s">
        <v>200</v>
      </c>
      <c r="H1845" s="18" t="s">
        <v>152</v>
      </c>
      <c r="I1845" s="18"/>
      <c r="J1845" s="18" t="s">
        <v>153</v>
      </c>
      <c r="K1845" s="20"/>
      <c r="L1845" s="20">
        <v>46274.661805555559</v>
      </c>
      <c r="M1845" s="18" t="s">
        <v>84</v>
      </c>
      <c r="N1845" s="18" t="s">
        <v>84</v>
      </c>
      <c r="O1845" s="3"/>
      <c r="P1845" s="22"/>
      <c r="Q1845" s="22">
        <v>46274.958333333336</v>
      </c>
      <c r="S1845" s="21" t="s">
        <v>7439</v>
      </c>
      <c r="T1845" s="18" t="s">
        <v>179</v>
      </c>
      <c r="U1845" s="21"/>
      <c r="V1845" s="21" t="s">
        <v>3965</v>
      </c>
      <c r="Y1845" t="s">
        <v>158</v>
      </c>
      <c r="Z1845" t="s">
        <v>70</v>
      </c>
    </row>
    <row r="1846" spans="1:27" ht="15" hidden="1" customHeight="1">
      <c r="A1846" s="60">
        <f>ROW() - ROW(Table1[[#Headers],[s]])</f>
        <v>1845</v>
      </c>
      <c r="B1846" t="s">
        <v>7440</v>
      </c>
      <c r="D1846" s="19" t="s">
        <v>7441</v>
      </c>
      <c r="E1846" t="s">
        <v>5130</v>
      </c>
      <c r="F1846" s="5" t="e" vm="17">
        <v>#VALUE!</v>
      </c>
      <c r="G1846" s="5" t="s">
        <v>1057</v>
      </c>
      <c r="H1846" s="18" t="s">
        <v>152</v>
      </c>
      <c r="I1846" t="s">
        <v>43</v>
      </c>
      <c r="J1846" s="18" t="s">
        <v>153</v>
      </c>
      <c r="K1846" s="44" t="s">
        <v>154</v>
      </c>
      <c r="L1846" s="20">
        <v>46274.667361111111</v>
      </c>
      <c r="M1846" s="18" t="s">
        <v>1643</v>
      </c>
      <c r="N1846" s="18" t="s">
        <v>7442</v>
      </c>
      <c r="O1846" s="3">
        <v>46278.541666666664</v>
      </c>
      <c r="P1846" s="3">
        <v>46278.5625</v>
      </c>
      <c r="Q1846" s="3">
        <v>46278.5625</v>
      </c>
      <c r="S1846" s="21" t="s">
        <v>7443</v>
      </c>
      <c r="T1846" s="55" t="s">
        <v>6953</v>
      </c>
      <c r="V1846" s="53" t="s">
        <v>7444</v>
      </c>
      <c r="Y1846" t="s">
        <v>158</v>
      </c>
      <c r="Z1846" t="s">
        <v>70</v>
      </c>
    </row>
    <row r="1847" spans="1:27" ht="15" hidden="1" customHeight="1">
      <c r="A1847" s="60">
        <f>ROW() - ROW(Table1[[#Headers],[s]])</f>
        <v>1846</v>
      </c>
      <c r="B1847" t="s">
        <v>7445</v>
      </c>
      <c r="D1847" s="19" t="s">
        <v>7446</v>
      </c>
      <c r="E1847" t="s">
        <v>5847</v>
      </c>
      <c r="F1847" s="5" t="e" vm="25">
        <v>#VALUE!</v>
      </c>
      <c r="G1847" s="43" t="s">
        <v>200</v>
      </c>
      <c r="H1847" s="18" t="s">
        <v>152</v>
      </c>
      <c r="I1847" s="18"/>
      <c r="J1847" s="18" t="s">
        <v>153</v>
      </c>
      <c r="K1847" s="20"/>
      <c r="L1847" s="20">
        <v>46274.668055555558</v>
      </c>
      <c r="M1847" s="18" t="s">
        <v>72</v>
      </c>
      <c r="N1847" s="18" t="s">
        <v>72</v>
      </c>
      <c r="O1847" s="3"/>
      <c r="P1847" s="22"/>
      <c r="Q1847" s="58">
        <v>46274.791666666664</v>
      </c>
      <c r="S1847" s="21" t="s">
        <v>7447</v>
      </c>
      <c r="T1847" s="55" t="s">
        <v>50</v>
      </c>
      <c r="V1847" s="53" t="s">
        <v>7448</v>
      </c>
      <c r="Y1847" t="s">
        <v>158</v>
      </c>
      <c r="Z1847" t="s">
        <v>70</v>
      </c>
    </row>
    <row r="1848" spans="1:27" ht="15" customHeight="1">
      <c r="A1848" s="60">
        <f>ROW() - ROW(Table1[[#Headers],[s]])</f>
        <v>1847</v>
      </c>
      <c r="B1848" t="s">
        <v>7449</v>
      </c>
      <c r="D1848" s="19" t="s">
        <v>7450</v>
      </c>
      <c r="E1848" t="s">
        <v>7451</v>
      </c>
      <c r="F1848" s="5" t="e" vm="2">
        <v>#VALUE!</v>
      </c>
      <c r="G1848" s="43" t="s">
        <v>186</v>
      </c>
      <c r="H1848" s="18" t="s">
        <v>152</v>
      </c>
      <c r="I1848" s="18"/>
      <c r="J1848" s="18" t="s">
        <v>153</v>
      </c>
      <c r="K1848" s="44" t="s">
        <v>154</v>
      </c>
      <c r="L1848" s="20">
        <v>46274.680555555555</v>
      </c>
      <c r="M1848" s="18" t="s">
        <v>162</v>
      </c>
      <c r="N1848" s="18" t="s">
        <v>162</v>
      </c>
      <c r="O1848" s="3">
        <v>46275.333333333336</v>
      </c>
      <c r="P1848" s="22">
        <v>46275.340277777781</v>
      </c>
      <c r="Q1848" s="22">
        <v>46275.416666666664</v>
      </c>
      <c r="S1848" s="21" t="s">
        <v>7452</v>
      </c>
      <c r="T1848" s="55" t="s">
        <v>478</v>
      </c>
      <c r="U1848" s="21"/>
      <c r="V1848" s="21" t="s">
        <v>7453</v>
      </c>
      <c r="Y1848" t="s">
        <v>158</v>
      </c>
      <c r="Z1848" t="s">
        <v>70</v>
      </c>
    </row>
    <row r="1849" spans="1:27" s="29" customFormat="1" ht="15" hidden="1" customHeight="1">
      <c r="A1849" s="111">
        <f>ROW() - ROW(Table1[[#Headers],[s]])</f>
        <v>1848</v>
      </c>
      <c r="B1849" s="29" t="s">
        <v>7454</v>
      </c>
      <c r="C1849" s="409"/>
      <c r="D1849" s="234" t="s">
        <v>7455</v>
      </c>
      <c r="E1849" s="29" t="s">
        <v>7215</v>
      </c>
      <c r="F1849" s="410" t="e" vm="30">
        <v>#VALUE!</v>
      </c>
      <c r="G1849" s="410" t="s">
        <v>200</v>
      </c>
      <c r="H1849" s="235" t="s">
        <v>747</v>
      </c>
      <c r="I1849" s="235"/>
      <c r="J1849" s="235" t="s">
        <v>253</v>
      </c>
      <c r="K1849" s="251" t="s">
        <v>7456</v>
      </c>
      <c r="L1849" s="251">
        <v>46274.420138888891</v>
      </c>
      <c r="M1849" s="235" t="s">
        <v>82</v>
      </c>
      <c r="N1849" s="235" t="s">
        <v>82</v>
      </c>
      <c r="O1849" s="411"/>
      <c r="P1849" s="412"/>
      <c r="Q1849" s="58">
        <v>46274.629166666666</v>
      </c>
      <c r="S1849" s="252" t="s">
        <v>2064</v>
      </c>
      <c r="T1849" s="235"/>
      <c r="U1849" s="252"/>
      <c r="V1849" s="252" t="s">
        <v>7457</v>
      </c>
      <c r="Y1849" s="29" t="s">
        <v>158</v>
      </c>
      <c r="Z1849" t="s">
        <v>158</v>
      </c>
    </row>
    <row r="1850" spans="1:27" ht="15" customHeight="1">
      <c r="A1850" s="60">
        <f>ROW() - ROW(Table1[[#Headers],[s]])</f>
        <v>1849</v>
      </c>
      <c r="B1850" t="s">
        <v>7458</v>
      </c>
      <c r="D1850" s="19" t="s">
        <v>7459</v>
      </c>
      <c r="E1850" t="s">
        <v>5985</v>
      </c>
      <c r="F1850" s="5" t="e" vm="21">
        <v>#VALUE!</v>
      </c>
      <c r="G1850" s="5" t="s">
        <v>186</v>
      </c>
      <c r="H1850" s="18" t="s">
        <v>747</v>
      </c>
      <c r="I1850" s="18"/>
      <c r="J1850" s="18" t="s">
        <v>253</v>
      </c>
      <c r="K1850" s="20" t="s">
        <v>154</v>
      </c>
      <c r="L1850" s="20">
        <v>46274.5</v>
      </c>
      <c r="M1850" s="18" t="s">
        <v>39</v>
      </c>
      <c r="N1850" s="18" t="s">
        <v>39</v>
      </c>
      <c r="O1850" s="3">
        <v>46275.333333333336</v>
      </c>
      <c r="P1850" s="22">
        <v>46275.340277777781</v>
      </c>
      <c r="Q1850" s="22">
        <v>46275.554166666669</v>
      </c>
      <c r="S1850" s="21" t="s">
        <v>7460</v>
      </c>
      <c r="T1850" s="55" t="s">
        <v>478</v>
      </c>
      <c r="U1850" s="21" t="s">
        <v>179</v>
      </c>
      <c r="V1850" s="21" t="s">
        <v>7317</v>
      </c>
      <c r="Y1850" t="s">
        <v>70</v>
      </c>
      <c r="Z1850" t="s">
        <v>158</v>
      </c>
      <c r="AA1850" t="s">
        <v>7461</v>
      </c>
    </row>
    <row r="1851" spans="1:27" ht="15" hidden="1" customHeight="1">
      <c r="A1851" s="60">
        <f>ROW() - ROW(Table1[[#Headers],[s]])</f>
        <v>1850</v>
      </c>
      <c r="B1851" t="s">
        <v>7462</v>
      </c>
      <c r="D1851" s="19" t="s">
        <v>7463</v>
      </c>
      <c r="E1851" t="s">
        <v>7464</v>
      </c>
      <c r="F1851" s="5" t="e" vm="11">
        <v>#VALUE!</v>
      </c>
      <c r="G1851" s="5" t="s">
        <v>200</v>
      </c>
      <c r="H1851" s="18" t="s">
        <v>747</v>
      </c>
      <c r="I1851" s="18"/>
      <c r="J1851" s="18" t="s">
        <v>253</v>
      </c>
      <c r="K1851" s="20" t="s">
        <v>154</v>
      </c>
      <c r="L1851" s="20">
        <v>46274.530555555553</v>
      </c>
      <c r="M1851" s="18" t="s">
        <v>1255</v>
      </c>
      <c r="N1851" s="18"/>
      <c r="O1851" s="3"/>
      <c r="P1851" s="22"/>
      <c r="S1851" s="21" t="s">
        <v>7465</v>
      </c>
      <c r="T1851" s="55" t="s">
        <v>179</v>
      </c>
      <c r="U1851" s="21"/>
      <c r="Y1851" t="s">
        <v>179</v>
      </c>
      <c r="Z1851" t="s">
        <v>179</v>
      </c>
      <c r="AA1851" t="s">
        <v>7466</v>
      </c>
    </row>
    <row r="1852" spans="1:27" ht="15" hidden="1" customHeight="1">
      <c r="A1852" s="60">
        <f>ROW() - ROW(Table1[[#Headers],[s]])</f>
        <v>1851</v>
      </c>
      <c r="B1852" t="s">
        <v>7467</v>
      </c>
      <c r="D1852" s="19" t="s">
        <v>7468</v>
      </c>
      <c r="E1852" t="s">
        <v>7469</v>
      </c>
      <c r="F1852" t="e" vm="16">
        <v>#VALUE!</v>
      </c>
      <c r="G1852" s="5" t="s">
        <v>200</v>
      </c>
      <c r="H1852" s="18" t="s">
        <v>747</v>
      </c>
      <c r="I1852" s="18"/>
      <c r="J1852" s="18" t="s">
        <v>253</v>
      </c>
      <c r="K1852" s="20" t="s">
        <v>154</v>
      </c>
      <c r="L1852" s="20">
        <v>46274.656944444447</v>
      </c>
      <c r="M1852" s="18" t="s">
        <v>6354</v>
      </c>
      <c r="N1852" s="18" t="s">
        <v>6354</v>
      </c>
      <c r="O1852" s="3"/>
      <c r="P1852" s="22"/>
      <c r="Q1852" s="22">
        <v>46274.918055555558</v>
      </c>
      <c r="S1852" s="21" t="s">
        <v>7470</v>
      </c>
      <c r="T1852" s="18" t="s">
        <v>179</v>
      </c>
      <c r="U1852" s="21"/>
      <c r="V1852" s="21" t="s">
        <v>223</v>
      </c>
      <c r="Y1852" t="s">
        <v>158</v>
      </c>
      <c r="Z1852" t="s">
        <v>70</v>
      </c>
    </row>
    <row r="1853" spans="1:27" ht="15" customHeight="1">
      <c r="A1853" s="60">
        <f>ROW() - ROW(Table1[[#Headers],[s]])</f>
        <v>1852</v>
      </c>
      <c r="B1853" t="s">
        <v>7471</v>
      </c>
      <c r="D1853" s="19" t="s">
        <v>7472</v>
      </c>
      <c r="E1853" t="s">
        <v>5646</v>
      </c>
      <c r="F1853" s="5" t="e" vm="10">
        <v>#VALUE!</v>
      </c>
      <c r="G1853" s="5" t="s">
        <v>83</v>
      </c>
      <c r="H1853" s="18" t="s">
        <v>152</v>
      </c>
      <c r="I1853" s="18"/>
      <c r="J1853" s="18" t="s">
        <v>153</v>
      </c>
      <c r="K1853" s="20" t="s">
        <v>154</v>
      </c>
      <c r="L1853" s="20">
        <v>46275.402083333334</v>
      </c>
      <c r="M1853" s="55" t="s">
        <v>78</v>
      </c>
      <c r="N1853" s="55" t="s">
        <v>78</v>
      </c>
      <c r="O1853" s="3">
        <v>46275.458333333336</v>
      </c>
      <c r="P1853" s="22">
        <v>46275.465277777781</v>
      </c>
      <c r="Q1853" s="22">
        <v>46275.712500000001</v>
      </c>
      <c r="S1853" s="21" t="s">
        <v>7473</v>
      </c>
      <c r="T1853" s="55" t="s">
        <v>478</v>
      </c>
      <c r="U1853" s="21"/>
      <c r="V1853" s="21" t="s">
        <v>7474</v>
      </c>
      <c r="Y1853" t="s">
        <v>158</v>
      </c>
      <c r="Z1853" t="s">
        <v>70</v>
      </c>
    </row>
    <row r="1854" spans="1:27" ht="15" customHeight="1">
      <c r="A1854" s="60">
        <f>ROW() - ROW(Table1[[#Headers],[s]])</f>
        <v>1853</v>
      </c>
      <c r="B1854" t="s">
        <v>7475</v>
      </c>
      <c r="D1854" s="19" t="s">
        <v>7476</v>
      </c>
      <c r="E1854" t="s">
        <v>5627</v>
      </c>
      <c r="F1854" s="5" t="e" vm="10">
        <v>#VALUE!</v>
      </c>
      <c r="G1854" s="5" t="s">
        <v>83</v>
      </c>
      <c r="H1854" s="18" t="s">
        <v>152</v>
      </c>
      <c r="I1854" s="18"/>
      <c r="J1854" s="18" t="s">
        <v>153</v>
      </c>
      <c r="K1854" s="20" t="s">
        <v>154</v>
      </c>
      <c r="L1854" s="20">
        <v>46275.40625</v>
      </c>
      <c r="M1854" s="55" t="s">
        <v>78</v>
      </c>
      <c r="N1854" s="55" t="s">
        <v>78</v>
      </c>
      <c r="O1854" s="3">
        <v>46275.625</v>
      </c>
      <c r="P1854" s="22">
        <v>46275.631944444445</v>
      </c>
      <c r="Q1854" s="22">
        <v>46275.75</v>
      </c>
      <c r="S1854" s="21" t="s">
        <v>7477</v>
      </c>
      <c r="T1854" s="55" t="s">
        <v>478</v>
      </c>
      <c r="U1854" s="21"/>
      <c r="V1854" s="21" t="s">
        <v>4023</v>
      </c>
      <c r="Y1854" t="s">
        <v>158</v>
      </c>
      <c r="Z1854" t="s">
        <v>70</v>
      </c>
    </row>
    <row r="1855" spans="1:27" ht="15" customHeight="1">
      <c r="A1855" s="60">
        <f>ROW() - ROW(Table1[[#Headers],[s]])</f>
        <v>1854</v>
      </c>
      <c r="B1855" s="450" t="s">
        <v>7478</v>
      </c>
      <c r="D1855" s="450" t="s">
        <v>7479</v>
      </c>
      <c r="E1855" t="s">
        <v>7469</v>
      </c>
      <c r="F1855" s="42" t="e" vm="1">
        <v>#VALUE!</v>
      </c>
      <c r="G1855" s="5" t="s">
        <v>83</v>
      </c>
      <c r="H1855" s="18" t="s">
        <v>747</v>
      </c>
      <c r="I1855" s="18"/>
      <c r="J1855" s="18" t="s">
        <v>253</v>
      </c>
      <c r="K1855" s="20" t="s">
        <v>154</v>
      </c>
      <c r="L1855" s="20">
        <v>46275.46875</v>
      </c>
      <c r="M1855" s="18" t="s">
        <v>6354</v>
      </c>
      <c r="N1855" s="18" t="s">
        <v>6354</v>
      </c>
      <c r="O1855" s="3">
        <v>46275.645833333336</v>
      </c>
      <c r="P1855" s="22">
        <v>46275.729166666664</v>
      </c>
      <c r="Q1855" s="22">
        <v>46275.843055555553</v>
      </c>
      <c r="S1855" s="21" t="s">
        <v>7480</v>
      </c>
      <c r="T1855" s="18" t="s">
        <v>164</v>
      </c>
      <c r="U1855" s="21"/>
      <c r="V1855" s="21" t="s">
        <v>7481</v>
      </c>
      <c r="Y1855" t="s">
        <v>158</v>
      </c>
      <c r="Z1855" t="s">
        <v>70</v>
      </c>
    </row>
    <row r="1856" spans="1:27" ht="15" customHeight="1">
      <c r="A1856" s="60">
        <f>ROW() - ROW(Table1[[#Headers],[s]])</f>
        <v>1855</v>
      </c>
      <c r="B1856" t="s">
        <v>7482</v>
      </c>
      <c r="D1856" s="19" t="s">
        <v>7483</v>
      </c>
      <c r="E1856" t="s">
        <v>6561</v>
      </c>
      <c r="F1856" t="e" vm="16">
        <v>#VALUE!</v>
      </c>
      <c r="G1856" s="5" t="s">
        <v>83</v>
      </c>
      <c r="H1856" s="18" t="s">
        <v>245</v>
      </c>
      <c r="I1856" s="18"/>
      <c r="J1856" s="18" t="s">
        <v>253</v>
      </c>
      <c r="K1856" s="20" t="s">
        <v>154</v>
      </c>
      <c r="L1856" s="20">
        <v>46275.459027777775</v>
      </c>
      <c r="M1856" s="18" t="s">
        <v>58</v>
      </c>
      <c r="N1856" s="18" t="s">
        <v>58</v>
      </c>
      <c r="O1856" s="3">
        <v>46275.5</v>
      </c>
      <c r="P1856" s="22">
        <v>46275.506944444445</v>
      </c>
      <c r="Q1856" s="22">
        <v>46275.594444444447</v>
      </c>
      <c r="S1856" s="450" t="s">
        <v>7484</v>
      </c>
      <c r="T1856" s="18" t="s">
        <v>5895</v>
      </c>
      <c r="U1856" s="21"/>
      <c r="V1856" s="450" t="s">
        <v>7485</v>
      </c>
      <c r="Y1856" t="s">
        <v>158</v>
      </c>
      <c r="Z1856" t="s">
        <v>158</v>
      </c>
    </row>
    <row r="1857" spans="1:26" ht="15" hidden="1" customHeight="1">
      <c r="A1857" s="60">
        <f>ROW() - ROW(Table1[[#Headers],[s]])</f>
        <v>1856</v>
      </c>
      <c r="B1857" t="s">
        <v>7486</v>
      </c>
      <c r="D1857" s="450" t="s">
        <v>7487</v>
      </c>
      <c r="E1857" t="s">
        <v>7488</v>
      </c>
      <c r="F1857" s="42" t="e" vm="35">
        <v>#VALUE!</v>
      </c>
      <c r="G1857" s="5" t="s">
        <v>40</v>
      </c>
      <c r="H1857" s="18" t="s">
        <v>245</v>
      </c>
      <c r="I1857" s="18"/>
      <c r="J1857" s="18" t="s">
        <v>253</v>
      </c>
      <c r="K1857" s="20" t="s">
        <v>7489</v>
      </c>
      <c r="L1857" s="20">
        <v>46275.838194444441</v>
      </c>
      <c r="M1857" s="18" t="s">
        <v>1951</v>
      </c>
      <c r="N1857" s="18" t="s">
        <v>1951</v>
      </c>
      <c r="O1857" s="3">
        <v>46275.958333333336</v>
      </c>
      <c r="P1857" s="22"/>
      <c r="S1857" s="21" t="s">
        <v>7490</v>
      </c>
      <c r="T1857" s="18" t="s">
        <v>164</v>
      </c>
      <c r="U1857" s="21"/>
      <c r="V1857" s="21" t="s">
        <v>7491</v>
      </c>
      <c r="Y1857" t="s">
        <v>70</v>
      </c>
      <c r="Z1857" t="s">
        <v>70</v>
      </c>
    </row>
    <row r="1858" spans="1:26" ht="15" customHeight="1">
      <c r="A1858" s="60">
        <f>ROW() - ROW(Table1[[#Headers],[s]])</f>
        <v>1857</v>
      </c>
      <c r="B1858" t="s">
        <v>7492</v>
      </c>
      <c r="D1858" s="19" t="s">
        <v>7493</v>
      </c>
      <c r="E1858" t="s">
        <v>7494</v>
      </c>
      <c r="F1858" t="e" vm="2">
        <v>#VALUE!</v>
      </c>
      <c r="G1858" s="5" t="s">
        <v>83</v>
      </c>
      <c r="H1858" s="18" t="s">
        <v>245</v>
      </c>
      <c r="I1858" s="18"/>
      <c r="J1858" s="18" t="s">
        <v>253</v>
      </c>
      <c r="K1858" s="20" t="s">
        <v>2898</v>
      </c>
      <c r="L1858" s="20">
        <v>46275.647916666669</v>
      </c>
      <c r="M1858" s="18" t="s">
        <v>162</v>
      </c>
      <c r="N1858" s="18" t="s">
        <v>162</v>
      </c>
      <c r="O1858" s="3">
        <v>46275.833333333336</v>
      </c>
      <c r="P1858" s="22">
        <v>46275.3125</v>
      </c>
      <c r="Q1858" s="22">
        <v>46275.152777777781</v>
      </c>
      <c r="S1858" s="21" t="s">
        <v>473</v>
      </c>
      <c r="T1858" s="18" t="s">
        <v>266</v>
      </c>
      <c r="U1858" s="21"/>
      <c r="V1858" s="21" t="s">
        <v>7495</v>
      </c>
      <c r="Y1858" t="s">
        <v>70</v>
      </c>
      <c r="Z1858" t="s">
        <v>70</v>
      </c>
    </row>
    <row r="1859" spans="1:26" ht="15" hidden="1" customHeight="1">
      <c r="A1859" s="60">
        <f>ROW() - ROW(Table1[[#Headers],[s]])</f>
        <v>1858</v>
      </c>
      <c r="B1859" t="s">
        <v>7496</v>
      </c>
      <c r="D1859" s="450" t="s">
        <v>7497</v>
      </c>
      <c r="E1859" t="s">
        <v>7498</v>
      </c>
      <c r="F1859" s="42" t="e" vm="19">
        <v>#VALUE!</v>
      </c>
      <c r="G1859" s="5" t="s">
        <v>174</v>
      </c>
      <c r="H1859" s="18" t="s">
        <v>245</v>
      </c>
      <c r="I1859" s="18"/>
      <c r="J1859" s="18" t="s">
        <v>253</v>
      </c>
      <c r="K1859" s="20" t="s">
        <v>7489</v>
      </c>
      <c r="L1859" s="20">
        <v>46275.684027777781</v>
      </c>
      <c r="M1859" s="18" t="s">
        <v>800</v>
      </c>
      <c r="N1859" s="18" t="s">
        <v>7499</v>
      </c>
      <c r="O1859" s="3"/>
      <c r="P1859" s="22"/>
      <c r="S1859" s="21" t="s">
        <v>7500</v>
      </c>
      <c r="T1859" s="18" t="s">
        <v>164</v>
      </c>
      <c r="U1859" s="21"/>
      <c r="Y1859" t="s">
        <v>70</v>
      </c>
      <c r="Z1859" t="s">
        <v>158</v>
      </c>
    </row>
    <row r="1860" spans="1:26" ht="15" hidden="1" customHeight="1">
      <c r="A1860" s="60">
        <f>ROW() - ROW(Table1[[#Headers],[s]])</f>
        <v>1859</v>
      </c>
      <c r="B1860" t="s">
        <v>7501</v>
      </c>
      <c r="C1860" s="181"/>
      <c r="D1860" s="19" t="s">
        <v>7502</v>
      </c>
      <c r="E1860" t="s">
        <v>6482</v>
      </c>
      <c r="F1860" t="e" vm="25">
        <v>#VALUE!</v>
      </c>
      <c r="G1860" s="5" t="s">
        <v>174</v>
      </c>
      <c r="H1860" s="18" t="s">
        <v>747</v>
      </c>
      <c r="I1860" s="18"/>
      <c r="J1860" s="18" t="s">
        <v>253</v>
      </c>
      <c r="K1860" s="44" t="s">
        <v>154</v>
      </c>
      <c r="L1860" s="44">
        <v>46275.425000000003</v>
      </c>
      <c r="M1860" s="55" t="s">
        <v>53</v>
      </c>
      <c r="N1860" s="55" t="s">
        <v>53</v>
      </c>
      <c r="O1860" s="56">
        <v>46276.333333333336</v>
      </c>
      <c r="P1860" s="56">
        <v>46276.354166666664</v>
      </c>
      <c r="Q1860" s="56">
        <v>46276.484027777777</v>
      </c>
      <c r="S1860" s="21" t="s">
        <v>7503</v>
      </c>
      <c r="T1860" s="55" t="s">
        <v>164</v>
      </c>
      <c r="U1860" s="21"/>
      <c r="V1860" s="53" t="s">
        <v>930</v>
      </c>
      <c r="Y1860" t="s">
        <v>70</v>
      </c>
      <c r="Z1860" t="s">
        <v>70</v>
      </c>
    </row>
    <row r="1861" spans="1:26" ht="15" hidden="1" customHeight="1">
      <c r="A1861" s="60">
        <f>ROW() - ROW(Table1[[#Headers],[s]])</f>
        <v>1860</v>
      </c>
      <c r="B1861" t="s">
        <v>4596</v>
      </c>
      <c r="D1861" s="19" t="s">
        <v>7504</v>
      </c>
      <c r="E1861" t="s">
        <v>5727</v>
      </c>
      <c r="F1861" s="5" t="e" vm="25">
        <v>#VALUE!</v>
      </c>
      <c r="G1861" s="5" t="s">
        <v>174</v>
      </c>
      <c r="H1861" s="18" t="s">
        <v>152</v>
      </c>
      <c r="I1861" s="18"/>
      <c r="J1861" s="18" t="s">
        <v>153</v>
      </c>
      <c r="K1861" s="44" t="s">
        <v>154</v>
      </c>
      <c r="L1861" s="20">
        <v>46276.397222222222</v>
      </c>
      <c r="M1861" s="18" t="s">
        <v>72</v>
      </c>
      <c r="N1861" s="18" t="s">
        <v>72</v>
      </c>
      <c r="O1861" s="20">
        <v>46276.465277777781</v>
      </c>
      <c r="P1861" s="20">
        <v>46276.465277777781</v>
      </c>
      <c r="Q1861" s="20">
        <v>46276.510416666664</v>
      </c>
      <c r="S1861" s="21" t="s">
        <v>7505</v>
      </c>
      <c r="T1861" s="55" t="s">
        <v>164</v>
      </c>
      <c r="U1861" s="21"/>
      <c r="V1861" s="21" t="s">
        <v>930</v>
      </c>
      <c r="Y1861" t="s">
        <v>158</v>
      </c>
      <c r="Z1861" t="s">
        <v>70</v>
      </c>
    </row>
    <row r="1862" spans="1:26" ht="15" hidden="1" customHeight="1">
      <c r="A1862" s="60">
        <f>ROW() - ROW(Table1[[#Headers],[s]])</f>
        <v>1861</v>
      </c>
      <c r="B1862" t="s">
        <v>7506</v>
      </c>
      <c r="D1862" s="19" t="s">
        <v>7507</v>
      </c>
      <c r="E1862" t="s">
        <v>6082</v>
      </c>
      <c r="F1862" s="5" t="e" vm="40">
        <v>#VALUE!</v>
      </c>
      <c r="G1862" s="5" t="s">
        <v>1057</v>
      </c>
      <c r="H1862" s="18" t="s">
        <v>152</v>
      </c>
      <c r="I1862" t="s">
        <v>43</v>
      </c>
      <c r="J1862" s="18" t="s">
        <v>153</v>
      </c>
      <c r="K1862" s="44" t="s">
        <v>154</v>
      </c>
      <c r="L1862" s="20">
        <v>46276.397222222222</v>
      </c>
      <c r="M1862" s="18" t="s">
        <v>39</v>
      </c>
      <c r="N1862" s="18" t="s">
        <v>39</v>
      </c>
      <c r="O1862" s="20">
        <v>46276.576388888891</v>
      </c>
      <c r="P1862" s="20">
        <v>46276.583333333336</v>
      </c>
      <c r="Q1862" s="20">
        <v>46276.715277777781</v>
      </c>
      <c r="S1862" s="21" t="s">
        <v>7508</v>
      </c>
      <c r="T1862" s="18" t="s">
        <v>266</v>
      </c>
      <c r="U1862" s="21"/>
      <c r="V1862" s="21" t="s">
        <v>7509</v>
      </c>
      <c r="W1862" t="s">
        <v>7510</v>
      </c>
      <c r="Y1862" t="s">
        <v>158</v>
      </c>
      <c r="Z1862" t="s">
        <v>70</v>
      </c>
    </row>
    <row r="1863" spans="1:26" ht="15" hidden="1" customHeight="1">
      <c r="A1863" s="60">
        <f>ROW() - ROW(Table1[[#Headers],[s]])</f>
        <v>1862</v>
      </c>
      <c r="B1863" t="s">
        <v>7511</v>
      </c>
      <c r="D1863" s="19" t="s">
        <v>7512</v>
      </c>
      <c r="E1863" t="s">
        <v>5294</v>
      </c>
      <c r="F1863" s="5" t="e" vm="40">
        <v>#VALUE!</v>
      </c>
      <c r="G1863" s="5" t="s">
        <v>1057</v>
      </c>
      <c r="H1863" s="18" t="s">
        <v>152</v>
      </c>
      <c r="I1863" t="s">
        <v>43</v>
      </c>
      <c r="J1863" s="18" t="s">
        <v>153</v>
      </c>
      <c r="K1863" s="44" t="s">
        <v>154</v>
      </c>
      <c r="L1863" s="20">
        <v>46276.397916666669</v>
      </c>
      <c r="M1863" s="18" t="s">
        <v>39</v>
      </c>
      <c r="N1863" s="18" t="s">
        <v>39</v>
      </c>
      <c r="O1863" s="20">
        <v>46276.548611111109</v>
      </c>
      <c r="P1863" s="20">
        <v>46276.663194444445</v>
      </c>
      <c r="Q1863" s="20">
        <v>46276.711805555555</v>
      </c>
      <c r="S1863" s="21" t="s">
        <v>7513</v>
      </c>
      <c r="T1863" s="18" t="s">
        <v>266</v>
      </c>
      <c r="U1863" s="21"/>
      <c r="V1863" s="21" t="s">
        <v>7514</v>
      </c>
      <c r="Y1863" t="s">
        <v>158</v>
      </c>
      <c r="Z1863" t="s">
        <v>158</v>
      </c>
    </row>
    <row r="1864" spans="1:26" ht="15" hidden="1" customHeight="1">
      <c r="A1864" s="60">
        <f>ROW() - ROW(Table1[[#Headers],[s]])</f>
        <v>1863</v>
      </c>
      <c r="B1864" t="s">
        <v>7515</v>
      </c>
      <c r="D1864" s="19" t="s">
        <v>7516</v>
      </c>
      <c r="E1864" t="s">
        <v>5294</v>
      </c>
      <c r="F1864" s="5" t="e" vm="40">
        <v>#VALUE!</v>
      </c>
      <c r="G1864" s="5" t="s">
        <v>1057</v>
      </c>
      <c r="H1864" s="18" t="s">
        <v>152</v>
      </c>
      <c r="I1864" t="s">
        <v>43</v>
      </c>
      <c r="J1864" s="18" t="s">
        <v>153</v>
      </c>
      <c r="K1864" s="44" t="s">
        <v>154</v>
      </c>
      <c r="L1864" s="20">
        <v>46276.397916666669</v>
      </c>
      <c r="M1864" s="18" t="s">
        <v>39</v>
      </c>
      <c r="N1864" s="18" t="s">
        <v>39</v>
      </c>
      <c r="O1864" s="20">
        <v>46276.548611111109</v>
      </c>
      <c r="P1864" s="20">
        <v>46276.555555555555</v>
      </c>
      <c r="Q1864" s="20">
        <v>46276.627083333333</v>
      </c>
      <c r="S1864" s="21" t="s">
        <v>7517</v>
      </c>
      <c r="T1864" s="18" t="s">
        <v>266</v>
      </c>
      <c r="U1864" s="21"/>
      <c r="V1864" s="21" t="s">
        <v>7518</v>
      </c>
      <c r="W1864" t="s">
        <v>7519</v>
      </c>
      <c r="Y1864" t="s">
        <v>158</v>
      </c>
      <c r="Z1864" t="s">
        <v>158</v>
      </c>
    </row>
    <row r="1865" spans="1:26" ht="15" hidden="1" customHeight="1">
      <c r="A1865" s="60">
        <f>ROW() - ROW(Table1[[#Headers],[s]])</f>
        <v>1864</v>
      </c>
      <c r="B1865" t="s">
        <v>7520</v>
      </c>
      <c r="C1865" s="181"/>
      <c r="D1865" s="52" t="s">
        <v>7521</v>
      </c>
      <c r="E1865" t="s">
        <v>5461</v>
      </c>
      <c r="F1865" s="5" t="e" vm="19">
        <v>#VALUE!</v>
      </c>
      <c r="G1865" s="5" t="s">
        <v>174</v>
      </c>
      <c r="H1865" s="18" t="s">
        <v>152</v>
      </c>
      <c r="I1865" s="18"/>
      <c r="J1865" s="18" t="s">
        <v>153</v>
      </c>
      <c r="K1865" s="44" t="s">
        <v>154</v>
      </c>
      <c r="L1865" s="20">
        <v>46276.402777777781</v>
      </c>
      <c r="M1865" s="55"/>
      <c r="N1865" s="55"/>
      <c r="O1865" s="56"/>
      <c r="P1865" s="22"/>
      <c r="Q1865" s="58"/>
      <c r="S1865" s="21" t="s">
        <v>7522</v>
      </c>
      <c r="T1865" s="18" t="s">
        <v>179</v>
      </c>
      <c r="U1865" s="21"/>
      <c r="V1865" s="53"/>
      <c r="Y1865" t="s">
        <v>179</v>
      </c>
      <c r="Z1865" t="s">
        <v>179</v>
      </c>
    </row>
    <row r="1866" spans="1:26" s="451" customFormat="1" ht="15" hidden="1" customHeight="1">
      <c r="A1866" s="155">
        <f>ROW() - ROW(Table1[[#Headers],[s]])</f>
        <v>1865</v>
      </c>
      <c r="B1866" s="451" t="s">
        <v>7523</v>
      </c>
      <c r="C1866" s="459"/>
      <c r="D1866" s="460" t="s">
        <v>7524</v>
      </c>
      <c r="E1866" s="451" t="s">
        <v>7525</v>
      </c>
      <c r="F1866" s="454" t="e" vm="17">
        <v>#VALUE!</v>
      </c>
      <c r="G1866" s="454" t="s">
        <v>174</v>
      </c>
      <c r="H1866" s="455" t="s">
        <v>245</v>
      </c>
      <c r="I1866" s="455"/>
      <c r="J1866" s="455" t="s">
        <v>253</v>
      </c>
      <c r="K1866" s="461" t="s">
        <v>7526</v>
      </c>
      <c r="L1866" s="456">
        <v>46276.449305555558</v>
      </c>
      <c r="M1866" s="455" t="s">
        <v>7527</v>
      </c>
      <c r="N1866" s="455" t="s">
        <v>7527</v>
      </c>
      <c r="O1866" s="456">
        <v>46276.53125</v>
      </c>
      <c r="P1866" s="456">
        <v>46276.572916666664</v>
      </c>
      <c r="Q1866" s="456">
        <v>46276.763888888891</v>
      </c>
      <c r="S1866" s="457" t="s">
        <v>7528</v>
      </c>
      <c r="T1866" s="458"/>
      <c r="U1866" s="457"/>
      <c r="V1866" s="462"/>
    </row>
    <row r="1867" spans="1:26" s="451" customFormat="1" ht="15" hidden="1" customHeight="1">
      <c r="A1867" s="155">
        <f>ROW() - ROW(Table1[[#Headers],[s]])</f>
        <v>1866</v>
      </c>
      <c r="B1867" s="451" t="s">
        <v>7529</v>
      </c>
      <c r="C1867" s="452"/>
      <c r="D1867" s="453" t="s">
        <v>7530</v>
      </c>
      <c r="E1867" s="451" t="s">
        <v>7355</v>
      </c>
      <c r="F1867" s="454" t="e" vm="35">
        <v>#VALUE!</v>
      </c>
      <c r="G1867" s="454" t="s">
        <v>174</v>
      </c>
      <c r="H1867" s="455" t="s">
        <v>747</v>
      </c>
      <c r="I1867" s="455"/>
      <c r="J1867" s="455" t="s">
        <v>253</v>
      </c>
      <c r="K1867" s="456" t="s">
        <v>7531</v>
      </c>
      <c r="L1867" s="456">
        <v>46276.459027777775</v>
      </c>
      <c r="M1867" s="455" t="s">
        <v>7532</v>
      </c>
      <c r="N1867" s="455" t="s">
        <v>7533</v>
      </c>
      <c r="O1867" s="456">
        <v>46276.552083333336</v>
      </c>
      <c r="P1867" s="456">
        <v>46276.59375</v>
      </c>
      <c r="Q1867" s="456">
        <v>46276.875</v>
      </c>
      <c r="S1867" s="457" t="s">
        <v>1618</v>
      </c>
      <c r="T1867" s="458" t="s">
        <v>164</v>
      </c>
      <c r="U1867" s="457"/>
      <c r="V1867" s="457" t="s">
        <v>7534</v>
      </c>
      <c r="Y1867" s="451" t="s">
        <v>158</v>
      </c>
      <c r="Z1867" s="451" t="s">
        <v>158</v>
      </c>
    </row>
    <row r="1868" spans="1:26" ht="15" hidden="1" customHeight="1">
      <c r="A1868" s="60">
        <f>ROW() - ROW(Table1[[#Headers],[s]])</f>
        <v>1867</v>
      </c>
      <c r="B1868" t="s">
        <v>7535</v>
      </c>
      <c r="C1868" s="181"/>
      <c r="D1868" s="52" t="s">
        <v>7536</v>
      </c>
      <c r="E1868" t="s">
        <v>6561</v>
      </c>
      <c r="F1868" s="5" t="e" vm="16">
        <v>#VALUE!</v>
      </c>
      <c r="G1868" s="5" t="s">
        <v>174</v>
      </c>
      <c r="H1868" s="18" t="s">
        <v>747</v>
      </c>
      <c r="I1868" s="18"/>
      <c r="J1868" s="18" t="s">
        <v>253</v>
      </c>
      <c r="K1868" s="44" t="s">
        <v>154</v>
      </c>
      <c r="L1868" s="20">
        <v>46276.490277777775</v>
      </c>
      <c r="M1868" s="55" t="s">
        <v>3413</v>
      </c>
      <c r="N1868" s="55" t="s">
        <v>3413</v>
      </c>
      <c r="O1868" s="20">
        <v>46276.520833333336</v>
      </c>
      <c r="P1868" s="20">
        <v>46276.53125</v>
      </c>
      <c r="Q1868" s="20">
        <v>46276.597222222219</v>
      </c>
      <c r="S1868" s="21" t="s">
        <v>7537</v>
      </c>
      <c r="T1868" s="55" t="s">
        <v>164</v>
      </c>
      <c r="U1868" s="21"/>
      <c r="V1868" s="53" t="s">
        <v>7538</v>
      </c>
      <c r="Y1868" t="s">
        <v>158</v>
      </c>
      <c r="Z1868" t="s">
        <v>158</v>
      </c>
    </row>
    <row r="1869" spans="1:26" ht="15" hidden="1" customHeight="1">
      <c r="A1869" s="60">
        <f>ROW() - ROW(Table1[[#Headers],[s]])</f>
        <v>1868</v>
      </c>
      <c r="B1869" t="s">
        <v>7539</v>
      </c>
      <c r="D1869" s="19" t="s">
        <v>7540</v>
      </c>
      <c r="E1869" t="s">
        <v>7541</v>
      </c>
      <c r="F1869" s="5" t="e" vm="12">
        <v>#VALUE!</v>
      </c>
      <c r="G1869" s="5" t="s">
        <v>174</v>
      </c>
      <c r="H1869" s="18" t="s">
        <v>152</v>
      </c>
      <c r="I1869" s="18"/>
      <c r="J1869" s="18" t="s">
        <v>153</v>
      </c>
      <c r="K1869" s="44" t="s">
        <v>154</v>
      </c>
      <c r="L1869" s="20">
        <v>46276.530555555553</v>
      </c>
      <c r="M1869" s="18" t="s">
        <v>72</v>
      </c>
      <c r="N1869" s="18" t="s">
        <v>72</v>
      </c>
      <c r="O1869" s="20">
        <v>46276.604166666664</v>
      </c>
      <c r="P1869" s="20">
        <v>46276.614583333336</v>
      </c>
      <c r="Q1869" s="20">
        <v>46276.649305555555</v>
      </c>
      <c r="S1869" s="21" t="s">
        <v>7542</v>
      </c>
      <c r="T1869" s="18" t="s">
        <v>2765</v>
      </c>
      <c r="U1869" s="21"/>
      <c r="V1869" s="21" t="s">
        <v>4225</v>
      </c>
      <c r="Y1869" t="s">
        <v>158</v>
      </c>
      <c r="Z1869" t="s">
        <v>70</v>
      </c>
    </row>
    <row r="1870" spans="1:26" ht="15" hidden="1" customHeight="1">
      <c r="A1870" s="60">
        <f>ROW() - ROW(Table1[[#Headers],[s]])</f>
        <v>1869</v>
      </c>
      <c r="B1870" t="s">
        <v>7543</v>
      </c>
      <c r="D1870" s="52" t="s">
        <v>7544</v>
      </c>
      <c r="E1870" t="s">
        <v>7545</v>
      </c>
      <c r="F1870" s="5" t="e" vm="40">
        <v>#VALUE!</v>
      </c>
      <c r="G1870" s="5" t="s">
        <v>1057</v>
      </c>
      <c r="H1870" s="18" t="s">
        <v>152</v>
      </c>
      <c r="I1870" t="s">
        <v>7546</v>
      </c>
      <c r="J1870" s="18" t="s">
        <v>153</v>
      </c>
      <c r="K1870" s="307" t="s">
        <v>154</v>
      </c>
      <c r="L1870" s="20">
        <v>46276.397222222222</v>
      </c>
      <c r="M1870" s="18" t="s">
        <v>39</v>
      </c>
      <c r="N1870" s="18" t="s">
        <v>39</v>
      </c>
      <c r="O1870" s="20">
        <v>46276.576388888891</v>
      </c>
      <c r="P1870" s="20">
        <v>46276.583333333336</v>
      </c>
      <c r="Q1870" s="20">
        <v>46276.715277777781</v>
      </c>
      <c r="S1870" s="307" t="s">
        <v>7547</v>
      </c>
      <c r="T1870" s="18" t="s">
        <v>179</v>
      </c>
      <c r="U1870" s="21"/>
      <c r="W1870" t="s">
        <v>7510</v>
      </c>
      <c r="Y1870" t="s">
        <v>179</v>
      </c>
      <c r="Z1870" t="s">
        <v>179</v>
      </c>
    </row>
    <row r="1871" spans="1:26" ht="15" hidden="1" customHeight="1">
      <c r="A1871" s="60">
        <f>ROW() - ROW(Table1[[#Headers],[s]])</f>
        <v>1870</v>
      </c>
      <c r="B1871" t="s">
        <v>7548</v>
      </c>
      <c r="D1871" s="19" t="s">
        <v>7549</v>
      </c>
      <c r="E1871" t="s">
        <v>7550</v>
      </c>
      <c r="F1871" s="5" t="e" vm="16">
        <v>#VALUE!</v>
      </c>
      <c r="G1871" s="5" t="s">
        <v>1057</v>
      </c>
      <c r="H1871" s="18" t="s">
        <v>152</v>
      </c>
      <c r="I1871" t="s">
        <v>43</v>
      </c>
      <c r="J1871" s="18" t="s">
        <v>153</v>
      </c>
      <c r="K1871" s="44" t="s">
        <v>154</v>
      </c>
      <c r="L1871" s="20">
        <v>46276.616666666669</v>
      </c>
      <c r="M1871" s="55" t="s">
        <v>3413</v>
      </c>
      <c r="N1871" s="55" t="s">
        <v>3413</v>
      </c>
      <c r="O1871" s="20">
        <v>46277.416666666664</v>
      </c>
      <c r="P1871" s="20">
        <v>46277.423611111109</v>
      </c>
      <c r="Q1871" s="20">
        <v>46277.448611111111</v>
      </c>
      <c r="S1871" s="21" t="s">
        <v>7551</v>
      </c>
      <c r="T1871" s="18" t="s">
        <v>164</v>
      </c>
      <c r="U1871" s="21"/>
      <c r="V1871" s="53" t="s">
        <v>7552</v>
      </c>
      <c r="Y1871" t="s">
        <v>158</v>
      </c>
      <c r="Z1871" t="s">
        <v>158</v>
      </c>
    </row>
    <row r="1872" spans="1:26" ht="15" hidden="1" customHeight="1">
      <c r="A1872" s="60">
        <f>ROW() - ROW(Table1[[#Headers],[s]])</f>
        <v>1871</v>
      </c>
      <c r="B1872" t="s">
        <v>7553</v>
      </c>
      <c r="D1872" s="19" t="s">
        <v>7554</v>
      </c>
      <c r="E1872" t="s">
        <v>7555</v>
      </c>
      <c r="F1872" s="5" t="e" vm="2">
        <v>#VALUE!</v>
      </c>
      <c r="G1872" s="5" t="s">
        <v>1057</v>
      </c>
      <c r="H1872" s="18" t="s">
        <v>152</v>
      </c>
      <c r="I1872" t="s">
        <v>43</v>
      </c>
      <c r="J1872" s="18" t="s">
        <v>153</v>
      </c>
      <c r="K1872" s="44" t="s">
        <v>154</v>
      </c>
      <c r="L1872" s="20">
        <v>46276.671527777777</v>
      </c>
      <c r="M1872" s="18" t="s">
        <v>162</v>
      </c>
      <c r="N1872" s="18" t="s">
        <v>162</v>
      </c>
      <c r="O1872" s="20">
        <v>46277.479166666664</v>
      </c>
      <c r="P1872" s="20">
        <v>46277.486111111109</v>
      </c>
      <c r="Q1872" s="20">
        <v>46277.541666666664</v>
      </c>
      <c r="S1872" s="21" t="s">
        <v>7556</v>
      </c>
      <c r="T1872" s="18" t="s">
        <v>2765</v>
      </c>
      <c r="U1872" s="21"/>
      <c r="V1872" s="21" t="s">
        <v>7557</v>
      </c>
      <c r="Y1872" t="s">
        <v>158</v>
      </c>
      <c r="Z1872" t="s">
        <v>70</v>
      </c>
    </row>
    <row r="1873" spans="1:29" s="464" customFormat="1" ht="15" hidden="1" customHeight="1">
      <c r="A1873" s="463">
        <f>ROW() - ROW(Table1[[#Headers],[s]])</f>
        <v>1872</v>
      </c>
      <c r="B1873" s="464" t="s">
        <v>7558</v>
      </c>
      <c r="C1873" s="465"/>
      <c r="D1873" s="466" t="s">
        <v>7559</v>
      </c>
      <c r="E1873" s="464" t="s">
        <v>7560</v>
      </c>
      <c r="F1873" s="467" t="e" vm="35">
        <v>#VALUE!</v>
      </c>
      <c r="G1873" s="467" t="s">
        <v>1057</v>
      </c>
      <c r="H1873" s="468" t="s">
        <v>747</v>
      </c>
      <c r="I1873" s="464" t="s">
        <v>43</v>
      </c>
      <c r="J1873" s="468" t="s">
        <v>253</v>
      </c>
      <c r="K1873" s="469" t="s">
        <v>7561</v>
      </c>
      <c r="L1873" s="470">
        <v>46276.691666666666</v>
      </c>
      <c r="M1873" s="471" t="s">
        <v>6354</v>
      </c>
      <c r="N1873" s="471" t="s">
        <v>7527</v>
      </c>
      <c r="O1873" s="470">
        <v>46277.96875</v>
      </c>
      <c r="P1873" s="470">
        <v>46277.527777777781</v>
      </c>
      <c r="Q1873" s="470">
        <v>46277.629861111112</v>
      </c>
      <c r="S1873" s="472" t="s">
        <v>7562</v>
      </c>
      <c r="T1873" s="468"/>
      <c r="U1873" s="472"/>
      <c r="V1873" s="473" t="s">
        <v>7563</v>
      </c>
      <c r="W1873" s="464" t="s">
        <v>7564</v>
      </c>
      <c r="Y1873" s="464" t="s">
        <v>70</v>
      </c>
      <c r="Z1873" s="464" t="s">
        <v>158</v>
      </c>
      <c r="AC1873" s="464" t="s">
        <v>7565</v>
      </c>
    </row>
    <row r="1874" spans="1:29" ht="15" hidden="1" customHeight="1">
      <c r="A1874" s="60">
        <f>ROW() - ROW(Table1[[#Headers],[s]])</f>
        <v>1873</v>
      </c>
      <c r="B1874" t="s">
        <v>7566</v>
      </c>
      <c r="D1874" s="19" t="s">
        <v>7567</v>
      </c>
      <c r="E1874" t="s">
        <v>7568</v>
      </c>
      <c r="F1874" s="5" t="e" vm="35">
        <v>#VALUE!</v>
      </c>
      <c r="G1874" s="5" t="s">
        <v>174</v>
      </c>
      <c r="H1874" s="18" t="s">
        <v>747</v>
      </c>
      <c r="I1874" s="18"/>
      <c r="J1874" s="18" t="s">
        <v>253</v>
      </c>
      <c r="K1874" s="44" t="s">
        <v>3256</v>
      </c>
      <c r="L1874" s="20">
        <v>46276.715277777781</v>
      </c>
      <c r="N1874" s="18"/>
      <c r="O1874" s="3"/>
      <c r="P1874" s="22"/>
      <c r="Q1874" s="20"/>
      <c r="S1874" s="44" t="s">
        <v>3256</v>
      </c>
      <c r="U1874" s="21"/>
      <c r="V1874" s="44" t="s">
        <v>3256</v>
      </c>
      <c r="Y1874" t="s">
        <v>179</v>
      </c>
      <c r="Z1874" t="s">
        <v>179</v>
      </c>
    </row>
    <row r="1875" spans="1:29" ht="15" hidden="1" customHeight="1">
      <c r="A1875" s="60">
        <f>ROW() - ROW(Table1[[#Headers],[s]])</f>
        <v>1874</v>
      </c>
      <c r="B1875" t="s">
        <v>7569</v>
      </c>
      <c r="D1875" s="19" t="s">
        <v>7570</v>
      </c>
      <c r="E1875" t="s">
        <v>7571</v>
      </c>
      <c r="F1875" s="5" t="e" vm="35">
        <v>#VALUE!</v>
      </c>
      <c r="G1875" s="5" t="s">
        <v>174</v>
      </c>
      <c r="H1875" s="18" t="s">
        <v>747</v>
      </c>
      <c r="I1875" s="18"/>
      <c r="J1875" s="18" t="s">
        <v>253</v>
      </c>
      <c r="K1875" s="307" t="s">
        <v>154</v>
      </c>
      <c r="L1875" s="20">
        <v>46276.722916666666</v>
      </c>
      <c r="N1875" s="18"/>
      <c r="O1875" s="3"/>
      <c r="P1875" s="22"/>
      <c r="S1875" s="307" t="s">
        <v>7572</v>
      </c>
      <c r="U1875" s="21"/>
      <c r="Y1875" t="s">
        <v>179</v>
      </c>
      <c r="Z1875" t="s">
        <v>179</v>
      </c>
    </row>
    <row r="1876" spans="1:29" s="464" customFormat="1" ht="15" hidden="1" customHeight="1">
      <c r="A1876" s="463">
        <f>ROW() - ROW(Table1[[#Headers],[s]])</f>
        <v>1875</v>
      </c>
      <c r="B1876" s="464" t="s">
        <v>7573</v>
      </c>
      <c r="C1876" s="465"/>
      <c r="D1876" s="466" t="s">
        <v>7574</v>
      </c>
      <c r="E1876" s="464" t="s">
        <v>7575</v>
      </c>
      <c r="F1876" s="467" t="e" vm="35">
        <v>#VALUE!</v>
      </c>
      <c r="G1876" s="467" t="s">
        <v>1057</v>
      </c>
      <c r="H1876" s="468" t="s">
        <v>747</v>
      </c>
      <c r="I1876" s="468"/>
      <c r="J1876" s="468" t="s">
        <v>253</v>
      </c>
      <c r="K1876" s="474" t="s">
        <v>7576</v>
      </c>
      <c r="L1876" s="470">
        <v>46276.765972222223</v>
      </c>
      <c r="M1876" s="468" t="s">
        <v>1951</v>
      </c>
      <c r="N1876" s="468" t="s">
        <v>1951</v>
      </c>
      <c r="O1876" s="470">
        <v>46277.541666666664</v>
      </c>
      <c r="P1876" s="470">
        <v>46277.649305555555</v>
      </c>
      <c r="Q1876" s="470">
        <v>46278.638194444444</v>
      </c>
      <c r="S1876" s="475" t="s">
        <v>7577</v>
      </c>
      <c r="T1876" s="468" t="s">
        <v>7578</v>
      </c>
      <c r="U1876" s="472"/>
      <c r="V1876" s="472" t="s">
        <v>7579</v>
      </c>
      <c r="W1876" s="464" t="s">
        <v>7580</v>
      </c>
      <c r="Y1876" s="464" t="s">
        <v>70</v>
      </c>
      <c r="Z1876" s="464" t="s">
        <v>158</v>
      </c>
    </row>
    <row r="1877" spans="1:29" ht="15" hidden="1" customHeight="1">
      <c r="A1877" s="60">
        <f>ROW() - ROW(Table1[[#Headers],[s]])</f>
        <v>1876</v>
      </c>
      <c r="B1877" t="s">
        <v>7581</v>
      </c>
      <c r="D1877" s="52" t="s">
        <v>7582</v>
      </c>
      <c r="E1877" t="s">
        <v>7583</v>
      </c>
      <c r="F1877" s="5" t="e" vm="16">
        <v>#VALUE!</v>
      </c>
      <c r="G1877" s="5" t="s">
        <v>1057</v>
      </c>
      <c r="H1877" s="18" t="s">
        <v>152</v>
      </c>
      <c r="I1877" t="s">
        <v>43</v>
      </c>
      <c r="J1877" s="18" t="s">
        <v>153</v>
      </c>
      <c r="K1877" s="44" t="s">
        <v>154</v>
      </c>
      <c r="L1877" s="20">
        <v>46276.919444444444</v>
      </c>
      <c r="M1877" s="55" t="s">
        <v>3413</v>
      </c>
      <c r="N1877" s="55" t="s">
        <v>3413</v>
      </c>
      <c r="O1877" s="20">
        <v>46277.506944444445</v>
      </c>
      <c r="P1877" s="20">
        <v>46277.5625</v>
      </c>
      <c r="Q1877" s="20">
        <v>46277.609722222223</v>
      </c>
      <c r="S1877" s="21" t="s">
        <v>7584</v>
      </c>
      <c r="T1877" s="18" t="s">
        <v>164</v>
      </c>
      <c r="U1877" s="21"/>
      <c r="V1877" s="53" t="s">
        <v>7585</v>
      </c>
      <c r="W1877" t="s">
        <v>7586</v>
      </c>
      <c r="Y1877" t="s">
        <v>158</v>
      </c>
      <c r="Z1877" t="s">
        <v>158</v>
      </c>
    </row>
    <row r="1878" spans="1:29" ht="15" hidden="1" customHeight="1">
      <c r="A1878" s="60">
        <f>ROW() - ROW(Table1[[#Headers],[s]])</f>
        <v>1877</v>
      </c>
      <c r="B1878" t="s">
        <v>7587</v>
      </c>
      <c r="D1878" s="19" t="s">
        <v>7588</v>
      </c>
      <c r="E1878" t="s">
        <v>7589</v>
      </c>
      <c r="F1878" s="5" t="e" vm="10">
        <v>#VALUE!</v>
      </c>
      <c r="G1878" s="5" t="s">
        <v>1057</v>
      </c>
      <c r="H1878" s="18" t="s">
        <v>152</v>
      </c>
      <c r="I1878" t="s">
        <v>43</v>
      </c>
      <c r="J1878" s="18" t="s">
        <v>153</v>
      </c>
      <c r="K1878" s="44" t="s">
        <v>154</v>
      </c>
      <c r="L1878" s="44">
        <v>46277.526388888888</v>
      </c>
      <c r="M1878" s="55" t="s">
        <v>78</v>
      </c>
      <c r="N1878" s="55" t="s">
        <v>78</v>
      </c>
      <c r="O1878" s="44">
        <v>46278.479166666664</v>
      </c>
      <c r="P1878" s="44">
        <v>46278.486111111109</v>
      </c>
      <c r="Q1878" s="44">
        <v>46278.506944444445</v>
      </c>
      <c r="S1878" s="21" t="s">
        <v>7590</v>
      </c>
      <c r="T1878" s="18" t="s">
        <v>164</v>
      </c>
      <c r="U1878" s="21"/>
      <c r="V1878" s="21" t="s">
        <v>7591</v>
      </c>
      <c r="Y1878" t="s">
        <v>158</v>
      </c>
      <c r="Z1878" t="s">
        <v>70</v>
      </c>
    </row>
    <row r="1879" spans="1:29" ht="15" hidden="1" customHeight="1">
      <c r="A1879" s="60">
        <f>ROW() - ROW(Table1[[#Headers],[s]])</f>
        <v>1878</v>
      </c>
      <c r="B1879" t="s">
        <v>7592</v>
      </c>
      <c r="D1879" s="19" t="s">
        <v>7593</v>
      </c>
      <c r="E1879" t="s">
        <v>7550</v>
      </c>
      <c r="F1879" s="5" t="e" vm="16">
        <v>#VALUE!</v>
      </c>
      <c r="G1879" s="5" t="s">
        <v>1057</v>
      </c>
      <c r="H1879" s="18" t="s">
        <v>152</v>
      </c>
      <c r="I1879" t="s">
        <v>43</v>
      </c>
      <c r="J1879" s="18" t="s">
        <v>153</v>
      </c>
      <c r="K1879" s="44" t="s">
        <v>154</v>
      </c>
      <c r="L1879" s="44">
        <v>46277.529861111114</v>
      </c>
      <c r="M1879" s="55" t="s">
        <v>3413</v>
      </c>
      <c r="N1879" s="55" t="s">
        <v>3413</v>
      </c>
      <c r="O1879" s="44">
        <v>46277.638888888891</v>
      </c>
      <c r="P1879" s="44">
        <v>46277.645833333336</v>
      </c>
      <c r="Q1879" s="44">
        <v>46277.65625</v>
      </c>
      <c r="S1879" s="21" t="s">
        <v>7594</v>
      </c>
      <c r="T1879" s="18" t="s">
        <v>164</v>
      </c>
      <c r="U1879" s="21"/>
      <c r="V1879" s="21" t="s">
        <v>7595</v>
      </c>
      <c r="Y1879" t="s">
        <v>158</v>
      </c>
      <c r="Z1879" t="s">
        <v>70</v>
      </c>
    </row>
    <row r="1880" spans="1:29" ht="15" hidden="1" customHeight="1">
      <c r="A1880" s="60">
        <f>ROW() - ROW(Table1[[#Headers],[s]])</f>
        <v>1879</v>
      </c>
      <c r="B1880" t="s">
        <v>7596</v>
      </c>
      <c r="D1880" s="19" t="s">
        <v>7597</v>
      </c>
      <c r="E1880" t="s">
        <v>7598</v>
      </c>
      <c r="F1880" s="5" t="e" vm="26">
        <v>#VALUE!</v>
      </c>
      <c r="G1880" s="5" t="s">
        <v>1057</v>
      </c>
      <c r="H1880" s="18" t="s">
        <v>152</v>
      </c>
      <c r="I1880" t="s">
        <v>43</v>
      </c>
      <c r="J1880" s="18" t="s">
        <v>253</v>
      </c>
      <c r="K1880" s="44" t="s">
        <v>154</v>
      </c>
      <c r="L1880" s="44">
        <v>46277.716666666667</v>
      </c>
      <c r="M1880" s="18" t="s">
        <v>7599</v>
      </c>
      <c r="N1880" s="18" t="s">
        <v>7599</v>
      </c>
      <c r="O1880" s="44">
        <v>46277.895833333336</v>
      </c>
      <c r="P1880" s="44">
        <v>46277.979166666664</v>
      </c>
      <c r="Q1880" s="44">
        <v>46278.041666666664</v>
      </c>
      <c r="S1880" s="21" t="s">
        <v>7600</v>
      </c>
      <c r="T1880" s="18" t="s">
        <v>164</v>
      </c>
      <c r="U1880" s="21"/>
      <c r="V1880" s="21" t="s">
        <v>7601</v>
      </c>
      <c r="W1880" t="s">
        <v>7602</v>
      </c>
      <c r="Y1880" t="s">
        <v>158</v>
      </c>
      <c r="Z1880" t="s">
        <v>70</v>
      </c>
    </row>
    <row r="1881" spans="1:29" ht="15" hidden="1" customHeight="1">
      <c r="A1881" s="60">
        <f>ROW() - ROW(Table1[[#Headers],[s]])</f>
        <v>1880</v>
      </c>
      <c r="B1881" t="s">
        <v>6680</v>
      </c>
      <c r="D1881" s="19" t="s">
        <v>7603</v>
      </c>
      <c r="E1881" t="s">
        <v>6682</v>
      </c>
      <c r="F1881" s="5" t="e" vm="16">
        <v>#VALUE!</v>
      </c>
      <c r="G1881" s="5" t="s">
        <v>1057</v>
      </c>
      <c r="H1881" s="18" t="s">
        <v>152</v>
      </c>
      <c r="I1881" t="s">
        <v>43</v>
      </c>
      <c r="J1881" s="18" t="s">
        <v>153</v>
      </c>
      <c r="K1881" s="44" t="s">
        <v>154</v>
      </c>
      <c r="L1881" s="44">
        <v>46278.727777777778</v>
      </c>
      <c r="M1881" s="55" t="s">
        <v>3413</v>
      </c>
      <c r="N1881" s="55" t="s">
        <v>3413</v>
      </c>
      <c r="O1881" s="44">
        <v>46279.395833333336</v>
      </c>
      <c r="P1881" s="44">
        <v>46279.402777777781</v>
      </c>
      <c r="Q1881" s="44">
        <v>46279.583333333336</v>
      </c>
      <c r="R1881" t="s">
        <v>3232</v>
      </c>
      <c r="S1881" s="21" t="s">
        <v>7604</v>
      </c>
      <c r="T1881" s="18" t="s">
        <v>164</v>
      </c>
      <c r="U1881" s="21"/>
      <c r="V1881" s="21" t="s">
        <v>7605</v>
      </c>
      <c r="Y1881" t="s">
        <v>158</v>
      </c>
      <c r="Z1881" t="s">
        <v>70</v>
      </c>
    </row>
    <row r="1882" spans="1:29" ht="15" hidden="1" customHeight="1">
      <c r="A1882" s="60">
        <f>ROW() - ROW(Table1[[#Headers],[s]])</f>
        <v>1881</v>
      </c>
      <c r="B1882" t="s">
        <v>7606</v>
      </c>
      <c r="D1882" s="19" t="s">
        <v>7607</v>
      </c>
      <c r="E1882" t="s">
        <v>6682</v>
      </c>
      <c r="F1882" s="5" t="e" vm="16">
        <v>#VALUE!</v>
      </c>
      <c r="G1882" s="5" t="s">
        <v>1057</v>
      </c>
      <c r="H1882" s="18" t="s">
        <v>152</v>
      </c>
      <c r="I1882" t="s">
        <v>7546</v>
      </c>
      <c r="J1882" s="18" t="s">
        <v>153</v>
      </c>
      <c r="K1882" s="169" t="s">
        <v>154</v>
      </c>
      <c r="L1882" s="44">
        <v>46278.728472222225</v>
      </c>
      <c r="M1882" s="55" t="s">
        <v>3413</v>
      </c>
      <c r="N1882" s="55" t="s">
        <v>3413</v>
      </c>
      <c r="O1882" s="44">
        <v>46279.395833333336</v>
      </c>
      <c r="P1882" s="44">
        <v>46279.402777777781</v>
      </c>
      <c r="Q1882" s="44">
        <v>46279.583333333336</v>
      </c>
      <c r="S1882" s="21" t="s">
        <v>7608</v>
      </c>
      <c r="U1882" s="21"/>
    </row>
    <row r="1883" spans="1:29" ht="15" hidden="1" customHeight="1">
      <c r="A1883" s="60">
        <f>ROW() - ROW(Table1[[#Headers],[s]])</f>
        <v>1882</v>
      </c>
      <c r="B1883" t="s">
        <v>7609</v>
      </c>
      <c r="D1883" s="19" t="s">
        <v>7610</v>
      </c>
      <c r="E1883" t="s">
        <v>5461</v>
      </c>
      <c r="F1883" s="5" t="e" vm="19">
        <v>#VALUE!</v>
      </c>
      <c r="G1883" s="5" t="s">
        <v>1057</v>
      </c>
      <c r="H1883" s="18" t="s">
        <v>152</v>
      </c>
      <c r="I1883" t="s">
        <v>43</v>
      </c>
      <c r="J1883" s="18" t="s">
        <v>153</v>
      </c>
      <c r="K1883" s="44" t="s">
        <v>154</v>
      </c>
      <c r="L1883" s="44">
        <v>46278.727777777778</v>
      </c>
      <c r="M1883" s="18" t="s">
        <v>7611</v>
      </c>
      <c r="N1883" s="18" t="s">
        <v>7611</v>
      </c>
      <c r="O1883" s="44">
        <v>46279.416666666664</v>
      </c>
      <c r="P1883" s="44">
        <v>46279.423611111109</v>
      </c>
      <c r="Q1883" s="44">
        <v>46279.451388888891</v>
      </c>
      <c r="S1883" s="21" t="s">
        <v>7612</v>
      </c>
      <c r="T1883" s="18" t="s">
        <v>164</v>
      </c>
      <c r="U1883" s="21"/>
      <c r="V1883" s="21" t="s">
        <v>7613</v>
      </c>
      <c r="Y1883" t="s">
        <v>158</v>
      </c>
      <c r="Z1883" t="s">
        <v>70</v>
      </c>
    </row>
    <row r="1884" spans="1:29" ht="15" hidden="1" customHeight="1">
      <c r="A1884" s="60">
        <f>ROW() - ROW(Table1[[#Headers],[s]])</f>
        <v>1883</v>
      </c>
      <c r="B1884" t="s">
        <v>7614</v>
      </c>
      <c r="D1884" s="19" t="s">
        <v>7615</v>
      </c>
      <c r="E1884" t="s">
        <v>7616</v>
      </c>
      <c r="F1884" s="5" t="e" vm="21">
        <v>#VALUE!</v>
      </c>
      <c r="G1884" s="5" t="s">
        <v>1057</v>
      </c>
      <c r="H1884" s="18" t="s">
        <v>152</v>
      </c>
      <c r="I1884" t="s">
        <v>43</v>
      </c>
      <c r="J1884" s="18" t="s">
        <v>153</v>
      </c>
      <c r="K1884" s="44" t="s">
        <v>154</v>
      </c>
      <c r="L1884" s="44">
        <v>46278.729166666664</v>
      </c>
      <c r="M1884" s="18" t="s">
        <v>39</v>
      </c>
      <c r="N1884" s="18" t="s">
        <v>39</v>
      </c>
      <c r="O1884" s="44">
        <v>46279.375</v>
      </c>
      <c r="P1884" s="44">
        <v>46279.375</v>
      </c>
      <c r="Q1884" s="44">
        <v>46279.40625</v>
      </c>
      <c r="S1884" s="21" t="s">
        <v>7617</v>
      </c>
      <c r="T1884" s="18" t="s">
        <v>164</v>
      </c>
      <c r="U1884" s="21"/>
      <c r="V1884" s="21" t="s">
        <v>7618</v>
      </c>
      <c r="Y1884" t="s">
        <v>158</v>
      </c>
      <c r="Z1884" t="s">
        <v>70</v>
      </c>
    </row>
    <row r="1885" spans="1:29" ht="15" hidden="1" customHeight="1">
      <c r="A1885" s="60">
        <f>ROW() - ROW(Table1[[#Headers],[s]])</f>
        <v>1884</v>
      </c>
      <c r="B1885" t="s">
        <v>7619</v>
      </c>
      <c r="D1885" s="19" t="s">
        <v>7620</v>
      </c>
      <c r="E1885" t="s">
        <v>7621</v>
      </c>
      <c r="F1885" s="5" t="e" vm="21">
        <v>#VALUE!</v>
      </c>
      <c r="G1885" s="5" t="s">
        <v>151</v>
      </c>
      <c r="H1885" s="18" t="s">
        <v>152</v>
      </c>
      <c r="I1885" s="18"/>
      <c r="J1885" s="18" t="s">
        <v>153</v>
      </c>
      <c r="K1885" s="44" t="s">
        <v>154</v>
      </c>
      <c r="L1885" s="44">
        <v>46278.729166666664</v>
      </c>
      <c r="M1885" s="18" t="s">
        <v>39</v>
      </c>
      <c r="N1885" s="18" t="s">
        <v>39</v>
      </c>
      <c r="O1885" s="3">
        <v>46280.381944444445</v>
      </c>
      <c r="P1885" s="22">
        <v>46280.381944444445</v>
      </c>
      <c r="Q1885" s="22">
        <v>46280.513194444444</v>
      </c>
      <c r="S1885" s="240" t="s">
        <v>7622</v>
      </c>
      <c r="T1885" s="18" t="s">
        <v>7623</v>
      </c>
      <c r="U1885" s="21"/>
      <c r="V1885" s="21" t="s">
        <v>7624</v>
      </c>
      <c r="Y1885" t="s">
        <v>70</v>
      </c>
      <c r="Z1885" t="s">
        <v>158</v>
      </c>
    </row>
    <row r="1886" spans="1:29" ht="15" hidden="1" customHeight="1">
      <c r="A1886" s="60">
        <f>ROW() - ROW(Table1[[#Headers],[s]])</f>
        <v>1885</v>
      </c>
      <c r="B1886" t="s">
        <v>4596</v>
      </c>
      <c r="D1886" s="19" t="s">
        <v>7625</v>
      </c>
      <c r="E1886" t="s">
        <v>7626</v>
      </c>
      <c r="F1886" s="5" t="e" vm="25">
        <v>#VALUE!</v>
      </c>
      <c r="G1886" s="5" t="s">
        <v>1057</v>
      </c>
      <c r="H1886" s="18" t="s">
        <v>152</v>
      </c>
      <c r="I1886" t="s">
        <v>43</v>
      </c>
      <c r="J1886" s="18" t="s">
        <v>153</v>
      </c>
      <c r="K1886" s="44" t="s">
        <v>154</v>
      </c>
      <c r="L1886" s="44">
        <v>46278.729166666664</v>
      </c>
      <c r="M1886" s="55" t="s">
        <v>53</v>
      </c>
      <c r="N1886" s="55" t="s">
        <v>53</v>
      </c>
      <c r="O1886" s="44">
        <v>46278.78125</v>
      </c>
      <c r="P1886" s="44">
        <v>46278.798611111109</v>
      </c>
      <c r="Q1886" s="44">
        <v>46278.806250000001</v>
      </c>
      <c r="S1886" s="21" t="s">
        <v>7627</v>
      </c>
      <c r="T1886" s="18" t="s">
        <v>164</v>
      </c>
      <c r="U1886" s="21"/>
      <c r="V1886" s="21" t="s">
        <v>7628</v>
      </c>
      <c r="W1886" t="s">
        <v>7629</v>
      </c>
      <c r="Y1886" t="s">
        <v>158</v>
      </c>
      <c r="Z1886" t="s">
        <v>70</v>
      </c>
    </row>
    <row r="1887" spans="1:29" ht="15" hidden="1" customHeight="1">
      <c r="A1887" s="60">
        <f>ROW() - ROW(Table1[[#Headers],[s]])</f>
        <v>1886</v>
      </c>
      <c r="B1887" t="s">
        <v>7630</v>
      </c>
      <c r="D1887" s="19" t="s">
        <v>7631</v>
      </c>
      <c r="E1887" s="230" t="s">
        <v>6573</v>
      </c>
      <c r="F1887" s="5" t="e" vm="21">
        <v>#VALUE!</v>
      </c>
      <c r="G1887" s="5" t="s">
        <v>174</v>
      </c>
      <c r="H1887" s="18" t="s">
        <v>152</v>
      </c>
      <c r="I1887" t="s">
        <v>43</v>
      </c>
      <c r="J1887" s="18" t="s">
        <v>153</v>
      </c>
      <c r="K1887" s="44" t="s">
        <v>154</v>
      </c>
      <c r="L1887" s="44">
        <v>46279.395833333336</v>
      </c>
      <c r="M1887" s="18" t="s">
        <v>39</v>
      </c>
      <c r="N1887" s="18" t="s">
        <v>39</v>
      </c>
      <c r="O1887" s="44">
        <v>46279.4375</v>
      </c>
      <c r="P1887" s="44">
        <v>46279.444444444445</v>
      </c>
      <c r="Q1887" s="44">
        <v>46279.536805555559</v>
      </c>
      <c r="R1887" t="s">
        <v>3220</v>
      </c>
      <c r="S1887" s="21" t="s">
        <v>7632</v>
      </c>
      <c r="T1887" s="18" t="s">
        <v>164</v>
      </c>
      <c r="U1887" s="21"/>
      <c r="V1887" s="21" t="s">
        <v>7633</v>
      </c>
      <c r="Y1887" t="s">
        <v>158</v>
      </c>
      <c r="Z1887" t="s">
        <v>70</v>
      </c>
    </row>
    <row r="1888" spans="1:29" ht="15" hidden="1" customHeight="1">
      <c r="A1888" s="60">
        <f>ROW() - ROW(Table1[[#Headers],[s]])</f>
        <v>1887</v>
      </c>
      <c r="B1888" t="s">
        <v>7634</v>
      </c>
      <c r="D1888" s="19" t="s">
        <v>7635</v>
      </c>
      <c r="E1888" t="s">
        <v>5242</v>
      </c>
      <c r="F1888" s="5" t="e" vm="25">
        <v>#VALUE!</v>
      </c>
      <c r="G1888" s="5" t="s">
        <v>174</v>
      </c>
      <c r="H1888" s="18" t="s">
        <v>152</v>
      </c>
      <c r="I1888" s="18"/>
      <c r="J1888" s="18" t="s">
        <v>153</v>
      </c>
      <c r="K1888" s="44" t="s">
        <v>154</v>
      </c>
      <c r="L1888" s="20">
        <v>46279.761111111111</v>
      </c>
      <c r="M1888" s="18" t="s">
        <v>57</v>
      </c>
      <c r="N1888" s="18" t="s">
        <v>57</v>
      </c>
      <c r="O1888" s="20">
        <v>46279.833333333336</v>
      </c>
      <c r="P1888" s="20">
        <v>46279.84375</v>
      </c>
      <c r="Q1888" s="20">
        <v>46279.885416666664</v>
      </c>
      <c r="S1888" s="21" t="s">
        <v>7636</v>
      </c>
      <c r="T1888" s="18" t="s">
        <v>164</v>
      </c>
      <c r="U1888" s="21"/>
      <c r="V1888" s="21" t="s">
        <v>1871</v>
      </c>
      <c r="Y1888" t="s">
        <v>158</v>
      </c>
      <c r="Z1888" t="s">
        <v>70</v>
      </c>
    </row>
    <row r="1889" spans="1:26" ht="15" hidden="1" customHeight="1">
      <c r="A1889" s="60">
        <f>ROW() - ROW(Table1[[#Headers],[s]])</f>
        <v>1888</v>
      </c>
      <c r="B1889" t="s">
        <v>7637</v>
      </c>
      <c r="D1889" s="19" t="s">
        <v>7638</v>
      </c>
      <c r="E1889" t="s">
        <v>7639</v>
      </c>
      <c r="F1889" s="5" t="e" vm="5">
        <v>#VALUE!</v>
      </c>
      <c r="G1889" s="5" t="s">
        <v>151</v>
      </c>
      <c r="H1889" s="18" t="s">
        <v>152</v>
      </c>
      <c r="I1889" s="18"/>
      <c r="J1889" s="18" t="s">
        <v>153</v>
      </c>
      <c r="K1889" s="20" t="s">
        <v>154</v>
      </c>
      <c r="L1889" s="20">
        <v>46279.756249999999</v>
      </c>
      <c r="M1889" s="18" t="s">
        <v>55</v>
      </c>
      <c r="N1889" s="18" t="s">
        <v>55</v>
      </c>
      <c r="O1889" s="3">
        <v>46280.663194444445</v>
      </c>
      <c r="P1889" s="22">
        <v>46280.663194444445</v>
      </c>
      <c r="Q1889" s="22">
        <v>46280.690972222219</v>
      </c>
      <c r="S1889" s="21" t="s">
        <v>7640</v>
      </c>
      <c r="T1889" s="18" t="s">
        <v>179</v>
      </c>
      <c r="U1889" s="21"/>
      <c r="V1889" s="21" t="s">
        <v>7640</v>
      </c>
      <c r="Y1889" t="s">
        <v>70</v>
      </c>
      <c r="Z1889" t="s">
        <v>70</v>
      </c>
    </row>
    <row r="1890" spans="1:26" ht="15" hidden="1" customHeight="1">
      <c r="A1890" s="60">
        <f>ROW() - ROW(Table1[[#Headers],[s]])</f>
        <v>1889</v>
      </c>
      <c r="B1890" t="s">
        <v>7641</v>
      </c>
      <c r="D1890" s="19" t="s">
        <v>7642</v>
      </c>
      <c r="E1890" t="s">
        <v>7643</v>
      </c>
      <c r="F1890" s="5" t="e" vm="2">
        <v>#VALUE!</v>
      </c>
      <c r="G1890" s="5" t="s">
        <v>151</v>
      </c>
      <c r="H1890" s="18" t="s">
        <v>152</v>
      </c>
      <c r="I1890" s="18"/>
      <c r="J1890" s="18" t="s">
        <v>153</v>
      </c>
      <c r="K1890" s="20" t="s">
        <v>154</v>
      </c>
      <c r="L1890" s="20">
        <v>46279.757638888892</v>
      </c>
      <c r="M1890" s="18" t="s">
        <v>162</v>
      </c>
      <c r="N1890" s="18" t="s">
        <v>162</v>
      </c>
      <c r="O1890" s="3">
        <v>46280.363194444442</v>
      </c>
      <c r="P1890" s="22">
        <v>46280.363194444442</v>
      </c>
      <c r="Q1890" s="22">
        <v>46280.4375</v>
      </c>
      <c r="R1890" t="s">
        <v>3788</v>
      </c>
      <c r="S1890" s="21" t="s">
        <v>7644</v>
      </c>
      <c r="T1890" s="18" t="s">
        <v>164</v>
      </c>
      <c r="U1890" s="21"/>
      <c r="V1890" t="s">
        <v>7644</v>
      </c>
      <c r="Y1890" t="s">
        <v>158</v>
      </c>
      <c r="Z1890" t="s">
        <v>70</v>
      </c>
    </row>
    <row r="1891" spans="1:26" ht="15" hidden="1" customHeight="1">
      <c r="A1891" s="60">
        <f>ROW() - ROW(Table1[[#Headers],[s]])</f>
        <v>1890</v>
      </c>
      <c r="B1891" t="s">
        <v>7645</v>
      </c>
      <c r="D1891" s="19" t="s">
        <v>7646</v>
      </c>
      <c r="E1891" t="s">
        <v>7575</v>
      </c>
      <c r="F1891" s="5" t="e" vm="35">
        <v>#VALUE!</v>
      </c>
      <c r="G1891" s="5" t="s">
        <v>151</v>
      </c>
      <c r="H1891" s="18" t="s">
        <v>747</v>
      </c>
      <c r="I1891" s="18"/>
      <c r="J1891" s="18" t="s">
        <v>253</v>
      </c>
      <c r="K1891" s="20" t="s">
        <v>154</v>
      </c>
      <c r="L1891" s="20">
        <v>46279.822222222225</v>
      </c>
      <c r="M1891" s="18" t="s">
        <v>431</v>
      </c>
      <c r="N1891" s="18" t="s">
        <v>85</v>
      </c>
      <c r="O1891" s="3">
        <v>46279.913194444445</v>
      </c>
      <c r="P1891" s="22">
        <v>46280.050694444442</v>
      </c>
      <c r="Q1891" s="22">
        <v>46280.586805555555</v>
      </c>
      <c r="R1891" t="s">
        <v>3137</v>
      </c>
      <c r="S1891" s="21" t="s">
        <v>7647</v>
      </c>
      <c r="T1891" s="18" t="s">
        <v>7648</v>
      </c>
      <c r="U1891" s="21"/>
      <c r="V1891" s="21" t="s">
        <v>7649</v>
      </c>
      <c r="Y1891" t="s">
        <v>70</v>
      </c>
      <c r="Z1891" t="s">
        <v>158</v>
      </c>
    </row>
    <row r="1892" spans="1:26" ht="15" hidden="1" customHeight="1">
      <c r="A1892" s="60">
        <f>ROW() - ROW(Table1[[#Headers],[s]])</f>
        <v>1891</v>
      </c>
      <c r="B1892" t="s">
        <v>7650</v>
      </c>
      <c r="D1892" s="19" t="s">
        <v>7651</v>
      </c>
      <c r="E1892" t="s">
        <v>7652</v>
      </c>
      <c r="F1892" s="5" t="e" vm="11">
        <v>#VALUE!</v>
      </c>
      <c r="G1892" s="5" t="s">
        <v>151</v>
      </c>
      <c r="H1892" s="18" t="s">
        <v>245</v>
      </c>
      <c r="I1892" s="18"/>
      <c r="J1892" s="18" t="s">
        <v>253</v>
      </c>
      <c r="K1892" s="20" t="s">
        <v>154</v>
      </c>
      <c r="L1892" s="20">
        <v>46280.353472222225</v>
      </c>
      <c r="M1892" s="18" t="s">
        <v>73</v>
      </c>
      <c r="N1892" s="18" t="s">
        <v>73</v>
      </c>
      <c r="O1892" s="3">
        <v>46280.450694444444</v>
      </c>
      <c r="P1892" s="22">
        <v>46280.450694444444</v>
      </c>
      <c r="Q1892" s="22">
        <v>46280.634027777778</v>
      </c>
      <c r="R1892" t="s">
        <v>7653</v>
      </c>
      <c r="S1892" s="21" t="s">
        <v>7654</v>
      </c>
      <c r="T1892" s="18" t="s">
        <v>7655</v>
      </c>
      <c r="U1892" s="21"/>
      <c r="V1892" s="21" t="s">
        <v>7656</v>
      </c>
      <c r="Y1892" t="s">
        <v>158</v>
      </c>
      <c r="Z1892" t="s">
        <v>158</v>
      </c>
    </row>
    <row r="1893" spans="1:26" ht="15" hidden="1" customHeight="1">
      <c r="A1893" s="60">
        <f>ROW() - ROW(Table1[[#Headers],[s]])</f>
        <v>1892</v>
      </c>
      <c r="B1893" t="s">
        <v>7657</v>
      </c>
      <c r="D1893" s="19" t="s">
        <v>7658</v>
      </c>
      <c r="E1893" t="s">
        <v>5352</v>
      </c>
      <c r="F1893" s="5" t="e" vm="16">
        <v>#VALUE!</v>
      </c>
      <c r="G1893" s="5" t="s">
        <v>151</v>
      </c>
      <c r="H1893" s="18" t="s">
        <v>747</v>
      </c>
      <c r="I1893" s="18"/>
      <c r="J1893" s="18" t="s">
        <v>253</v>
      </c>
      <c r="K1893" s="20" t="s">
        <v>7659</v>
      </c>
      <c r="L1893" s="20">
        <v>46280.57708333333</v>
      </c>
      <c r="M1893" s="18" t="s">
        <v>58</v>
      </c>
      <c r="N1893" s="18" t="s">
        <v>58</v>
      </c>
      <c r="O1893" s="3">
        <v>46280.604166666664</v>
      </c>
      <c r="P1893" s="22">
        <v>46280.604166666664</v>
      </c>
      <c r="Q1893" s="22">
        <v>46280.662499999999</v>
      </c>
      <c r="R1893" t="s">
        <v>3137</v>
      </c>
      <c r="S1893" s="21" t="s">
        <v>7660</v>
      </c>
      <c r="T1893" s="18" t="s">
        <v>478</v>
      </c>
      <c r="U1893" s="21"/>
      <c r="V1893" s="21" t="s">
        <v>7317</v>
      </c>
      <c r="Y1893" t="s">
        <v>158</v>
      </c>
      <c r="Z1893" t="s">
        <v>158</v>
      </c>
    </row>
    <row r="1894" spans="1:26" ht="15" hidden="1" customHeight="1">
      <c r="A1894" s="60">
        <f>ROW() - ROW(Table1[[#Headers],[s]])</f>
        <v>1893</v>
      </c>
      <c r="B1894" t="s">
        <v>4020</v>
      </c>
      <c r="D1894" s="19" t="s">
        <v>7661</v>
      </c>
      <c r="E1894" t="s">
        <v>6527</v>
      </c>
      <c r="F1894" s="5" t="e" vm="25">
        <v>#VALUE!</v>
      </c>
      <c r="G1894" s="5" t="s">
        <v>151</v>
      </c>
      <c r="H1894" s="18" t="s">
        <v>152</v>
      </c>
      <c r="I1894" s="18"/>
      <c r="J1894" s="18" t="s">
        <v>153</v>
      </c>
      <c r="K1894" s="20" t="s">
        <v>154</v>
      </c>
      <c r="L1894" s="20">
        <v>46280.604861111111</v>
      </c>
      <c r="M1894" s="18" t="s">
        <v>72</v>
      </c>
      <c r="N1894" s="18" t="s">
        <v>72</v>
      </c>
      <c r="O1894" s="3">
        <v>46280.658333333333</v>
      </c>
      <c r="P1894" s="22">
        <v>46280.663194444445</v>
      </c>
      <c r="Q1894" s="22">
        <v>46280.722222222219</v>
      </c>
      <c r="R1894" t="s">
        <v>3137</v>
      </c>
      <c r="S1894" s="21" t="s">
        <v>7662</v>
      </c>
      <c r="T1894" s="18" t="s">
        <v>179</v>
      </c>
      <c r="U1894" s="21"/>
      <c r="V1894" s="21" t="s">
        <v>7662</v>
      </c>
      <c r="Y1894" t="s">
        <v>158</v>
      </c>
      <c r="Z1894" t="s">
        <v>70</v>
      </c>
    </row>
    <row r="1895" spans="1:26" ht="15" hidden="1" customHeight="1">
      <c r="A1895" s="60">
        <f>ROW() - ROW(Table1[[#Headers],[s]])</f>
        <v>1894</v>
      </c>
      <c r="B1895" t="s">
        <v>7663</v>
      </c>
      <c r="D1895" s="19" t="s">
        <v>7664</v>
      </c>
      <c r="E1895" t="s">
        <v>5543</v>
      </c>
      <c r="F1895" s="5" t="e" vm="35">
        <v>#VALUE!</v>
      </c>
      <c r="G1895" s="5" t="s">
        <v>151</v>
      </c>
      <c r="H1895" s="18" t="s">
        <v>152</v>
      </c>
      <c r="I1895" s="18"/>
      <c r="J1895" s="18" t="s">
        <v>153</v>
      </c>
      <c r="K1895" s="20" t="s">
        <v>7665</v>
      </c>
      <c r="L1895" s="20">
        <v>46280.627083333333</v>
      </c>
      <c r="M1895" s="18" t="s">
        <v>779</v>
      </c>
      <c r="N1895" s="18" t="s">
        <v>779</v>
      </c>
      <c r="O1895" s="3">
        <v>46280.804166666669</v>
      </c>
      <c r="P1895" s="22">
        <v>46280.804166666669</v>
      </c>
      <c r="Q1895" s="22">
        <v>46280.829861111109</v>
      </c>
      <c r="R1895" t="s">
        <v>3279</v>
      </c>
      <c r="S1895" s="21" t="s">
        <v>7666</v>
      </c>
      <c r="T1895" s="18" t="s">
        <v>164</v>
      </c>
      <c r="U1895" s="21"/>
      <c r="V1895" s="21" t="s">
        <v>7666</v>
      </c>
      <c r="Y1895" t="s">
        <v>158</v>
      </c>
      <c r="Z1895" t="s">
        <v>158</v>
      </c>
    </row>
    <row r="1896" spans="1:26" ht="15" customHeight="1">
      <c r="A1896" s="60">
        <f>ROW() - ROW(Table1[[#Headers],[s]])</f>
        <v>1895</v>
      </c>
      <c r="B1896" t="s">
        <v>7667</v>
      </c>
      <c r="D1896" s="242" t="s">
        <v>7668</v>
      </c>
      <c r="E1896" s="24" t="s">
        <v>5216</v>
      </c>
      <c r="F1896" s="256" t="e" vm="49">
        <v>#VALUE!</v>
      </c>
      <c r="G1896" s="509" t="s">
        <v>83</v>
      </c>
      <c r="H1896" s="18" t="s">
        <v>152</v>
      </c>
      <c r="I1896" s="18"/>
      <c r="J1896" s="18" t="s">
        <v>153</v>
      </c>
      <c r="K1896" s="44" t="s">
        <v>154</v>
      </c>
      <c r="L1896" s="20">
        <v>46280.634027777778</v>
      </c>
      <c r="M1896" s="18" t="s">
        <v>85</v>
      </c>
      <c r="N1896" s="18" t="s">
        <v>85</v>
      </c>
      <c r="O1896" s="3">
        <v>46281.666666666664</v>
      </c>
      <c r="P1896" s="22">
        <v>46281.673611111109</v>
      </c>
      <c r="Q1896" s="22">
        <v>46281.715277777781</v>
      </c>
      <c r="S1896" s="21" t="s">
        <v>7669</v>
      </c>
      <c r="T1896" s="18" t="s">
        <v>164</v>
      </c>
      <c r="U1896" s="21"/>
      <c r="V1896" s="21" t="s">
        <v>7670</v>
      </c>
      <c r="Y1896" t="s">
        <v>158</v>
      </c>
      <c r="Z1896" t="s">
        <v>70</v>
      </c>
    </row>
    <row r="1897" spans="1:26" ht="15" hidden="1" customHeight="1">
      <c r="A1897" s="60">
        <f>ROW() - ROW(Table1[[#Headers],[s]])</f>
        <v>1896</v>
      </c>
      <c r="B1897" t="s">
        <v>7671</v>
      </c>
      <c r="C1897" s="181"/>
      <c r="D1897" s="507" t="s">
        <v>7672</v>
      </c>
      <c r="E1897" t="s">
        <v>5169</v>
      </c>
      <c r="F1897" s="5" t="e" vm="25">
        <v>#VALUE!</v>
      </c>
      <c r="G1897" s="43" t="s">
        <v>36</v>
      </c>
      <c r="H1897" s="18" t="s">
        <v>152</v>
      </c>
      <c r="I1897" s="18"/>
      <c r="J1897" s="18" t="s">
        <v>153</v>
      </c>
      <c r="K1897" s="44" t="s">
        <v>154</v>
      </c>
      <c r="L1897" s="44">
        <v>46280.655555555553</v>
      </c>
      <c r="M1897" s="55" t="s">
        <v>72</v>
      </c>
      <c r="N1897" s="55" t="s">
        <v>72</v>
      </c>
      <c r="O1897" s="56"/>
      <c r="P1897" s="22"/>
      <c r="Q1897" s="58">
        <v>46281.479166666664</v>
      </c>
      <c r="S1897" s="21" t="s">
        <v>7673</v>
      </c>
      <c r="T1897" s="18" t="s">
        <v>164</v>
      </c>
      <c r="U1897" s="21"/>
      <c r="V1897" s="403" t="s">
        <v>7674</v>
      </c>
      <c r="Y1897" t="s">
        <v>158</v>
      </c>
      <c r="Z1897" t="s">
        <v>70</v>
      </c>
    </row>
    <row r="1898" spans="1:26" ht="15" customHeight="1">
      <c r="A1898" s="60">
        <f>ROW() - ROW(Table1[[#Headers],[s]])</f>
        <v>1897</v>
      </c>
      <c r="B1898" t="s">
        <v>7675</v>
      </c>
      <c r="C1898" s="181"/>
      <c r="D1898" s="59" t="s">
        <v>7676</v>
      </c>
      <c r="E1898" s="24" t="s">
        <v>6852</v>
      </c>
      <c r="F1898" s="256" t="e" vm="30">
        <v>#VALUE!</v>
      </c>
      <c r="G1898" s="510" t="s">
        <v>83</v>
      </c>
      <c r="H1898" s="18" t="s">
        <v>152</v>
      </c>
      <c r="I1898" s="18"/>
      <c r="J1898" s="18" t="s">
        <v>153</v>
      </c>
      <c r="K1898" s="44" t="s">
        <v>154</v>
      </c>
      <c r="L1898" s="44">
        <v>46280.656944444447</v>
      </c>
      <c r="M1898" s="55" t="s">
        <v>82</v>
      </c>
      <c r="N1898" s="55" t="s">
        <v>82</v>
      </c>
      <c r="O1898" s="56">
        <v>46281.416666666664</v>
      </c>
      <c r="P1898" s="22">
        <v>46281.423611111109</v>
      </c>
      <c r="Q1898" s="58">
        <v>46281.597222222219</v>
      </c>
      <c r="S1898" s="21" t="s">
        <v>1317</v>
      </c>
      <c r="T1898" s="18" t="s">
        <v>164</v>
      </c>
      <c r="U1898" s="21"/>
      <c r="V1898" s="53" t="s">
        <v>7677</v>
      </c>
      <c r="Y1898" t="s">
        <v>158</v>
      </c>
      <c r="Z1898" t="s">
        <v>70</v>
      </c>
    </row>
    <row r="1899" spans="1:26" ht="15" hidden="1" customHeight="1">
      <c r="A1899" s="60">
        <f>ROW() - ROW(Table1[[#Headers],[s]])</f>
        <v>1898</v>
      </c>
      <c r="B1899" t="s">
        <v>7678</v>
      </c>
      <c r="C1899" s="181"/>
      <c r="D1899" s="52" t="s">
        <v>7679</v>
      </c>
      <c r="E1899" t="s">
        <v>5233</v>
      </c>
      <c r="F1899" s="5" t="e" vm="10">
        <v>#VALUE!</v>
      </c>
      <c r="G1899" s="43" t="s">
        <v>151</v>
      </c>
      <c r="H1899" s="18" t="s">
        <v>152</v>
      </c>
      <c r="I1899" s="18"/>
      <c r="J1899" s="18" t="s">
        <v>153</v>
      </c>
      <c r="K1899" s="44" t="s">
        <v>154</v>
      </c>
      <c r="L1899" s="44">
        <v>46280.697916666664</v>
      </c>
      <c r="M1899" s="55" t="s">
        <v>78</v>
      </c>
      <c r="N1899" s="55" t="s">
        <v>78</v>
      </c>
      <c r="O1899" s="56">
        <v>46280.731249999997</v>
      </c>
      <c r="P1899" s="22">
        <v>46280.73541666667</v>
      </c>
      <c r="Q1899" s="58">
        <v>46280.743055555555</v>
      </c>
      <c r="R1899" t="s">
        <v>3279</v>
      </c>
      <c r="S1899" s="21" t="s">
        <v>7680</v>
      </c>
      <c r="T1899" s="55" t="s">
        <v>179</v>
      </c>
      <c r="U1899" s="21"/>
      <c r="V1899" s="53" t="s">
        <v>7680</v>
      </c>
      <c r="Y1899" t="s">
        <v>158</v>
      </c>
      <c r="Z1899" t="s">
        <v>70</v>
      </c>
    </row>
    <row r="1900" spans="1:26" ht="15" hidden="1" customHeight="1">
      <c r="A1900" s="60">
        <f>ROW() - ROW(Table1[[#Headers],[s]])</f>
        <v>1899</v>
      </c>
      <c r="B1900" t="s">
        <v>7681</v>
      </c>
      <c r="C1900" s="181"/>
      <c r="D1900" s="59" t="s">
        <v>7682</v>
      </c>
      <c r="E1900" s="24" t="s">
        <v>5985</v>
      </c>
      <c r="F1900" s="256" t="e" vm="21">
        <v>#VALUE!</v>
      </c>
      <c r="G1900" s="43" t="s">
        <v>151</v>
      </c>
      <c r="H1900" s="18" t="s">
        <v>747</v>
      </c>
      <c r="I1900" s="18"/>
      <c r="J1900" s="18" t="s">
        <v>253</v>
      </c>
      <c r="K1900" s="20" t="s">
        <v>7683</v>
      </c>
      <c r="L1900" s="44">
        <v>46280.727083333331</v>
      </c>
      <c r="M1900" s="55" t="s">
        <v>39</v>
      </c>
      <c r="N1900" s="55"/>
      <c r="O1900" s="56"/>
      <c r="P1900" s="22"/>
      <c r="Q1900" s="58"/>
      <c r="S1900" s="21" t="s">
        <v>7684</v>
      </c>
      <c r="T1900" s="55"/>
      <c r="U1900" s="21"/>
      <c r="V1900" s="53"/>
    </row>
    <row r="1901" spans="1:26" ht="15" customHeight="1">
      <c r="A1901" s="60">
        <f>ROW() - ROW(Table1[[#Headers],[s]])</f>
        <v>1900</v>
      </c>
      <c r="B1901" t="s">
        <v>7685</v>
      </c>
      <c r="C1901" s="181"/>
      <c r="D1901" s="173" t="s">
        <v>7686</v>
      </c>
      <c r="E1901" s="24" t="s">
        <v>7687</v>
      </c>
      <c r="F1901" s="256" t="e" vm="21">
        <v>#VALUE!</v>
      </c>
      <c r="G1901" s="174" t="s">
        <v>584</v>
      </c>
      <c r="H1901" s="18" t="s">
        <v>245</v>
      </c>
      <c r="I1901" s="18"/>
      <c r="J1901" s="18" t="s">
        <v>253</v>
      </c>
      <c r="K1901" s="175"/>
      <c r="L1901" s="44">
        <v>46281.434027777781</v>
      </c>
      <c r="M1901" s="169" t="s">
        <v>1484</v>
      </c>
      <c r="N1901" s="169" t="s">
        <v>1484</v>
      </c>
      <c r="O1901" s="56">
        <v>46281.517361111109</v>
      </c>
      <c r="P1901" s="22">
        <v>46281.600694444445</v>
      </c>
      <c r="Q1901" s="58">
        <v>46282.525694444441</v>
      </c>
      <c r="S1901" s="21" t="s">
        <v>298</v>
      </c>
      <c r="T1901" s="18" t="s">
        <v>164</v>
      </c>
      <c r="U1901" s="21"/>
      <c r="V1901" s="53" t="s">
        <v>7688</v>
      </c>
      <c r="Y1901" t="s">
        <v>70</v>
      </c>
      <c r="Z1901" t="s">
        <v>158</v>
      </c>
    </row>
    <row r="1902" spans="1:26" ht="15" customHeight="1">
      <c r="A1902" s="60">
        <f>ROW() - ROW(Table1[[#Headers],[s]])</f>
        <v>1901</v>
      </c>
      <c r="B1902" t="s">
        <v>7689</v>
      </c>
      <c r="D1902" s="242" t="s">
        <v>7690</v>
      </c>
      <c r="E1902" s="24" t="s">
        <v>5920</v>
      </c>
      <c r="F1902" s="256" t="e" vm="25">
        <v>#VALUE!</v>
      </c>
      <c r="G1902" s="510" t="s">
        <v>83</v>
      </c>
      <c r="H1902" s="18" t="s">
        <v>152</v>
      </c>
      <c r="I1902" s="18"/>
      <c r="J1902" s="18" t="s">
        <v>153</v>
      </c>
      <c r="K1902" s="44" t="s">
        <v>154</v>
      </c>
      <c r="L1902" s="20">
        <v>46274.574999999997</v>
      </c>
      <c r="M1902" s="18" t="s">
        <v>72</v>
      </c>
      <c r="N1902" s="18" t="s">
        <v>72</v>
      </c>
      <c r="O1902" s="3">
        <v>46281.5</v>
      </c>
      <c r="P1902" s="22">
        <v>46281.506944444445</v>
      </c>
      <c r="Q1902" s="22">
        <v>46281.663194444445</v>
      </c>
      <c r="S1902" s="21" t="s">
        <v>7691</v>
      </c>
      <c r="T1902" s="18" t="s">
        <v>164</v>
      </c>
      <c r="U1902" s="21"/>
      <c r="V1902" s="21" t="s">
        <v>7692</v>
      </c>
      <c r="Y1902" t="s">
        <v>158</v>
      </c>
      <c r="Z1902" t="s">
        <v>70</v>
      </c>
    </row>
    <row r="1903" spans="1:26" ht="15" customHeight="1">
      <c r="A1903" s="60">
        <f>ROW() - ROW(Table1[[#Headers],[s]])</f>
        <v>1902</v>
      </c>
      <c r="B1903" t="s">
        <v>7693</v>
      </c>
      <c r="D1903" s="242" t="s">
        <v>7694</v>
      </c>
      <c r="E1903" s="24" t="s">
        <v>5988</v>
      </c>
      <c r="F1903" s="256" t="e" vm="30">
        <v>#VALUE!</v>
      </c>
      <c r="G1903" s="510" t="s">
        <v>83</v>
      </c>
      <c r="H1903" s="18" t="s">
        <v>747</v>
      </c>
      <c r="I1903" s="18"/>
      <c r="J1903" s="18" t="s">
        <v>253</v>
      </c>
      <c r="K1903" s="44" t="s">
        <v>154</v>
      </c>
      <c r="L1903" s="20">
        <v>46281.447222222225</v>
      </c>
      <c r="M1903" s="18" t="s">
        <v>7695</v>
      </c>
      <c r="N1903" s="18" t="s">
        <v>7695</v>
      </c>
      <c r="O1903" s="3">
        <v>46281.5</v>
      </c>
      <c r="P1903" s="22">
        <v>46281.520833333336</v>
      </c>
      <c r="Q1903" s="22">
        <v>46281.611111111109</v>
      </c>
      <c r="S1903" s="21" t="s">
        <v>7696</v>
      </c>
      <c r="T1903" s="18" t="s">
        <v>164</v>
      </c>
      <c r="U1903" s="21"/>
      <c r="V1903" s="21" t="s">
        <v>7697</v>
      </c>
      <c r="Y1903" t="s">
        <v>158</v>
      </c>
      <c r="Z1903" t="s">
        <v>158</v>
      </c>
    </row>
    <row r="1904" spans="1:26" ht="15" customHeight="1">
      <c r="A1904" s="60">
        <f>ROW() - ROW(Table1[[#Headers],[s]])</f>
        <v>1903</v>
      </c>
      <c r="B1904" t="s">
        <v>7698</v>
      </c>
      <c r="D1904" s="243" t="s">
        <v>7699</v>
      </c>
      <c r="E1904" s="24" t="s">
        <v>7700</v>
      </c>
      <c r="F1904" s="256" t="e" vm="21">
        <v>#VALUE!</v>
      </c>
      <c r="G1904" s="174" t="s">
        <v>584</v>
      </c>
      <c r="H1904" s="18" t="s">
        <v>245</v>
      </c>
      <c r="I1904" s="18"/>
      <c r="J1904" s="18" t="s">
        <v>253</v>
      </c>
      <c r="K1904" s="444"/>
      <c r="L1904" s="20">
        <v>46281.496527777781</v>
      </c>
      <c r="M1904" s="18" t="s">
        <v>779</v>
      </c>
      <c r="N1904" s="18" t="s">
        <v>7701</v>
      </c>
      <c r="O1904" s="3">
        <v>46281.666666666664</v>
      </c>
      <c r="P1904" s="22">
        <v>46281.916666666664</v>
      </c>
      <c r="S1904" s="21" t="s">
        <v>7702</v>
      </c>
      <c r="T1904" s="18" t="s">
        <v>164</v>
      </c>
      <c r="U1904" s="21"/>
    </row>
    <row r="1905" spans="1:26" ht="15" customHeight="1">
      <c r="A1905" s="60">
        <f>ROW() - ROW(Table1[[#Headers],[s]])</f>
        <v>1904</v>
      </c>
      <c r="B1905" t="s">
        <v>7703</v>
      </c>
      <c r="D1905" s="242" t="s">
        <v>7704</v>
      </c>
      <c r="E1905" s="24" t="s">
        <v>5940</v>
      </c>
      <c r="F1905" s="256" t="e" vm="7">
        <v>#VALUE!</v>
      </c>
      <c r="G1905" s="510" t="s">
        <v>83</v>
      </c>
      <c r="H1905" s="18" t="s">
        <v>245</v>
      </c>
      <c r="I1905" s="18"/>
      <c r="J1905" s="18" t="s">
        <v>253</v>
      </c>
      <c r="K1905" s="44" t="s">
        <v>154</v>
      </c>
      <c r="L1905" s="20">
        <v>46281.533333333333</v>
      </c>
      <c r="M1905" s="18" t="s">
        <v>3136</v>
      </c>
      <c r="N1905" s="18" t="s">
        <v>3136</v>
      </c>
      <c r="O1905" s="3">
        <v>46281.666666666664</v>
      </c>
      <c r="P1905" s="22">
        <v>46281.75</v>
      </c>
      <c r="Q1905" s="22">
        <v>46281.854166666664</v>
      </c>
      <c r="S1905" s="21" t="s">
        <v>7705</v>
      </c>
      <c r="T1905" s="18" t="s">
        <v>164</v>
      </c>
      <c r="U1905" s="21"/>
      <c r="V1905" s="21" t="s">
        <v>299</v>
      </c>
      <c r="Y1905" t="s">
        <v>158</v>
      </c>
      <c r="Z1905" t="s">
        <v>70</v>
      </c>
    </row>
    <row r="1906" spans="1:26" ht="15" customHeight="1">
      <c r="A1906" s="60">
        <f>ROW() - ROW(Table1[[#Headers],[s]])</f>
        <v>1905</v>
      </c>
      <c r="B1906" t="s">
        <v>7706</v>
      </c>
      <c r="D1906" s="242" t="s">
        <v>7707</v>
      </c>
      <c r="E1906" s="24" t="s">
        <v>7708</v>
      </c>
      <c r="F1906" s="256" t="e" vm="46">
        <v>#VALUE!</v>
      </c>
      <c r="G1906" s="510" t="s">
        <v>83</v>
      </c>
      <c r="H1906" s="18" t="s">
        <v>747</v>
      </c>
      <c r="I1906" s="18"/>
      <c r="J1906" s="18" t="s">
        <v>253</v>
      </c>
      <c r="K1906" s="44" t="s">
        <v>154</v>
      </c>
      <c r="L1906" s="20">
        <v>46281.544444444444</v>
      </c>
      <c r="M1906" s="18" t="s">
        <v>317</v>
      </c>
      <c r="N1906" s="18" t="s">
        <v>317</v>
      </c>
      <c r="O1906" s="3">
        <v>46281.666666666664</v>
      </c>
      <c r="P1906" s="22">
        <v>46281.6875</v>
      </c>
      <c r="Q1906" s="22">
        <v>46281.78125</v>
      </c>
      <c r="S1906" s="21" t="s">
        <v>7705</v>
      </c>
      <c r="T1906" s="18" t="s">
        <v>164</v>
      </c>
      <c r="U1906" s="21"/>
      <c r="V1906" s="21" t="s">
        <v>7709</v>
      </c>
      <c r="Y1906" t="s">
        <v>158</v>
      </c>
      <c r="Z1906" t="s">
        <v>158</v>
      </c>
    </row>
    <row r="1907" spans="1:26" ht="15" customHeight="1">
      <c r="A1907" s="60">
        <f>ROW() - ROW(Table1[[#Headers],[s]])</f>
        <v>1906</v>
      </c>
      <c r="B1907" t="s">
        <v>7710</v>
      </c>
      <c r="D1907" s="243" t="s">
        <v>7711</v>
      </c>
      <c r="E1907" s="24" t="s">
        <v>5246</v>
      </c>
      <c r="F1907" s="5" t="e" vm="2">
        <v>#VALUE!</v>
      </c>
      <c r="G1907" s="174" t="s">
        <v>174</v>
      </c>
      <c r="H1907" s="18" t="s">
        <v>152</v>
      </c>
      <c r="I1907" s="18"/>
      <c r="J1907" s="18" t="s">
        <v>153</v>
      </c>
      <c r="K1907" s="20"/>
      <c r="L1907" s="20">
        <v>46281.679861111108</v>
      </c>
      <c r="M1907" s="18" t="s">
        <v>7712</v>
      </c>
      <c r="N1907" s="18" t="s">
        <v>7712</v>
      </c>
      <c r="O1907" s="3" t="s">
        <v>2439</v>
      </c>
      <c r="P1907" s="22"/>
      <c r="U1907" s="21"/>
    </row>
    <row r="1908" spans="1:26" ht="15" customHeight="1">
      <c r="A1908" s="60">
        <f>ROW() - ROW(Table1[[#Headers],[s]])</f>
        <v>1907</v>
      </c>
      <c r="B1908" t="s">
        <v>7713</v>
      </c>
      <c r="D1908" s="242" t="s">
        <v>7714</v>
      </c>
      <c r="E1908" s="24" t="s">
        <v>7715</v>
      </c>
      <c r="F1908" s="5" t="e" vm="2">
        <v>#VALUE!</v>
      </c>
      <c r="G1908" s="510" t="s">
        <v>83</v>
      </c>
      <c r="H1908" s="18" t="s">
        <v>747</v>
      </c>
      <c r="I1908" s="18"/>
      <c r="J1908" s="18" t="s">
        <v>253</v>
      </c>
      <c r="K1908" s="20"/>
      <c r="L1908" s="20">
        <v>46281.586111111108</v>
      </c>
      <c r="M1908" s="18" t="s">
        <v>7712</v>
      </c>
      <c r="N1908" s="18" t="s">
        <v>7712</v>
      </c>
      <c r="O1908" s="3">
        <v>46281.645833333336</v>
      </c>
      <c r="P1908" s="22">
        <v>46281.6875</v>
      </c>
      <c r="Q1908" s="22">
        <v>46281.86041666667</v>
      </c>
      <c r="S1908" s="21" t="s">
        <v>7716</v>
      </c>
      <c r="U1908" s="21"/>
      <c r="V1908" s="21" t="s">
        <v>7717</v>
      </c>
      <c r="Y1908" t="s">
        <v>158</v>
      </c>
      <c r="Z1908" t="s">
        <v>158</v>
      </c>
    </row>
    <row r="1909" spans="1:26" ht="15" customHeight="1">
      <c r="A1909" s="60">
        <f>ROW() - ROW(Table1[[#Headers],[s]])</f>
        <v>1908</v>
      </c>
      <c r="B1909" t="s">
        <v>7718</v>
      </c>
      <c r="D1909" s="243" t="s">
        <v>7719</v>
      </c>
      <c r="E1909" s="24" t="s">
        <v>7720</v>
      </c>
      <c r="F1909" s="5" t="e" vm="2">
        <v>#VALUE!</v>
      </c>
      <c r="G1909" s="174" t="s">
        <v>174</v>
      </c>
      <c r="H1909" s="18" t="s">
        <v>245</v>
      </c>
      <c r="I1909" s="18"/>
      <c r="J1909" s="18" t="s">
        <v>253</v>
      </c>
      <c r="K1909" s="20"/>
      <c r="L1909" s="20">
        <v>46281.745138888888</v>
      </c>
      <c r="M1909" s="18" t="s">
        <v>7721</v>
      </c>
      <c r="N1909" s="18" t="s">
        <v>7712</v>
      </c>
      <c r="O1909" s="3">
        <v>46281.833333333336</v>
      </c>
      <c r="P1909" s="22">
        <v>46282.5</v>
      </c>
      <c r="Q1909" s="22">
        <v>46282.579861111109</v>
      </c>
      <c r="S1909" s="21" t="s">
        <v>7705</v>
      </c>
      <c r="U1909" s="21"/>
      <c r="V1909" s="21" t="s">
        <v>299</v>
      </c>
      <c r="Y1909" t="s">
        <v>70</v>
      </c>
      <c r="Z1909" t="s">
        <v>158</v>
      </c>
    </row>
    <row r="1910" spans="1:26" ht="15" hidden="1" customHeight="1">
      <c r="A1910" s="60">
        <f>ROW() - ROW(Table1[[#Headers],[s]])</f>
        <v>1909</v>
      </c>
      <c r="F1910" s="5"/>
      <c r="H1910" s="18"/>
      <c r="I1910" s="18"/>
      <c r="K1910" s="20"/>
      <c r="N1910" s="18"/>
      <c r="O1910" s="3"/>
      <c r="P1910" s="22"/>
      <c r="U1910" s="21"/>
    </row>
    <row r="1911" spans="1:26" ht="15" hidden="1" customHeight="1">
      <c r="A1911" s="60">
        <f>ROW() - ROW(Table1[[#Headers],[s]])</f>
        <v>1910</v>
      </c>
      <c r="F1911" s="5"/>
      <c r="H1911" s="18"/>
      <c r="I1911" s="18"/>
      <c r="K1911" s="20"/>
      <c r="N1911" s="18"/>
      <c r="O1911" s="3"/>
      <c r="P1911" s="22"/>
      <c r="U1911" s="21"/>
    </row>
    <row r="1912" spans="1:26" ht="15" hidden="1" customHeight="1">
      <c r="A1912" s="60">
        <f>ROW() - ROW(Table1[[#Headers],[s]])</f>
        <v>1911</v>
      </c>
      <c r="F1912" s="5"/>
      <c r="H1912" s="18"/>
      <c r="I1912" s="18"/>
      <c r="K1912" s="20"/>
      <c r="N1912" s="18"/>
      <c r="O1912" s="3"/>
      <c r="P1912" s="22"/>
      <c r="U1912" s="21"/>
    </row>
    <row r="1913" spans="1:26" ht="15" hidden="1" customHeight="1">
      <c r="A1913" s="60">
        <f>ROW() - ROW(Table1[[#Headers],[s]])</f>
        <v>1912</v>
      </c>
      <c r="F1913" s="5"/>
      <c r="H1913" s="18"/>
      <c r="I1913" s="18"/>
      <c r="K1913" s="20"/>
      <c r="N1913" s="18"/>
      <c r="O1913" s="3"/>
      <c r="P1913" s="22"/>
      <c r="U1913" s="21"/>
    </row>
    <row r="1914" spans="1:26" ht="15" hidden="1" customHeight="1">
      <c r="A1914" s="60">
        <f>ROW() - ROW(Table1[[#Headers],[s]])</f>
        <v>1913</v>
      </c>
      <c r="F1914" s="5"/>
      <c r="H1914" s="18"/>
      <c r="I1914" s="18"/>
      <c r="K1914" s="20"/>
      <c r="N1914" s="18"/>
      <c r="O1914" s="3"/>
      <c r="P1914" s="22"/>
      <c r="U1914" s="21"/>
    </row>
    <row r="1915" spans="1:26" ht="15" hidden="1" customHeight="1">
      <c r="A1915" s="60">
        <f>ROW() - ROW(Table1[[#Headers],[s]])</f>
        <v>1914</v>
      </c>
      <c r="F1915" s="5"/>
      <c r="H1915" s="18"/>
      <c r="I1915" s="18"/>
      <c r="K1915" s="20"/>
      <c r="N1915" s="18"/>
      <c r="O1915" s="3"/>
      <c r="P1915" s="22"/>
      <c r="U1915" s="21"/>
    </row>
    <row r="1916" spans="1:26" ht="15" hidden="1" customHeight="1">
      <c r="A1916" s="60">
        <f>ROW() - ROW(Table1[[#Headers],[s]])</f>
        <v>1915</v>
      </c>
      <c r="F1916" s="5"/>
      <c r="H1916" s="18"/>
      <c r="I1916" s="18"/>
      <c r="K1916" s="20"/>
      <c r="N1916" s="18"/>
      <c r="O1916" s="3"/>
      <c r="P1916" s="22"/>
      <c r="U1916" s="21"/>
    </row>
    <row r="1917" spans="1:26" ht="15" hidden="1" customHeight="1">
      <c r="A1917" s="60">
        <f>ROW() - ROW(Table1[[#Headers],[s]])</f>
        <v>1916</v>
      </c>
      <c r="F1917" s="5"/>
      <c r="H1917" s="18"/>
      <c r="I1917" s="18"/>
      <c r="K1917" s="20"/>
      <c r="N1917" s="18"/>
      <c r="O1917" s="3"/>
      <c r="P1917" s="22"/>
      <c r="U1917" s="21"/>
    </row>
    <row r="1918" spans="1:26" ht="15" hidden="1" customHeight="1">
      <c r="A1918" s="60">
        <f>ROW() - ROW(Table1[[#Headers],[s]])</f>
        <v>1917</v>
      </c>
      <c r="F1918" s="5"/>
      <c r="H1918" s="18"/>
      <c r="I1918" s="18"/>
      <c r="K1918" s="20"/>
      <c r="N1918" s="18"/>
      <c r="O1918" s="3"/>
      <c r="P1918" s="22"/>
      <c r="U1918" s="21"/>
    </row>
    <row r="1919" spans="1:26" ht="15" customHeight="1">
      <c r="F1919" s="5"/>
      <c r="G1919"/>
      <c r="H1919" s="18"/>
      <c r="J1919"/>
      <c r="K1919" s="20"/>
      <c r="L1919" s="18"/>
      <c r="M1919"/>
      <c r="N1919" s="5"/>
      <c r="O1919"/>
      <c r="P1919" s="22"/>
      <c r="Q1919"/>
      <c r="T1919"/>
      <c r="U1919" s="21"/>
    </row>
    <row r="1920" spans="1:26" ht="15" customHeight="1">
      <c r="F1920" s="5"/>
      <c r="G1920"/>
      <c r="H1920" s="18"/>
      <c r="J1920"/>
      <c r="K1920" s="20"/>
      <c r="L1920" s="18"/>
      <c r="M1920"/>
      <c r="N1920" s="5"/>
      <c r="O1920"/>
      <c r="P1920" s="22"/>
      <c r="Q1920"/>
      <c r="T1920"/>
      <c r="U1920" s="21"/>
    </row>
    <row r="1921" spans="6:21" ht="15" customHeight="1">
      <c r="F1921" s="5"/>
      <c r="G1921"/>
      <c r="H1921" s="18"/>
      <c r="J1921"/>
      <c r="K1921" s="20"/>
      <c r="L1921" s="18"/>
      <c r="M1921"/>
      <c r="N1921" s="5"/>
      <c r="O1921"/>
      <c r="P1921" s="22"/>
      <c r="Q1921"/>
      <c r="T1921"/>
      <c r="U1921" s="21"/>
    </row>
    <row r="1922" spans="6:21" ht="15" customHeight="1">
      <c r="F1922" s="5"/>
      <c r="G1922"/>
      <c r="H1922" s="18"/>
      <c r="J1922"/>
      <c r="K1922" s="20"/>
      <c r="L1922" s="18"/>
      <c r="M1922"/>
      <c r="N1922" s="5"/>
      <c r="O1922"/>
      <c r="P1922" s="22"/>
      <c r="Q1922"/>
      <c r="T1922"/>
      <c r="U1922" s="21"/>
    </row>
    <row r="1923" spans="6:21" ht="15" customHeight="1">
      <c r="F1923" s="5"/>
      <c r="G1923"/>
      <c r="H1923" s="18"/>
      <c r="J1923"/>
      <c r="K1923" s="20"/>
      <c r="L1923" s="18"/>
      <c r="M1923"/>
      <c r="N1923" s="5"/>
      <c r="O1923"/>
      <c r="P1923" s="22"/>
      <c r="Q1923"/>
      <c r="T1923"/>
      <c r="U1923" s="21"/>
    </row>
    <row r="1924" spans="6:21" ht="15" customHeight="1">
      <c r="F1924" s="5"/>
      <c r="G1924"/>
      <c r="H1924" s="18"/>
      <c r="J1924"/>
      <c r="K1924" s="20"/>
      <c r="L1924" s="18"/>
      <c r="M1924"/>
      <c r="N1924" s="5"/>
      <c r="O1924"/>
      <c r="P1924" s="22"/>
      <c r="Q1924"/>
      <c r="T1924"/>
      <c r="U1924" s="21"/>
    </row>
    <row r="1925" spans="6:21" ht="15" customHeight="1">
      <c r="F1925" s="5"/>
      <c r="G1925"/>
      <c r="H1925" s="18"/>
      <c r="J1925"/>
      <c r="K1925" s="20"/>
      <c r="L1925" s="18"/>
      <c r="M1925"/>
      <c r="N1925" s="5"/>
      <c r="O1925"/>
      <c r="P1925" s="22"/>
      <c r="Q1925"/>
      <c r="T1925"/>
      <c r="U1925" s="21"/>
    </row>
    <row r="1926" spans="6:21" ht="15" customHeight="1">
      <c r="F1926" s="5"/>
      <c r="G1926"/>
      <c r="H1926" s="18"/>
      <c r="J1926"/>
      <c r="K1926" s="20"/>
      <c r="L1926" s="18"/>
      <c r="M1926"/>
      <c r="N1926" s="5"/>
      <c r="O1926"/>
      <c r="P1926" s="22"/>
      <c r="Q1926"/>
      <c r="T1926"/>
      <c r="U1926" s="21"/>
    </row>
    <row r="1927" spans="6:21" ht="15" customHeight="1">
      <c r="F1927" s="5"/>
      <c r="G1927"/>
      <c r="H1927" s="18"/>
      <c r="J1927"/>
      <c r="K1927" s="20"/>
      <c r="L1927" s="18"/>
      <c r="M1927"/>
      <c r="N1927" s="5"/>
      <c r="O1927"/>
      <c r="P1927" s="22"/>
      <c r="Q1927"/>
      <c r="T1927"/>
      <c r="U1927" s="21"/>
    </row>
    <row r="1928" spans="6:21" ht="15" customHeight="1">
      <c r="F1928" s="5"/>
      <c r="G1928"/>
      <c r="H1928" s="18"/>
      <c r="J1928"/>
      <c r="K1928" s="20"/>
      <c r="L1928" s="18"/>
      <c r="M1928"/>
      <c r="N1928" s="5"/>
      <c r="O1928"/>
      <c r="P1928" s="22"/>
      <c r="Q1928"/>
      <c r="T1928"/>
      <c r="U1928" s="21"/>
    </row>
    <row r="1929" spans="6:21" ht="15" customHeight="1">
      <c r="F1929" s="5"/>
      <c r="G1929"/>
      <c r="H1929" s="18"/>
      <c r="J1929"/>
      <c r="K1929" s="20"/>
      <c r="L1929" s="18"/>
      <c r="M1929"/>
      <c r="N1929" s="5"/>
      <c r="O1929"/>
      <c r="P1929" s="22"/>
      <c r="Q1929"/>
      <c r="T1929"/>
      <c r="U1929" s="21"/>
    </row>
    <row r="1930" spans="6:21" ht="15" customHeight="1">
      <c r="F1930" s="5"/>
      <c r="G1930"/>
      <c r="H1930" s="18"/>
      <c r="J1930"/>
      <c r="K1930" s="20"/>
      <c r="L1930" s="18"/>
      <c r="M1930"/>
      <c r="N1930" s="5"/>
      <c r="O1930"/>
      <c r="P1930" s="22"/>
      <c r="Q1930"/>
      <c r="T1930"/>
      <c r="U1930" s="21"/>
    </row>
    <row r="1931" spans="6:21" ht="15" customHeight="1">
      <c r="F1931" s="5"/>
      <c r="G1931"/>
      <c r="H1931" s="18"/>
      <c r="J1931"/>
      <c r="K1931" s="20"/>
      <c r="L1931" s="18"/>
      <c r="M1931"/>
      <c r="N1931" s="5"/>
      <c r="O1931"/>
      <c r="P1931" s="22"/>
      <c r="Q1931"/>
      <c r="T1931"/>
      <c r="U1931" s="21"/>
    </row>
    <row r="1932" spans="6:21" ht="15" customHeight="1">
      <c r="F1932" s="5"/>
      <c r="G1932"/>
      <c r="H1932" s="18"/>
      <c r="J1932"/>
      <c r="K1932" s="20"/>
      <c r="L1932" s="18"/>
      <c r="M1932"/>
      <c r="N1932" s="5"/>
      <c r="O1932"/>
      <c r="P1932" s="22"/>
      <c r="Q1932"/>
      <c r="T1932"/>
      <c r="U1932" s="21"/>
    </row>
    <row r="1933" spans="6:21" ht="15" customHeight="1">
      <c r="F1933" s="5"/>
      <c r="G1933"/>
      <c r="H1933" s="18"/>
      <c r="J1933"/>
      <c r="K1933" s="20"/>
      <c r="L1933" s="18"/>
      <c r="M1933"/>
      <c r="N1933" s="5"/>
      <c r="O1933"/>
      <c r="P1933" s="22"/>
      <c r="Q1933"/>
      <c r="T1933"/>
      <c r="U1933" s="21"/>
    </row>
    <row r="1934" spans="6:21" ht="15" customHeight="1">
      <c r="F1934" s="5"/>
      <c r="G1934"/>
      <c r="H1934" s="18"/>
      <c r="J1934"/>
      <c r="K1934" s="20"/>
      <c r="L1934" s="18"/>
      <c r="M1934"/>
      <c r="N1934" s="5"/>
      <c r="O1934"/>
      <c r="P1934" s="22"/>
      <c r="Q1934"/>
      <c r="T1934"/>
      <c r="U1934" s="21"/>
    </row>
    <row r="1935" spans="6:21" ht="15" customHeight="1">
      <c r="F1935" s="5"/>
      <c r="G1935"/>
      <c r="H1935" s="18"/>
      <c r="J1935"/>
      <c r="K1935" s="20"/>
      <c r="L1935" s="18"/>
      <c r="M1935"/>
      <c r="N1935" s="5"/>
      <c r="O1935"/>
      <c r="P1935" s="22"/>
      <c r="Q1935"/>
      <c r="T1935"/>
      <c r="U1935" s="21"/>
    </row>
    <row r="1936" spans="6:21" ht="15" customHeight="1">
      <c r="F1936" s="5"/>
      <c r="G1936"/>
      <c r="H1936" s="18"/>
      <c r="J1936"/>
      <c r="K1936" s="20"/>
      <c r="L1936" s="18"/>
      <c r="M1936"/>
      <c r="N1936" s="5"/>
      <c r="O1936"/>
      <c r="P1936" s="22"/>
      <c r="Q1936"/>
      <c r="T1936"/>
      <c r="U1936" s="21"/>
    </row>
    <row r="1937" spans="6:21" ht="15" customHeight="1">
      <c r="F1937" s="5"/>
      <c r="G1937"/>
      <c r="H1937" s="18"/>
      <c r="J1937"/>
      <c r="K1937" s="20"/>
      <c r="L1937" s="18"/>
      <c r="M1937"/>
      <c r="N1937" s="5"/>
      <c r="O1937"/>
      <c r="P1937" s="22"/>
      <c r="Q1937"/>
      <c r="T1937"/>
      <c r="U1937" s="21"/>
    </row>
    <row r="1938" spans="6:21" ht="15" customHeight="1">
      <c r="F1938" s="5"/>
      <c r="G1938"/>
      <c r="H1938" s="18"/>
      <c r="J1938"/>
      <c r="K1938" s="20"/>
      <c r="L1938" s="18"/>
      <c r="M1938"/>
      <c r="N1938" s="5"/>
      <c r="O1938"/>
      <c r="P1938" s="22"/>
      <c r="Q1938"/>
      <c r="T1938"/>
      <c r="U1938" s="21"/>
    </row>
    <row r="1939" spans="6:21" ht="15" customHeight="1">
      <c r="F1939" s="5"/>
      <c r="G1939"/>
      <c r="H1939" s="18"/>
      <c r="J1939"/>
      <c r="K1939" s="20"/>
      <c r="L1939" s="18"/>
      <c r="M1939"/>
      <c r="N1939" s="5"/>
      <c r="O1939"/>
      <c r="P1939" s="22"/>
      <c r="Q1939"/>
      <c r="T1939"/>
      <c r="U1939" s="21"/>
    </row>
    <row r="1940" spans="6:21" ht="15" customHeight="1">
      <c r="F1940" s="5"/>
      <c r="G1940"/>
      <c r="H1940" s="18"/>
      <c r="J1940"/>
      <c r="K1940" s="20"/>
      <c r="L1940" s="18"/>
      <c r="M1940"/>
      <c r="N1940" s="5"/>
      <c r="O1940"/>
      <c r="P1940" s="22"/>
      <c r="Q1940"/>
      <c r="T1940"/>
      <c r="U1940" s="21"/>
    </row>
    <row r="1941" spans="6:21" ht="15" customHeight="1">
      <c r="F1941" s="5"/>
      <c r="G1941"/>
      <c r="H1941" s="18"/>
      <c r="J1941"/>
      <c r="K1941" s="20"/>
      <c r="L1941" s="18"/>
      <c r="M1941"/>
      <c r="N1941" s="5"/>
      <c r="O1941"/>
      <c r="P1941" s="22"/>
      <c r="Q1941"/>
      <c r="T1941"/>
      <c r="U1941" s="21"/>
    </row>
    <row r="1942" spans="6:21" ht="15" customHeight="1">
      <c r="F1942" s="5"/>
      <c r="G1942"/>
      <c r="H1942" s="18"/>
      <c r="J1942"/>
      <c r="K1942" s="20"/>
      <c r="L1942" s="18"/>
      <c r="M1942"/>
      <c r="N1942" s="5"/>
      <c r="O1942"/>
      <c r="P1942" s="22"/>
      <c r="Q1942"/>
      <c r="T1942"/>
      <c r="U1942" s="21"/>
    </row>
    <row r="1943" spans="6:21" ht="15" customHeight="1">
      <c r="F1943" s="5"/>
      <c r="G1943"/>
      <c r="H1943" s="18"/>
      <c r="J1943"/>
      <c r="K1943" s="20"/>
      <c r="L1943" s="18"/>
      <c r="M1943"/>
      <c r="N1943" s="5"/>
      <c r="O1943"/>
      <c r="P1943" s="22"/>
      <c r="Q1943"/>
      <c r="T1943"/>
      <c r="U1943" s="21"/>
    </row>
    <row r="1944" spans="6:21" ht="15" customHeight="1">
      <c r="F1944" s="5"/>
      <c r="G1944"/>
      <c r="H1944" s="18"/>
      <c r="J1944"/>
      <c r="K1944" s="20"/>
      <c r="L1944" s="18"/>
      <c r="M1944"/>
      <c r="N1944" s="5"/>
      <c r="O1944"/>
      <c r="P1944" s="22"/>
      <c r="Q1944"/>
      <c r="T1944"/>
      <c r="U1944" s="21"/>
    </row>
    <row r="1945" spans="6:21" ht="15" customHeight="1">
      <c r="F1945" s="5"/>
      <c r="G1945"/>
      <c r="H1945" s="18"/>
      <c r="J1945"/>
      <c r="K1945" s="20"/>
      <c r="L1945" s="18"/>
      <c r="M1945"/>
      <c r="N1945" s="5"/>
      <c r="O1945"/>
      <c r="P1945" s="22"/>
      <c r="Q1945"/>
      <c r="T1945"/>
      <c r="U1945" s="21"/>
    </row>
    <row r="1946" spans="6:21" ht="15" customHeight="1">
      <c r="F1946" s="5"/>
      <c r="G1946"/>
      <c r="H1946" s="18"/>
      <c r="J1946"/>
      <c r="K1946" s="20"/>
      <c r="L1946" s="18"/>
      <c r="M1946"/>
      <c r="N1946" s="5"/>
      <c r="O1946"/>
      <c r="P1946" s="22"/>
      <c r="Q1946"/>
      <c r="T1946"/>
      <c r="U1946" s="21"/>
    </row>
    <row r="1947" spans="6:21" ht="15" customHeight="1">
      <c r="F1947" s="5"/>
      <c r="G1947"/>
      <c r="H1947" s="18"/>
      <c r="J1947"/>
      <c r="K1947" s="20"/>
      <c r="L1947" s="18"/>
      <c r="M1947"/>
      <c r="N1947" s="5"/>
      <c r="O1947"/>
      <c r="P1947" s="22"/>
      <c r="Q1947"/>
      <c r="T1947"/>
      <c r="U1947" s="21"/>
    </row>
    <row r="1948" spans="6:21" ht="15" customHeight="1">
      <c r="F1948" s="5"/>
      <c r="G1948"/>
      <c r="H1948" s="18"/>
      <c r="J1948"/>
      <c r="K1948" s="20"/>
      <c r="L1948" s="18"/>
      <c r="M1948"/>
      <c r="N1948" s="5"/>
      <c r="O1948"/>
      <c r="P1948" s="22"/>
      <c r="Q1948"/>
      <c r="T1948"/>
      <c r="U1948" s="21"/>
    </row>
    <row r="1949" spans="6:21" ht="15" customHeight="1">
      <c r="F1949" s="5"/>
      <c r="G1949"/>
      <c r="H1949" s="18"/>
      <c r="J1949"/>
      <c r="K1949" s="20"/>
      <c r="L1949" s="18"/>
      <c r="M1949"/>
      <c r="N1949" s="5"/>
      <c r="O1949"/>
      <c r="P1949" s="22"/>
      <c r="Q1949"/>
      <c r="T1949"/>
      <c r="U1949" s="21"/>
    </row>
    <row r="1950" spans="6:21" ht="15" customHeight="1">
      <c r="F1950" s="5"/>
      <c r="G1950"/>
      <c r="H1950" s="18"/>
      <c r="J1950"/>
      <c r="K1950" s="20"/>
      <c r="L1950" s="18"/>
      <c r="M1950"/>
      <c r="N1950" s="5"/>
      <c r="O1950"/>
      <c r="P1950" s="22"/>
      <c r="Q1950"/>
      <c r="T1950"/>
      <c r="U1950" s="21"/>
    </row>
    <row r="1951" spans="6:21" ht="15" customHeight="1">
      <c r="F1951" s="5"/>
      <c r="G1951"/>
      <c r="H1951" s="18"/>
      <c r="J1951"/>
      <c r="K1951" s="20"/>
      <c r="L1951" s="18"/>
      <c r="M1951"/>
      <c r="N1951" s="5"/>
      <c r="O1951"/>
      <c r="P1951" s="22"/>
      <c r="Q1951"/>
      <c r="T1951"/>
      <c r="U1951" s="21"/>
    </row>
    <row r="1952" spans="6:21" ht="15" customHeight="1">
      <c r="F1952" s="5"/>
      <c r="G1952"/>
      <c r="H1952" s="18"/>
      <c r="J1952"/>
      <c r="K1952" s="20"/>
      <c r="L1952" s="18"/>
      <c r="M1952"/>
      <c r="N1952" s="5"/>
      <c r="O1952"/>
      <c r="P1952" s="22"/>
      <c r="Q1952"/>
      <c r="T1952"/>
      <c r="U1952" s="21"/>
    </row>
    <row r="1953" spans="6:21" ht="15" customHeight="1">
      <c r="F1953" s="5"/>
      <c r="G1953"/>
      <c r="H1953" s="18"/>
      <c r="J1953"/>
      <c r="K1953" s="20"/>
      <c r="L1953" s="18"/>
      <c r="M1953"/>
      <c r="N1953" s="5"/>
      <c r="O1953"/>
      <c r="P1953" s="22"/>
      <c r="Q1953"/>
      <c r="T1953"/>
      <c r="U1953" s="21"/>
    </row>
    <row r="1954" spans="6:21" ht="15" customHeight="1">
      <c r="F1954" s="5"/>
      <c r="G1954"/>
      <c r="H1954" s="18"/>
      <c r="J1954"/>
      <c r="K1954" s="20"/>
      <c r="L1954" s="18"/>
      <c r="M1954"/>
      <c r="N1954" s="5"/>
      <c r="O1954"/>
      <c r="P1954" s="22"/>
      <c r="Q1954"/>
      <c r="T1954"/>
      <c r="U1954" s="21"/>
    </row>
    <row r="1955" spans="6:21" ht="15" customHeight="1">
      <c r="F1955" s="5"/>
      <c r="G1955"/>
      <c r="H1955" s="18"/>
      <c r="J1955"/>
      <c r="K1955" s="20"/>
      <c r="L1955" s="18"/>
      <c r="M1955"/>
      <c r="N1955" s="5"/>
      <c r="O1955"/>
      <c r="P1955" s="22"/>
      <c r="Q1955"/>
      <c r="T1955"/>
      <c r="U1955" s="21"/>
    </row>
    <row r="1956" spans="6:21" ht="15" customHeight="1">
      <c r="F1956" s="5"/>
      <c r="G1956"/>
      <c r="H1956" s="18"/>
      <c r="J1956"/>
      <c r="K1956" s="20"/>
      <c r="L1956" s="18"/>
      <c r="M1956"/>
      <c r="N1956" s="5"/>
      <c r="O1956"/>
      <c r="P1956" s="22"/>
      <c r="Q1956"/>
      <c r="T1956"/>
      <c r="U1956" s="21"/>
    </row>
    <row r="1957" spans="6:21" ht="15" customHeight="1">
      <c r="F1957" s="5"/>
      <c r="G1957"/>
      <c r="H1957" s="18"/>
      <c r="J1957"/>
      <c r="K1957" s="20"/>
      <c r="L1957" s="18"/>
      <c r="M1957"/>
      <c r="N1957" s="5"/>
      <c r="O1957"/>
      <c r="P1957" s="22"/>
      <c r="Q1957"/>
      <c r="T1957"/>
      <c r="U1957" s="21"/>
    </row>
    <row r="1958" spans="6:21" ht="15" customHeight="1">
      <c r="F1958" s="5"/>
      <c r="G1958"/>
      <c r="H1958" s="18"/>
      <c r="J1958"/>
      <c r="K1958" s="20"/>
      <c r="L1958" s="18"/>
      <c r="M1958"/>
      <c r="N1958" s="5"/>
      <c r="O1958"/>
      <c r="P1958" s="22"/>
      <c r="Q1958"/>
      <c r="T1958"/>
      <c r="U1958" s="21"/>
    </row>
    <row r="1959" spans="6:21" ht="15" customHeight="1">
      <c r="F1959" s="5"/>
      <c r="G1959"/>
      <c r="H1959" s="18"/>
      <c r="J1959"/>
      <c r="K1959" s="20"/>
      <c r="L1959" s="18"/>
      <c r="M1959"/>
      <c r="N1959" s="5"/>
      <c r="O1959"/>
      <c r="P1959" s="22"/>
      <c r="Q1959"/>
      <c r="T1959"/>
      <c r="U1959" s="21"/>
    </row>
    <row r="1960" spans="6:21" ht="15" customHeight="1">
      <c r="F1960" s="5"/>
      <c r="G1960"/>
      <c r="H1960" s="18"/>
      <c r="J1960"/>
      <c r="K1960" s="20"/>
      <c r="L1960" s="18"/>
      <c r="M1960"/>
      <c r="N1960" s="5"/>
      <c r="O1960"/>
      <c r="P1960" s="22"/>
      <c r="Q1960"/>
      <c r="T1960"/>
      <c r="U1960" s="21"/>
    </row>
    <row r="1961" spans="6:21" ht="15" customHeight="1">
      <c r="F1961" s="5"/>
      <c r="G1961"/>
      <c r="H1961" s="18"/>
      <c r="J1961"/>
      <c r="K1961" s="20"/>
      <c r="L1961" s="18"/>
      <c r="M1961"/>
      <c r="N1961" s="5"/>
      <c r="O1961"/>
      <c r="P1961" s="22"/>
      <c r="Q1961"/>
      <c r="T1961"/>
      <c r="U1961" s="21"/>
    </row>
    <row r="1962" spans="6:21" ht="15" customHeight="1">
      <c r="F1962" s="5"/>
      <c r="G1962"/>
      <c r="H1962" s="18"/>
      <c r="J1962"/>
      <c r="K1962" s="20"/>
      <c r="L1962" s="18"/>
      <c r="M1962"/>
      <c r="N1962" s="5"/>
      <c r="O1962"/>
      <c r="P1962" s="22"/>
      <c r="Q1962"/>
      <c r="T1962"/>
      <c r="U1962" s="21"/>
    </row>
    <row r="1963" spans="6:21" ht="15" customHeight="1">
      <c r="F1963" s="5"/>
      <c r="G1963"/>
      <c r="H1963" s="18"/>
      <c r="J1963"/>
      <c r="K1963" s="20"/>
      <c r="L1963" s="18"/>
      <c r="M1963"/>
      <c r="N1963" s="5"/>
      <c r="O1963"/>
      <c r="P1963" s="22"/>
      <c r="Q1963"/>
      <c r="T1963"/>
      <c r="U1963" s="21"/>
    </row>
    <row r="1964" spans="6:21" ht="15" customHeight="1">
      <c r="F1964" s="5"/>
      <c r="G1964"/>
      <c r="H1964" s="18"/>
      <c r="J1964"/>
      <c r="K1964" s="20"/>
      <c r="L1964" s="18"/>
      <c r="M1964"/>
      <c r="N1964" s="5"/>
      <c r="O1964"/>
      <c r="P1964" s="22"/>
      <c r="Q1964"/>
      <c r="T1964"/>
      <c r="U1964" s="21"/>
    </row>
    <row r="1965" spans="6:21" ht="15" customHeight="1">
      <c r="F1965" s="5"/>
      <c r="G1965"/>
      <c r="H1965" s="18"/>
      <c r="J1965"/>
      <c r="K1965" s="20"/>
      <c r="L1965" s="18"/>
      <c r="M1965"/>
      <c r="N1965" s="5"/>
      <c r="O1965"/>
      <c r="P1965" s="22"/>
      <c r="Q1965"/>
      <c r="T1965"/>
      <c r="U1965" s="21"/>
    </row>
    <row r="1966" spans="6:21" ht="15" customHeight="1">
      <c r="F1966" s="5"/>
      <c r="G1966"/>
      <c r="H1966" s="18"/>
      <c r="J1966"/>
      <c r="K1966" s="20"/>
      <c r="L1966" s="18"/>
      <c r="M1966"/>
      <c r="N1966" s="5"/>
      <c r="O1966"/>
      <c r="P1966" s="22"/>
      <c r="Q1966"/>
      <c r="T1966"/>
      <c r="U1966" s="21"/>
    </row>
    <row r="1967" spans="6:21" ht="15" customHeight="1">
      <c r="F1967" s="5"/>
      <c r="G1967"/>
      <c r="H1967" s="18"/>
      <c r="J1967"/>
      <c r="K1967" s="20"/>
      <c r="L1967" s="18"/>
      <c r="M1967"/>
      <c r="N1967" s="5"/>
      <c r="O1967"/>
      <c r="P1967" s="22"/>
      <c r="Q1967"/>
      <c r="T1967"/>
      <c r="U1967" s="21"/>
    </row>
    <row r="1968" spans="6:21" ht="15" customHeight="1">
      <c r="F1968" s="5"/>
      <c r="G1968"/>
      <c r="H1968" s="18"/>
      <c r="J1968"/>
      <c r="K1968" s="20"/>
      <c r="L1968" s="18"/>
      <c r="M1968"/>
      <c r="N1968" s="5"/>
      <c r="O1968"/>
      <c r="P1968" s="22"/>
      <c r="Q1968"/>
      <c r="T1968"/>
      <c r="U1968" s="21"/>
    </row>
    <row r="1969" spans="6:21" ht="15" customHeight="1">
      <c r="F1969" s="5"/>
      <c r="G1969"/>
      <c r="H1969" s="18"/>
      <c r="J1969"/>
      <c r="K1969" s="20"/>
      <c r="L1969" s="18"/>
      <c r="M1969"/>
      <c r="N1969" s="5"/>
      <c r="O1969"/>
      <c r="P1969" s="22"/>
      <c r="Q1969"/>
      <c r="T1969"/>
      <c r="U1969" s="21"/>
    </row>
    <row r="1970" spans="6:21" ht="15" customHeight="1">
      <c r="F1970" s="5"/>
      <c r="G1970"/>
      <c r="H1970" s="18"/>
      <c r="J1970"/>
      <c r="K1970" s="20"/>
      <c r="L1970" s="18"/>
      <c r="M1970"/>
      <c r="N1970" s="5"/>
      <c r="O1970"/>
      <c r="P1970" s="22"/>
      <c r="Q1970"/>
      <c r="T1970"/>
      <c r="U1970" s="21"/>
    </row>
    <row r="1971" spans="6:21" ht="15" customHeight="1">
      <c r="F1971" s="5"/>
      <c r="G1971"/>
      <c r="H1971" s="18"/>
      <c r="J1971"/>
      <c r="K1971" s="20"/>
      <c r="L1971" s="18"/>
      <c r="M1971"/>
      <c r="N1971" s="5"/>
      <c r="O1971"/>
      <c r="P1971" s="22"/>
      <c r="Q1971"/>
      <c r="T1971"/>
      <c r="U1971" s="21"/>
    </row>
    <row r="1972" spans="6:21" ht="15" customHeight="1">
      <c r="F1972" s="5"/>
      <c r="G1972"/>
      <c r="H1972" s="18"/>
      <c r="J1972"/>
      <c r="K1972" s="20"/>
      <c r="L1972" s="18"/>
      <c r="M1972"/>
      <c r="N1972" s="5"/>
      <c r="O1972"/>
      <c r="P1972" s="22"/>
      <c r="Q1972"/>
      <c r="T1972"/>
      <c r="U1972" s="21"/>
    </row>
    <row r="1973" spans="6:21" ht="15" customHeight="1">
      <c r="F1973" s="5"/>
      <c r="G1973"/>
      <c r="H1973" s="18"/>
      <c r="J1973"/>
      <c r="K1973" s="20"/>
      <c r="L1973" s="18"/>
      <c r="M1973"/>
      <c r="N1973" s="5"/>
      <c r="O1973"/>
      <c r="P1973" s="22"/>
      <c r="Q1973"/>
      <c r="T1973"/>
      <c r="U1973" s="21"/>
    </row>
    <row r="1974" spans="6:21" ht="15" customHeight="1">
      <c r="F1974" s="5"/>
      <c r="G1974"/>
      <c r="H1974" s="18"/>
      <c r="J1974"/>
      <c r="K1974" s="20"/>
      <c r="L1974" s="18"/>
      <c r="M1974"/>
      <c r="N1974" s="5"/>
      <c r="O1974"/>
      <c r="P1974" s="22"/>
      <c r="Q1974"/>
      <c r="T1974"/>
      <c r="U1974" s="21"/>
    </row>
    <row r="1975" spans="6:21" ht="15" customHeight="1">
      <c r="F1975" s="5"/>
      <c r="G1975"/>
      <c r="H1975" s="18"/>
      <c r="J1975"/>
      <c r="K1975" s="20"/>
      <c r="L1975" s="18"/>
      <c r="M1975"/>
      <c r="N1975" s="5"/>
      <c r="O1975"/>
      <c r="P1975" s="22"/>
      <c r="Q1975"/>
      <c r="T1975"/>
      <c r="U1975" s="21"/>
    </row>
    <row r="1976" spans="6:21" ht="15" customHeight="1">
      <c r="F1976" s="5"/>
      <c r="G1976"/>
      <c r="H1976" s="18"/>
      <c r="J1976"/>
      <c r="K1976" s="20"/>
      <c r="L1976" s="18"/>
      <c r="M1976"/>
      <c r="N1976" s="5"/>
      <c r="O1976"/>
      <c r="P1976" s="22"/>
      <c r="Q1976"/>
      <c r="T1976"/>
      <c r="U1976" s="21"/>
    </row>
    <row r="1977" spans="6:21" ht="15" customHeight="1">
      <c r="F1977" s="5"/>
      <c r="G1977"/>
      <c r="H1977" s="18"/>
      <c r="J1977"/>
      <c r="K1977" s="20"/>
      <c r="L1977" s="18"/>
      <c r="M1977"/>
      <c r="N1977" s="5"/>
      <c r="O1977"/>
      <c r="P1977" s="22"/>
      <c r="Q1977"/>
      <c r="T1977"/>
      <c r="U1977" s="21"/>
    </row>
    <row r="1978" spans="6:21" ht="15" customHeight="1">
      <c r="F1978" s="5"/>
      <c r="G1978"/>
      <c r="H1978" s="18"/>
      <c r="J1978"/>
      <c r="K1978" s="20"/>
      <c r="L1978" s="18"/>
      <c r="M1978"/>
      <c r="N1978" s="5"/>
      <c r="O1978"/>
      <c r="P1978" s="22"/>
      <c r="Q1978"/>
      <c r="T1978"/>
      <c r="U1978" s="21"/>
    </row>
    <row r="1979" spans="6:21" ht="15" customHeight="1">
      <c r="F1979" s="5"/>
      <c r="G1979"/>
      <c r="H1979" s="18"/>
      <c r="J1979"/>
      <c r="K1979" s="20"/>
      <c r="L1979" s="18"/>
      <c r="M1979"/>
      <c r="N1979" s="5"/>
      <c r="O1979"/>
      <c r="P1979" s="22"/>
      <c r="Q1979"/>
      <c r="T1979"/>
      <c r="U1979" s="21"/>
    </row>
    <row r="1980" spans="6:21" ht="15" customHeight="1">
      <c r="F1980" s="5"/>
      <c r="G1980"/>
      <c r="H1980" s="18"/>
      <c r="J1980"/>
      <c r="K1980" s="20"/>
      <c r="L1980" s="18"/>
      <c r="M1980"/>
      <c r="N1980" s="5"/>
      <c r="O1980"/>
      <c r="P1980" s="22"/>
      <c r="Q1980"/>
      <c r="T1980"/>
      <c r="U1980" s="21"/>
    </row>
    <row r="1981" spans="6:21" ht="15" customHeight="1">
      <c r="F1981" s="5"/>
      <c r="G1981"/>
      <c r="H1981" s="18"/>
      <c r="J1981"/>
      <c r="K1981" s="20"/>
      <c r="L1981" s="18"/>
      <c r="M1981"/>
      <c r="N1981" s="5"/>
      <c r="O1981"/>
      <c r="P1981" s="22"/>
      <c r="Q1981"/>
      <c r="T1981"/>
      <c r="U1981" s="21"/>
    </row>
    <row r="1982" spans="6:21" ht="15" customHeight="1">
      <c r="F1982" s="5"/>
      <c r="G1982"/>
      <c r="H1982" s="18"/>
      <c r="J1982"/>
      <c r="K1982" s="20"/>
      <c r="L1982" s="18"/>
      <c r="M1982"/>
      <c r="N1982" s="5"/>
      <c r="O1982"/>
      <c r="P1982" s="22"/>
      <c r="Q1982"/>
      <c r="T1982"/>
      <c r="U1982" s="21"/>
    </row>
    <row r="1983" spans="6:21" ht="15" customHeight="1">
      <c r="F1983" s="5"/>
      <c r="G1983"/>
      <c r="H1983" s="18"/>
      <c r="J1983"/>
      <c r="K1983" s="20"/>
      <c r="L1983" s="18"/>
      <c r="M1983"/>
      <c r="N1983" s="5"/>
      <c r="O1983"/>
      <c r="P1983" s="22"/>
      <c r="Q1983"/>
      <c r="T1983"/>
      <c r="U1983" s="21"/>
    </row>
    <row r="1984" spans="6:21" ht="15" customHeight="1">
      <c r="F1984" s="5"/>
      <c r="G1984"/>
      <c r="H1984" s="18"/>
      <c r="J1984"/>
      <c r="K1984" s="20"/>
      <c r="L1984" s="18"/>
      <c r="M1984"/>
      <c r="N1984" s="5"/>
      <c r="O1984"/>
      <c r="P1984" s="22"/>
      <c r="Q1984"/>
      <c r="T1984"/>
      <c r="U1984" s="21"/>
    </row>
    <row r="1985" spans="6:21" ht="15" customHeight="1">
      <c r="F1985" s="5"/>
      <c r="G1985"/>
      <c r="H1985" s="18"/>
      <c r="J1985"/>
      <c r="K1985" s="20"/>
      <c r="L1985" s="18"/>
      <c r="M1985"/>
      <c r="N1985" s="5"/>
      <c r="O1985"/>
      <c r="P1985" s="22"/>
      <c r="Q1985"/>
      <c r="T1985"/>
      <c r="U1985" s="21"/>
    </row>
    <row r="1986" spans="6:21" ht="15" customHeight="1">
      <c r="F1986" s="5"/>
      <c r="G1986"/>
      <c r="H1986" s="18"/>
      <c r="J1986"/>
      <c r="K1986" s="20"/>
      <c r="L1986" s="18"/>
      <c r="M1986"/>
      <c r="N1986" s="5"/>
      <c r="O1986"/>
      <c r="P1986" s="22"/>
      <c r="Q1986"/>
      <c r="T1986"/>
      <c r="U1986" s="21"/>
    </row>
    <row r="1987" spans="6:21" ht="15" customHeight="1">
      <c r="F1987" s="5"/>
      <c r="G1987"/>
      <c r="H1987" s="18"/>
      <c r="J1987"/>
      <c r="K1987" s="20"/>
      <c r="L1987" s="18"/>
      <c r="M1987"/>
      <c r="N1987" s="5"/>
      <c r="O1987"/>
      <c r="P1987" s="22"/>
      <c r="Q1987"/>
      <c r="T1987"/>
      <c r="U1987" s="21"/>
    </row>
    <row r="1988" spans="6:21" ht="15" customHeight="1">
      <c r="F1988" s="5"/>
      <c r="G1988"/>
      <c r="H1988" s="18"/>
      <c r="J1988"/>
      <c r="K1988" s="20"/>
      <c r="L1988" s="18"/>
      <c r="M1988"/>
      <c r="N1988" s="5"/>
      <c r="O1988"/>
      <c r="P1988" s="22"/>
      <c r="Q1988"/>
      <c r="T1988"/>
      <c r="U1988" s="21"/>
    </row>
    <row r="1989" spans="6:21" ht="15" customHeight="1">
      <c r="F1989" s="5"/>
      <c r="G1989"/>
      <c r="H1989" s="18"/>
      <c r="J1989"/>
      <c r="K1989" s="20"/>
      <c r="L1989" s="18"/>
      <c r="M1989"/>
      <c r="N1989" s="5"/>
      <c r="O1989"/>
      <c r="P1989" s="22"/>
      <c r="Q1989"/>
      <c r="T1989"/>
      <c r="U1989" s="21"/>
    </row>
    <row r="1046918" spans="47:47" ht="15" customHeight="1">
      <c r="AU1046918" t="s">
        <v>2439</v>
      </c>
    </row>
  </sheetData>
  <conditionalFormatting sqref="B451">
    <cfRule type="duplicateValues" dxfId="52" priority="65"/>
    <cfRule type="duplicateValues" dxfId="51" priority="66"/>
    <cfRule type="duplicateValues" dxfId="50" priority="67"/>
    <cfRule type="duplicateValues" dxfId="49" priority="68"/>
    <cfRule type="duplicateValues" dxfId="48" priority="69"/>
    <cfRule type="duplicateValues" dxfId="47" priority="70"/>
    <cfRule type="duplicateValues" dxfId="46" priority="71"/>
    <cfRule type="duplicateValues" dxfId="45" priority="72"/>
    <cfRule type="duplicateValues" dxfId="44" priority="73"/>
    <cfRule type="duplicateValues" dxfId="43" priority="74"/>
    <cfRule type="duplicateValues" dxfId="42" priority="75"/>
    <cfRule type="duplicateValues" dxfId="41" priority="76"/>
  </conditionalFormatting>
  <conditionalFormatting sqref="B572 B574:B582">
    <cfRule type="duplicateValues" dxfId="40" priority="3693"/>
    <cfRule type="duplicateValues" dxfId="39" priority="3696"/>
    <cfRule type="duplicateValues" dxfId="38" priority="3697"/>
    <cfRule type="duplicateValues" dxfId="37" priority="3698"/>
    <cfRule type="duplicateValues" dxfId="36" priority="3699"/>
    <cfRule type="duplicateValues" dxfId="35" priority="3700"/>
    <cfRule type="duplicateValues" dxfId="34" priority="3701"/>
  </conditionalFormatting>
  <conditionalFormatting sqref="B585:B586">
    <cfRule type="duplicateValues" dxfId="33" priority="47"/>
    <cfRule type="duplicateValues" dxfId="32" priority="48"/>
    <cfRule type="duplicateValues" dxfId="31" priority="49"/>
    <cfRule type="duplicateValues" dxfId="30" priority="50"/>
    <cfRule type="duplicateValues" dxfId="29" priority="51"/>
    <cfRule type="duplicateValues" dxfId="28" priority="52"/>
    <cfRule type="duplicateValues" dxfId="27" priority="53"/>
  </conditionalFormatting>
  <conditionalFormatting sqref="S839">
    <cfRule type="duplicateValues" dxfId="26" priority="10"/>
  </conditionalFormatting>
  <conditionalFormatting sqref="D1898:D1048576 D1801:D1811 D1690:D1691 AI481 D1557 D1407:D1452 D1193 D1161:D1172 AI461 D1069:D1094 D1097:D1126 D1128:D1130 D1132:D1135 D1137:D1150 D1174:D1182 D1184:D1191 B1192:B1205 D1207:D1242 D1244:D1252 D1292:D1405 D1:D1067 D1460:D1507 D1517:D1555 E1788:E1800 D1559:D1608 D1610:D1688 D1785:D1787 D1693:D1766 D1813:D1854 D1856 D1858 D1860:D1896">
    <cfRule type="duplicateValues" dxfId="25" priority="3704"/>
  </conditionalFormatting>
  <conditionalFormatting sqref="B1317">
    <cfRule type="duplicateValues" dxfId="24" priority="8"/>
  </conditionalFormatting>
  <conditionalFormatting sqref="D1515">
    <cfRule type="duplicateValues" dxfId="23" priority="7"/>
  </conditionalFormatting>
  <conditionalFormatting sqref="D1898:D1048576 D1:D1766 D1784:D1811 D1813:D1854 D1856 D1858 D1860:D1896">
    <cfRule type="duplicateValues" dxfId="22" priority="5"/>
  </conditionalFormatting>
  <conditionalFormatting sqref="E1784">
    <cfRule type="duplicateValues" dxfId="21" priority="4"/>
  </conditionalFormatting>
  <conditionalFormatting sqref="K1808">
    <cfRule type="duplicateValues" dxfId="20" priority="3"/>
  </conditionalFormatting>
  <conditionalFormatting sqref="K1808">
    <cfRule type="duplicateValues" dxfId="19" priority="2"/>
  </conditionalFormatting>
  <conditionalFormatting sqref="D1:D1048576">
    <cfRule type="duplicateValues" dxfId="18" priority="1"/>
  </conditionalFormatting>
  <dataValidations count="12">
    <dataValidation type="list" allowBlank="1" showInputMessage="1" showErrorMessage="1" sqref="AC1:AC5 Y21 Y26 AC417:AC516 AC518:AC519 AC525:AC792 AD793:AD866 AD1151:AD1160 AC867:AC1150 AD1253:AD1260 AC1161:AC1236 AD1237 AC1990:AC1048576 AC1238:AC1252 AC1261:AC1291 AC8:AC415 AB1292:AB1565 AB1567:AB1787 AC1788:AC1800 AB1801:AB1989" xr:uid="{D1B26BF1-5ABF-4CCA-ADB0-A0F8A78D8AF3}">
      <formula1>$AR$11:$AR$13</formula1>
    </dataValidation>
    <dataValidation type="list" allowBlank="1" showInputMessage="1" showErrorMessage="1" sqref="Y8:Y20 M433:N433 Y1:Y6 Y22:Y25 Z6 Y417:Y516 Y518:Y519 Z577:Z578 Y525:Y619 Y621:Y631 Y654:Y658 Y660:Y666 Y669:Y671 Z687 Z759 Y680:Y746 Z763:Z764 Z793:Z798 Y748:Y793 Y799:Y807 Y820:Y823 Z800:Z826 Y828:Z828 Y839:Z839 Y835:Y836 Z829:Z838 Y842:Z842 Z840:Z841 Z843:Z849 Z853:Z866 Z1035:Z1036 Y867:Y1150 Z1125 Y1153:Y1154 Z1151:Z1152 Z1196 Y1162:Y1228 Y1231:Y1252 Z1237 Y1990:Y1048576 Z1253:Z1260 Y1261:Y1291 Y1301 Y1296:Z1296 X1292:X1446 Y27:Y415 Z1155:Z1158 Z1160:Z1161 X1750:X1787 X1451:X1743 X1745:X1748 Y1788:Y1800 Y1806 X1801:X1837 X1845 X1839:X1843 X1847:X1989" xr:uid="{370AA821-F086-4C3A-9B04-8E8B4D0A2C85}">
      <formula1>$AM$17:$AM$19</formula1>
    </dataValidation>
    <dataValidation type="list" allowBlank="1" showInputMessage="1" showErrorMessage="1" sqref="AB1:AB5 AB417:AB516 AB518:AB519 AB525:AB792 AC793:AC866 AC1151:AC1160 AB867:AB1150 AC1253:AC1260 AB1161:AB1236 AC1237 AB1990:AB1048576 AB1238:AB1252 AB1261:AB1291 AB8:AB415 AA1372:AA1565 AA1623:AA1672 AA1674:AA1727 AB1788:AB1800 AA1761:AA1776 AA1816:AA1828 AA1730:AA1740 AA1830:AA1837 AA1897:AA1989" xr:uid="{A090B821-6D74-4247-AB22-96A330DAE6EF}">
      <formula1>$AN$17:$AN$19</formula1>
    </dataValidation>
    <dataValidation type="list" allowBlank="1" showInputMessage="1" showErrorMessage="1" sqref="AC6:AC7" xr:uid="{89395148-D502-47C1-8075-E6C94A9AEDE1}">
      <formula1>$AR$9:$AR$11</formula1>
    </dataValidation>
    <dataValidation type="list" allowBlank="1" showInputMessage="1" showErrorMessage="1" sqref="Y7" xr:uid="{5A3F6F2B-51B6-4561-9701-894485CDFF20}">
      <formula1>$AM$15:$AM$17</formula1>
    </dataValidation>
    <dataValidation type="list" allowBlank="1" showInputMessage="1" showErrorMessage="1" sqref="AB6:AB7" xr:uid="{F7C67C48-5525-4F7C-B05F-4560A23F401B}">
      <formula1>$AN$15:$AN$17</formula1>
    </dataValidation>
    <dataValidation type="list" allowBlank="1" showInputMessage="1" showErrorMessage="1" sqref="Z391:Z395 Z518:Z519 Z2:Z5 Z552:Z576 Y620 Z417:Z516 Z207:Z313 R632 Z368:Z384 Z386:Z389 Z1509:Z1510 T650:T651 Y640:Z640 Y645:Z645 Z654:Z658 Z660:Z666 Z669:Z671 Y672:Z679 T676:T679 T672:U675 V672:V673 Y650:Z652 T664 T605:T606 Z680:Z686 Y843:Y863 Z397:Z415 Y747 Z351 Z760:Z762 Z799 Z720:Z758 AA793:AA835 AA839 Y837:Y838 Y840:Y841 Z850:Z852 AA841:AA866 Z924:AA924 Z867:Z923 Z985:AA985 Z925:Z984 Z986:Z1034 AA1151:AA1160 Z1126:Z1150 Z1037:Z1124 Z1153:Z1154 AA1253:AA1260 Z1476 Z1197:Z1228 Z1231:Z1236 AA1237 Z1990:Z1048576 Z1238:Z1252 Z1261:Z1294 Y1292:Y1295 Y1297:Y1300 Z1299:Z1303 Z1373:Z1375 Z1405:Z1409 Z1413 Z1426:Z1427 Z1627 Z1463 Z1452:Z1460 Y1451:Y1473 Z1468:Z1473 Z1186:Z1195 Z1162:Z1184 Y1475:Y1476 Z579:Z622 Z624:Z631 Z1498 Z1500 Z1504 Z525:Z543 Z545:Z550 Z7:Z201 Z203:Z205 Z1519 Z353:Z366 Z315:Z349 Z688:Z718 Z765:Z780 Z782:Z785 Z787:Z792 Z1562 Z1564:Z1622 Y1445:Y1446 Z1625 Z1637 Z1639:Z1643 Y1302:Y1442 Z1306:Z1365 Z1367:Z1371 Z1645:Z1652 Z1654:Z1656 Z1668:Z1669 Z1659 Z1671 Z1673:Z1674 Z1695 Z1686:Z1687 Z1788:Z1800 Z1665 Z1709:Z1711 Z1707 Z1714:Z1729 Z1750:Z1768 Z1776 Z1770:Z1774 Z1778:Z1781 Y1750:Y1787 Y1478:Y1743 Z1734:Z1743 Y1745:Z1748 Y1801:Y1805 Z1806:Z1810 Z1821 Z1803 Z1823 Z1813:Z1815 Z1829:Z1837 Y1807:Y1837 Y1839:Y1843 Y1839:Z1839 Z1845:Z1898 Z1901:Z1909 Y1845:Y1989" xr:uid="{904BD41F-5DBC-420D-9C8C-815AC82B024A}">
      <formula1>"N/A, Y, N"</formula1>
    </dataValidation>
    <dataValidation allowBlank="1" showInputMessage="1" showErrorMessage="1" sqref="G1788:G1789 B905 S926 S928 V928 V926 K830:K858 K944 K956:K957 K948:K949 K953:K954 K959 S1020 V1020 S1030 K1042 K1470 L1153:L1165 S1086 V1086 K1105 K1107:K1236 S1091 O1119 V1146 L1118:L1132 O1122 O1123:Q1128 V1126 K1775 S1126 O1130:Q1132 S1119:S1121 V1119:V1121 Q1120:Q1121 K1011:K1040 S1146 O1165:P1165 O1155:Q1157 O1161:Q1164 Q1153:Q1154 K1379 L1254:L1260 V1200 S1214 V1214 S1200 K1046:K1103 K1237:L1237 K1391:K1401 G1990:G1048576 K1990:K1048576 O1115:P1115 D1243:E1243 E1248 E1250 S1245 V1245 G1:G1279 G1281:G1285 K1463 G1287:G1291 G1791:G1800 K1695 K1474 K1296:K1307 K1309:K1311 K1313:K1318 K1509:K1510 K1329:K1359 K993 K1320:K1323 K1519 K1534 K1384 K1424:K1426 K1562 K1403:K1411 K1586 K1605 K1413:K1419 K1665 K1374 K1388:K1389 K1238:K1292 Z623 K1:K828 K1744 Z202 Z544 K1444 K1766 K1749 Z367 K1460 Z719 Z350 Z781 Z786 Z1159 S495:S499 S1252 S507:S509 S543 S40:S41 S430 S270 S135:S137 S139 S371 S505 K860:K930 K969 K991 S1229:S1230 I1696:I1735 I1445:I1459 I1812 I1461:I1533 I1535:I1604 I1612:I1640 I1427 I1737:I1768 I2:I935 I937:I1113 I1115 I1886:I1887 I1326:I1375 I1434:I1443 I1429 I1431 I1377:I1425 I1824:I1825 I1827:I1828 I1606:I1610 I1862:I1864 I1870:I1873 I1770:I1808 I1846 I1877:I1884 I1118:I1323 I1642:I1694" xr:uid="{BD20E0F5-FBA4-4631-A52C-82C1DE056174}"/>
    <dataValidation type="list" allowBlank="1" showInputMessage="1" showErrorMessage="1" sqref="I1809:I1810 I1829 I1833:I1835 I1816:I1823 I1826 I1837:I1845 I1874:I1876 I1847:I1861 I1865:I1869 I1885 I1888:I1989" xr:uid="{3D99F3C4-8AFB-480C-82AB-D4F9C1281406}">
      <formula1>"VHBB, FO BB, FO LOCAL"</formula1>
    </dataValidation>
    <dataValidation type="list" allowBlank="1" showInputMessage="1" showErrorMessage="1" sqref="H1833:I1835 I1 I1809:I1810 I1829 H1:H1832 I1816:I1823 I1826 I1874:I1876 I1847:I1861 I1865:I1869 I1885 I1837:I1845 I1888:I1048576 H1836:H1048576" xr:uid="{B28FC06B-EB56-44D5-88AE-D5D703007285}">
      <formula1>"VHBB, FO LOCAL, FO BB"</formula1>
    </dataValidation>
    <dataValidation type="list" allowBlank="1" showInputMessage="1" showErrorMessage="1" sqref="J1:J1048576" xr:uid="{F9ED8030-01A2-4AA6-ADF4-9D94F84DAACD}">
      <formula1>"Minor 12h, Major 8h, Critic 4h, Y10, Y8, Y6"</formula1>
    </dataValidation>
    <dataValidation type="list" allowBlank="1" showInputMessage="1" showErrorMessage="1" sqref="F1:F1048576" xr:uid="{12003E87-A114-47C2-85DB-55B0667AD170}">
      <formula1>$AQ$9:$AQ$36</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5E99F-7579-4CF9-B698-64B630374AEE}">
  <dimension ref="A1:I52"/>
  <sheetViews>
    <sheetView workbookViewId="0">
      <selection activeCell="H21" sqref="H21"/>
    </sheetView>
  </sheetViews>
  <sheetFormatPr defaultColWidth="8.85546875" defaultRowHeight="15"/>
  <cols>
    <col min="2" max="2" width="20" customWidth="1"/>
    <col min="3" max="3" width="27.28515625" customWidth="1"/>
    <col min="4" max="4" width="19.7109375" customWidth="1"/>
    <col min="5" max="5" width="17.42578125" customWidth="1"/>
    <col min="6" max="6" width="25.7109375" customWidth="1"/>
    <col min="7" max="7" width="23.140625" customWidth="1"/>
    <col min="8" max="8" width="42.42578125" customWidth="1"/>
    <col min="9" max="9" width="19" customWidth="1"/>
    <col min="10" max="10" width="16.42578125" customWidth="1"/>
  </cols>
  <sheetData>
    <row r="1" spans="1:9">
      <c r="A1" s="1" t="s">
        <v>108</v>
      </c>
      <c r="B1" s="1" t="s">
        <v>7722</v>
      </c>
      <c r="C1" s="1" t="s">
        <v>7723</v>
      </c>
      <c r="D1" s="1" t="s">
        <v>7724</v>
      </c>
      <c r="E1" s="1" t="s">
        <v>7725</v>
      </c>
      <c r="F1" s="1" t="s">
        <v>7726</v>
      </c>
      <c r="G1" s="1" t="s">
        <v>7727</v>
      </c>
      <c r="H1" s="1" t="s">
        <v>103</v>
      </c>
      <c r="I1" s="1" t="s">
        <v>7728</v>
      </c>
    </row>
    <row r="2" spans="1:9">
      <c r="A2">
        <f>IF(ROW(A2)=2,1,A1+1)</f>
        <v>1</v>
      </c>
      <c r="E2" s="13"/>
    </row>
    <row r="3" spans="1:9">
      <c r="A3">
        <f t="shared" ref="A3:A43" si="0">IF(ROW(A3)=2,1,A2+1)</f>
        <v>2</v>
      </c>
      <c r="E3" s="13"/>
    </row>
    <row r="4" spans="1:9">
      <c r="A4">
        <f t="shared" si="0"/>
        <v>3</v>
      </c>
      <c r="E4" s="13"/>
    </row>
    <row r="5" spans="1:9">
      <c r="A5">
        <f t="shared" si="0"/>
        <v>4</v>
      </c>
      <c r="E5" s="13"/>
    </row>
    <row r="6" spans="1:9">
      <c r="A6">
        <f t="shared" si="0"/>
        <v>5</v>
      </c>
      <c r="E6" s="13"/>
    </row>
    <row r="7" spans="1:9">
      <c r="A7">
        <f t="shared" si="0"/>
        <v>6</v>
      </c>
      <c r="E7" s="13"/>
    </row>
    <row r="8" spans="1:9">
      <c r="A8">
        <f t="shared" si="0"/>
        <v>7</v>
      </c>
      <c r="E8" s="13"/>
    </row>
    <row r="9" spans="1:9">
      <c r="A9">
        <f t="shared" si="0"/>
        <v>8</v>
      </c>
      <c r="E9" s="13"/>
    </row>
    <row r="10" spans="1:9">
      <c r="A10">
        <f t="shared" si="0"/>
        <v>9</v>
      </c>
      <c r="E10" s="13"/>
    </row>
    <row r="11" spans="1:9">
      <c r="A11">
        <f t="shared" si="0"/>
        <v>10</v>
      </c>
      <c r="E11" s="13"/>
    </row>
    <row r="12" spans="1:9">
      <c r="A12">
        <f t="shared" si="0"/>
        <v>11</v>
      </c>
      <c r="E12" s="13"/>
    </row>
    <row r="13" spans="1:9">
      <c r="A13">
        <f t="shared" si="0"/>
        <v>12</v>
      </c>
      <c r="E13" s="13"/>
    </row>
    <row r="14" spans="1:9">
      <c r="A14">
        <f t="shared" si="0"/>
        <v>13</v>
      </c>
      <c r="E14" s="13"/>
    </row>
    <row r="15" spans="1:9">
      <c r="A15">
        <f t="shared" si="0"/>
        <v>14</v>
      </c>
      <c r="E15" s="13"/>
    </row>
    <row r="16" spans="1:9">
      <c r="A16">
        <f t="shared" si="0"/>
        <v>15</v>
      </c>
      <c r="E16" s="13"/>
    </row>
    <row r="17" spans="1:5">
      <c r="A17">
        <f t="shared" si="0"/>
        <v>16</v>
      </c>
      <c r="E17" s="13"/>
    </row>
    <row r="18" spans="1:5">
      <c r="A18">
        <f t="shared" si="0"/>
        <v>17</v>
      </c>
      <c r="E18" s="13"/>
    </row>
    <row r="19" spans="1:5">
      <c r="A19">
        <f t="shared" si="0"/>
        <v>18</v>
      </c>
      <c r="E19" s="13"/>
    </row>
    <row r="20" spans="1:5">
      <c r="A20">
        <f t="shared" si="0"/>
        <v>19</v>
      </c>
      <c r="E20" s="13"/>
    </row>
    <row r="21" spans="1:5">
      <c r="A21">
        <f t="shared" si="0"/>
        <v>20</v>
      </c>
      <c r="E21" s="13"/>
    </row>
    <row r="22" spans="1:5">
      <c r="A22">
        <f t="shared" si="0"/>
        <v>21</v>
      </c>
      <c r="E22" s="13"/>
    </row>
    <row r="23" spans="1:5">
      <c r="A23">
        <f t="shared" si="0"/>
        <v>22</v>
      </c>
      <c r="E23" s="13"/>
    </row>
    <row r="24" spans="1:5">
      <c r="A24">
        <f t="shared" si="0"/>
        <v>23</v>
      </c>
      <c r="E24" s="13"/>
    </row>
    <row r="25" spans="1:5">
      <c r="A25">
        <f t="shared" si="0"/>
        <v>24</v>
      </c>
      <c r="E25" s="13"/>
    </row>
    <row r="26" spans="1:5">
      <c r="A26">
        <f t="shared" si="0"/>
        <v>25</v>
      </c>
      <c r="E26" s="13"/>
    </row>
    <row r="27" spans="1:5">
      <c r="A27">
        <f t="shared" si="0"/>
        <v>26</v>
      </c>
      <c r="E27" s="13"/>
    </row>
    <row r="28" spans="1:5">
      <c r="A28">
        <f t="shared" si="0"/>
        <v>27</v>
      </c>
      <c r="E28" s="13"/>
    </row>
    <row r="29" spans="1:5">
      <c r="A29">
        <f t="shared" si="0"/>
        <v>28</v>
      </c>
      <c r="E29" s="13"/>
    </row>
    <row r="30" spans="1:5">
      <c r="A30">
        <f t="shared" si="0"/>
        <v>29</v>
      </c>
      <c r="E30" s="13"/>
    </row>
    <row r="31" spans="1:5">
      <c r="A31">
        <f t="shared" si="0"/>
        <v>30</v>
      </c>
      <c r="E31" s="13"/>
    </row>
    <row r="32" spans="1:5">
      <c r="A32">
        <f t="shared" si="0"/>
        <v>31</v>
      </c>
      <c r="E32" s="13"/>
    </row>
    <row r="33" spans="1:5">
      <c r="A33">
        <f t="shared" si="0"/>
        <v>32</v>
      </c>
      <c r="E33" s="13"/>
    </row>
    <row r="34" spans="1:5">
      <c r="A34">
        <f t="shared" si="0"/>
        <v>33</v>
      </c>
      <c r="E34" s="13"/>
    </row>
    <row r="35" spans="1:5">
      <c r="A35">
        <f t="shared" si="0"/>
        <v>34</v>
      </c>
      <c r="E35" s="13"/>
    </row>
    <row r="36" spans="1:5">
      <c r="A36">
        <f t="shared" si="0"/>
        <v>35</v>
      </c>
      <c r="E36" s="13"/>
    </row>
    <row r="37" spans="1:5">
      <c r="A37">
        <f t="shared" si="0"/>
        <v>36</v>
      </c>
      <c r="E37" s="13"/>
    </row>
    <row r="38" spans="1:5">
      <c r="A38">
        <f t="shared" si="0"/>
        <v>37</v>
      </c>
      <c r="E38" s="13"/>
    </row>
    <row r="39" spans="1:5">
      <c r="A39">
        <f t="shared" si="0"/>
        <v>38</v>
      </c>
      <c r="E39" s="13"/>
    </row>
    <row r="40" spans="1:5">
      <c r="A40">
        <f t="shared" si="0"/>
        <v>39</v>
      </c>
      <c r="E40" s="13"/>
    </row>
    <row r="41" spans="1:5">
      <c r="A41">
        <f t="shared" si="0"/>
        <v>40</v>
      </c>
      <c r="E41" s="13"/>
    </row>
    <row r="42" spans="1:5">
      <c r="A42">
        <f t="shared" si="0"/>
        <v>41</v>
      </c>
      <c r="E42" s="13"/>
    </row>
    <row r="43" spans="1:5">
      <c r="A43">
        <f t="shared" si="0"/>
        <v>42</v>
      </c>
      <c r="E43" s="13"/>
    </row>
    <row r="44" spans="1:5">
      <c r="E44" s="13"/>
    </row>
    <row r="45" spans="1:5">
      <c r="E45" s="13"/>
    </row>
    <row r="46" spans="1:5">
      <c r="E46" s="13"/>
    </row>
    <row r="47" spans="1:5">
      <c r="E47" s="13"/>
    </row>
    <row r="48" spans="1:5">
      <c r="E48" s="13"/>
    </row>
    <row r="49" spans="5:5">
      <c r="E49" s="13"/>
    </row>
    <row r="50" spans="5:5">
      <c r="E50" s="13"/>
    </row>
    <row r="51" spans="5:5">
      <c r="E51" s="13"/>
    </row>
    <row r="52" spans="5:5">
      <c r="E52" s="1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78B20-861D-447B-8D22-AB6AEA462753}">
  <dimension ref="A1:E8"/>
  <sheetViews>
    <sheetView workbookViewId="0">
      <selection activeCell="C16" sqref="C16"/>
    </sheetView>
  </sheetViews>
  <sheetFormatPr defaultColWidth="8.85546875" defaultRowHeight="15"/>
  <cols>
    <col min="2" max="2" width="58.7109375" customWidth="1"/>
    <col min="3" max="3" width="21.42578125" customWidth="1"/>
    <col min="4" max="4" width="32.28515625" customWidth="1"/>
    <col min="5" max="5" width="21.7109375" customWidth="1"/>
  </cols>
  <sheetData>
    <row r="1" spans="1:5">
      <c r="A1" t="s">
        <v>7729</v>
      </c>
      <c r="B1" t="s">
        <v>7730</v>
      </c>
      <c r="C1" t="s">
        <v>7731</v>
      </c>
      <c r="D1" t="s">
        <v>7732</v>
      </c>
      <c r="E1" t="s">
        <v>7733</v>
      </c>
    </row>
    <row r="2" spans="1:5">
      <c r="A2" s="7">
        <f>IF(ROW(A2)=2,1,A1+1)</f>
        <v>1</v>
      </c>
      <c r="C2" s="4"/>
      <c r="D2" s="2"/>
    </row>
    <row r="3" spans="1:5">
      <c r="A3" s="7">
        <f>IF(ROW(A3)=2,1,A2+1)</f>
        <v>2</v>
      </c>
      <c r="C3" s="4"/>
      <c r="D3" s="4"/>
    </row>
    <row r="4" spans="1:5">
      <c r="A4" s="7">
        <f>IF(ROW(A4)=2,1,A3+1)</f>
        <v>3</v>
      </c>
      <c r="C4" s="4"/>
      <c r="D4" s="2"/>
    </row>
    <row r="5" spans="1:5">
      <c r="A5" s="7">
        <f>IF(ROW(A5)=2,1,A4+1)</f>
        <v>4</v>
      </c>
      <c r="C5" s="4"/>
      <c r="D5" s="4"/>
    </row>
    <row r="6" spans="1:5">
      <c r="A6" s="7">
        <f t="shared" ref="A6:A8" si="0">IF(ROW(A6)=2,1,A5+1)</f>
        <v>5</v>
      </c>
      <c r="C6" s="4"/>
      <c r="D6" s="4"/>
    </row>
    <row r="7" spans="1:5">
      <c r="A7" s="7">
        <f t="shared" si="0"/>
        <v>6</v>
      </c>
      <c r="C7" s="4"/>
    </row>
    <row r="8" spans="1:5">
      <c r="A8" s="7">
        <f t="shared" si="0"/>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9C29C4-A19E-49B2-852B-F47C47661A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Serban MINCIC</dc:creator>
  <cp:keywords/>
  <dc:description/>
  <cp:lastModifiedBy>Marin OROS</cp:lastModifiedBy>
  <cp:revision/>
  <dcterms:created xsi:type="dcterms:W3CDTF">2024-01-09T07:28:53Z</dcterms:created>
  <dcterms:modified xsi:type="dcterms:W3CDTF">2026-09-17T13:34:58Z</dcterms:modified>
  <cp:category/>
  <cp:contentStatus/>
</cp:coreProperties>
</file>